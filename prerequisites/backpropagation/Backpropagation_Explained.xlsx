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 Start Here" sheetId="1" state="visible" r:id="rId3"/>
    <sheet name="01 The Learning Loop" sheetId="2" state="visible" r:id="rId4"/>
    <sheet name="02 Loss Functions" sheetId="3" state="visible" r:id="rId5"/>
    <sheet name="03 Derivatives and Slopes" sheetId="4" state="visible" r:id="rId6"/>
    <sheet name="04 Gradient Descent" sheetId="5" state="visible" r:id="rId7"/>
    <sheet name="05 Chain Rule" sheetId="6" state="visible" r:id="rId8"/>
    <sheet name="06 Backprop One Neuron" sheetId="7" state="visible" r:id="rId9"/>
    <sheet name="07 Softmax-CE Gradient" sheetId="8" state="visible" r:id="rId10"/>
    <sheet name="08 E2E Backprop 2-Layer" sheetId="9" state="visible" r:id="rId11"/>
    <sheet name="09 E2E Training Loop" sheetId="10" state="visible" r:id="rId12"/>
    <sheet name="10 Vanishing Gradients" sheetId="11" state="visible" r:id="rId13"/>
    <sheet name="11 Optimizers" sheetId="12" state="visible" r:id="rId14"/>
    <sheet name="12 Glossary and Transformer"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<sst xmlns="http://schemas.openxmlformats.org/spreadsheetml/2006/main" count="799" uniqueCount="645">
  <si>
    <t xml:space="preserve">How Networks Learn: Backpropagation — A Teaching Workbook</t>
  </si>
  <si>
    <t xml:space="preserve">Part 2 of the prerequisites. Part 1 (Neural Network Basics) covers the forward pass; this workbook covers how the weights are learned.</t>
  </si>
  <si>
    <t xml:space="preserve">BIG IDEA:  A network learns by repeating one loop: predict, measure the error, use the chain rule to find how every weight affected that error (backpropagation), and nudge each weight to reduce it. Every sheet here is one piece of that loop, built from tiny numbers you can check by hand.</t>
  </si>
  <si>
    <t xml:space="preserve">How each sheet is organised</t>
  </si>
  <si>
    <t xml:space="preserve">•  BIG IDEA and plain-English explanation.</t>
  </si>
  <si>
    <t xml:space="preserve">•  The FORMULA, then EXAMPLE 1 (simplest) with every step written out.</t>
  </si>
  <si>
    <t xml:space="preserve">•  EXAMPLE 2 (moderate) — larger or repeated over many steps, often with a chart.</t>
  </si>
  <si>
    <t xml:space="preserve">•  Every gradient is double-checked with a numeric 'nudge' so you can trust the calculus.</t>
  </si>
  <si>
    <t xml:space="preserve">•  Sheets 08 and 09 are end-to-end: a full training step through two layers, and a 40-epoch training run.</t>
  </si>
  <si>
    <t xml:space="preserve">Colour legend</t>
  </si>
  <si>
    <t xml:space="preserve">Input — blue on yellow. Type over it; everything downstream recalculates.</t>
  </si>
  <si>
    <t xml:space="preserve">Formula — black. Always computed, never typed.</t>
  </si>
  <si>
    <t xml:space="preserve">Key result — bold on green.</t>
  </si>
  <si>
    <t xml:space="preserve">Show the work</t>
  </si>
  <si>
    <t xml:space="preserve">Grey rows rebuild the arithmetic as live text.</t>
  </si>
  <si>
    <t xml:space="preserve">Contents (click a sheet name)</t>
  </si>
  <si>
    <t xml:space="preserve">Sheet</t>
  </si>
  <si>
    <t xml:space="preserve">What you'll learn</t>
  </si>
  <si>
    <t xml:space="preserve">Level</t>
  </si>
  <si>
    <t xml:space="preserve">01 The Learning Loop</t>
  </si>
  <si>
    <t xml:space="preserve">Forward → loss → gradients → update; a loss landscape; the loop run by hand</t>
  </si>
  <si>
    <t xml:space="preserve">★☆☆</t>
  </si>
  <si>
    <t xml:space="preserve">02 Loss Functions</t>
  </si>
  <si>
    <t xml:space="preserve">MSE, MAE, binary and categorical cross-entropy; why classifiers use cross-entropy</t>
  </si>
  <si>
    <t xml:space="preserve">03 Derivatives and Slopes</t>
  </si>
  <si>
    <t xml:space="preserve">Slopes by nudging and by rules; partial derivatives; the gradient vector</t>
  </si>
  <si>
    <t xml:space="preserve">04 Gradient Descent</t>
  </si>
  <si>
    <t xml:space="preserve">Learning rates that crawl, converge and diverge; fitting a line with two parameters</t>
  </si>
  <si>
    <t xml:space="preserve">★★☆</t>
  </si>
  <si>
    <t xml:space="preserve">05 Chain Rule</t>
  </si>
  <si>
    <t xml:space="preserve">Slopes multiply; a computational graph with add and multiply nodes</t>
  </si>
  <si>
    <t xml:space="preserve">06 Backprop One Neuron</t>
  </si>
  <si>
    <t xml:space="preserve">Forward, backward, gradient check and update; 15 training steps</t>
  </si>
  <si>
    <t xml:space="preserve">07 Softmax-CE Gradient</t>
  </si>
  <si>
    <t xml:space="preserve">Why softmax + cross-entropy gives p − y, checked numerically</t>
  </si>
  <si>
    <t xml:space="preserve">08 E2E Backprop 2-Layer</t>
  </si>
  <si>
    <t xml:space="preserve">End-to-end: a full training step through two layers, 9 gradients checked</t>
  </si>
  <si>
    <t xml:space="preserve">★★★</t>
  </si>
  <si>
    <t xml:space="preserve">09 E2E Training Loop</t>
  </si>
  <si>
    <t xml:space="preserve">End-to-end: 40 epochs — a neuron learns OR but can't learn XOR</t>
  </si>
  <si>
    <t xml:space="preserve">10 Vanishing Gradients</t>
  </si>
  <si>
    <t xml:space="preserve">Why deep nets were hard to train, and the Transformer's defences</t>
  </si>
  <si>
    <t xml:space="preserve">11 Optimizers</t>
  </si>
  <si>
    <t xml:space="preserve">SGD vs momentum vs Adam in a narrow valley</t>
  </si>
  <si>
    <t xml:space="preserve">12 Glossary and Transformer</t>
  </si>
  <si>
    <t xml:space="preserve">Terms, and how the paper trains its model</t>
  </si>
  <si>
    <t xml:space="preserve">—</t>
  </si>
  <si>
    <t xml:space="preserve">NOTE:  All data and starting weights are small made-up values chosen so the arithmetic stays readable.</t>
  </si>
  <si>
    <t xml:space="preserve">01 · How Networks Learn — the four-step learning loop</t>
  </si>
  <si>
    <t xml:space="preserve">Everything in this workbook serves one loop: forward → loss → gradients (backpropagation) → update → repeat.</t>
  </si>
  <si>
    <t xml:space="preserve">BIG IDEA:  A network starts with random weights and is wrong. Training repeats four steps millions of times: make a prediction, measure how wrong it is (the loss), work out which way each weight should move to reduce the loss (the gradient, computed by backpropagation), and nudge every weight a little in that direction.</t>
  </si>
  <si>
    <t xml:space="preserve">Step</t>
  </si>
  <si>
    <t xml:space="preserve">Name</t>
  </si>
  <si>
    <t xml:space="preserve">What happens</t>
  </si>
  <si>
    <t xml:space="preserve">1</t>
  </si>
  <si>
    <t xml:space="preserve">Forward pass</t>
  </si>
  <si>
    <t xml:space="preserve">Run the inputs through the network to get predictions</t>
  </si>
  <si>
    <t xml:space="preserve">the Neural Network Basics workbook</t>
  </si>
  <si>
    <t xml:space="preserve">2</t>
  </si>
  <si>
    <t xml:space="preserve">Loss</t>
  </si>
  <si>
    <t xml:space="preserve">One number: how wrong the predictions are</t>
  </si>
  <si>
    <t xml:space="preserve">02</t>
  </si>
  <si>
    <t xml:space="preserve">3</t>
  </si>
  <si>
    <t xml:space="preserve">Backward pass (backpropagation)</t>
  </si>
  <si>
    <t xml:space="preserve">For every weight, the slope of the loss: 'if this weight goes up a bit, does the loss go up or down, and how much?'</t>
  </si>
  <si>
    <t xml:space="preserve">03, 05–08</t>
  </si>
  <si>
    <t xml:space="preserve">4</t>
  </si>
  <si>
    <t xml:space="preserve">Update (gradient descent)</t>
  </si>
  <si>
    <t xml:space="preserve">w ← w − learning_rate × slope: step every weight downhill</t>
  </si>
  <si>
    <t xml:space="preserve">04, 11</t>
  </si>
  <si>
    <t xml:space="preserve">ANALOGY:  You're on a foggy hillside and want to reach the valley floor. You can't see the valley, but you can feel the slope under your feet. So you take a small step downhill, feel again, step again. The loss is your altitude, the gradient is the slope under your feet, and the learning rate is your step size.</t>
  </si>
  <si>
    <t xml:space="preserve">Example 1 (simplest):  what does the 'hill' look like?  Model y = w·x, three data points</t>
  </si>
  <si>
    <t xml:space="preserve">The data follow y = 2x exactly, so the perfect weight is w = 2. For each candidate w, compute the predictions and the mean squared error (MSE). Plotting loss against w draws the hill (here, a valley) the learner walks on.</t>
  </si>
  <si>
    <t xml:space="preserve">Training data</t>
  </si>
  <si>
    <t xml:space="preserve">x</t>
  </si>
  <si>
    <t xml:space="preserve">y</t>
  </si>
  <si>
    <t xml:space="preserve">point 1</t>
  </si>
  <si>
    <t xml:space="preserve">point 2</t>
  </si>
  <si>
    <t xml:space="preserve">point 3</t>
  </si>
  <si>
    <t xml:space="preserve">candidate w</t>
  </si>
  <si>
    <t xml:space="preserve">loss = mean (w·x − y)²</t>
  </si>
  <si>
    <t xml:space="preserve">w = 1</t>
  </si>
  <si>
    <t xml:space="preserve">Example 2 (moderate):  run the loop — watch w walk to 2</t>
  </si>
  <si>
    <t xml:space="preserve">Start at w = 0.5. The slope of the loss is dL/dw = mean( 2·(w·x − y)·x ) (derived on sheets 03–05). Each iteration: forward, loss, slope, update.</t>
  </si>
  <si>
    <t xml:space="preserve">starting w</t>
  </si>
  <si>
    <t xml:space="preserve">learning rate η</t>
  </si>
  <si>
    <t xml:space="preserve">iteration</t>
  </si>
  <si>
    <t xml:space="preserve">w</t>
  </si>
  <si>
    <t xml:space="preserve">pred 1</t>
  </si>
  <si>
    <t xml:space="preserve">pred 2</t>
  </si>
  <si>
    <t xml:space="preserve">pred 3</t>
  </si>
  <si>
    <t xml:space="preserve">loss</t>
  </si>
  <si>
    <t xml:space="preserve">slope dL/dw</t>
  </si>
  <si>
    <t xml:space="preserve">update −η·slope</t>
  </si>
  <si>
    <t xml:space="preserve">new w</t>
  </si>
  <si>
    <t xml:space="preserve">iteration 0</t>
  </si>
  <si>
    <t xml:space="preserve">The slope is negative when w is too small, so the update pushes w UP; as w nears 2 the slope shrinks, so the steps shrink too. No one told the learner the answer — the slope alone guided it.</t>
  </si>
  <si>
    <t xml:space="preserve">TRY IT:  Set the learning rate to 0.25: each step overshoots further than the last and w flies off — the loop diverges (sheet 04 explores why).</t>
  </si>
  <si>
    <t xml:space="preserve">Check yourself</t>
  </si>
  <si>
    <t xml:space="preserve">Q1. What is the learning rate?</t>
  </si>
  <si>
    <t xml:space="preserve">Answer: The step size: how far each weight moves per update.</t>
  </si>
  <si>
    <t xml:space="preserve">Q2. If the slope dL/dw is positive, which way should w move?</t>
  </si>
  <si>
    <t xml:space="preserve">Answer: Down (negative direction) — moving up would increase the loss.</t>
  </si>
  <si>
    <t xml:space="preserve">02 · Loss Functions — one number that says 'how wrong'</t>
  </si>
  <si>
    <t xml:space="preserve">The Transformer trains on cross-entropy (with label smoothing) over the vocabulary — see the Transformer workbook, sheet 13.</t>
  </si>
  <si>
    <t xml:space="preserve">BIG IDEA:  Learning needs a single number to push down. A loss function compares predictions with the truth and returns that number: 0 when perfect, bigger when worse.</t>
  </si>
  <si>
    <t xml:space="preserve">Formula</t>
  </si>
  <si>
    <t xml:space="preserve">Used for</t>
  </si>
  <si>
    <t xml:space="preserve">Mean squared error (MSE)</t>
  </si>
  <si>
    <t xml:space="preserve">mean( (prediction − target)² )</t>
  </si>
  <si>
    <t xml:space="preserve">predicting numbers (regression)</t>
  </si>
  <si>
    <t xml:space="preserve">Mean absolute error (MAE)</t>
  </si>
  <si>
    <t xml:space="preserve">mean( |prediction − target| )</t>
  </si>
  <si>
    <t xml:space="preserve">numbers, when outliers shouldn't dominate</t>
  </si>
  <si>
    <t xml:space="preserve">Binary cross-entropy (BCE)</t>
  </si>
  <si>
    <t xml:space="preserve">−[ y·ln p + (1 − y)·ln(1 − p) ]</t>
  </si>
  <si>
    <t xml:space="preserve">yes/no with a sigmoid output</t>
  </si>
  <si>
    <t xml:space="preserve">Cross-entropy (CE)</t>
  </si>
  <si>
    <t xml:space="preserve">−ln p(correct class)</t>
  </si>
  <si>
    <t xml:space="preserve">pick-one-of-many with a softmax output (the Transformer)</t>
  </si>
  <si>
    <t xml:space="preserve">Example 1 (simplest):  predicting house prices (in $1000s)</t>
  </si>
  <si>
    <t xml:space="preserve">actual</t>
  </si>
  <si>
    <t xml:space="preserve">predicted</t>
  </si>
  <si>
    <t xml:space="preserve">error</t>
  </si>
  <si>
    <t xml:space="preserve">squared error</t>
  </si>
  <si>
    <t xml:space="preserve">|error|</t>
  </si>
  <si>
    <t xml:space="preserve">house 1</t>
  </si>
  <si>
    <t xml:space="preserve">house 2</t>
  </si>
  <si>
    <t xml:space="preserve">house 3</t>
  </si>
  <si>
    <t xml:space="preserve">MSE</t>
  </si>
  <si>
    <t xml:space="preserve">(100 + 100 + 3600) ÷ 3</t>
  </si>
  <si>
    <t xml:space="preserve">MAE</t>
  </si>
  <si>
    <t xml:space="preserve">(10 + 10 + 60) ÷ 3</t>
  </si>
  <si>
    <t xml:space="preserve">House 3's error is 6× the others but contributes 36× as much to MSE. Squaring makes MSE hate big mistakes — useful, but sensitive to outliers.</t>
  </si>
  <si>
    <t xml:space="preserve">Example 2 (moderate):  why classifiers use cross-entropy, not MSE</t>
  </si>
  <si>
    <t xml:space="preserve">The true answer is y = 1. Compare the penalty each loss gives as the predicted probability p gets worse. MSE never exceeds 1; cross-entropy grows without limit, so a confidently wrong model gets a huge, urgent signal.</t>
  </si>
  <si>
    <t xml:space="preserve">predicted p (true y = 1)</t>
  </si>
  <si>
    <t xml:space="preserve">MSE = (1 − p)²</t>
  </si>
  <si>
    <t xml:space="preserve">BCE = −ln p</t>
  </si>
  <si>
    <t xml:space="preserve">Reading</t>
  </si>
  <si>
    <t xml:space="preserve">both tiny</t>
  </si>
  <si>
    <t xml:space="preserve">both small</t>
  </si>
  <si>
    <t xml:space="preserve">moderate</t>
  </si>
  <si>
    <t xml:space="preserve">MSE only 0.81; CE 2.3</t>
  </si>
  <si>
    <t xml:space="preserve">MSE capped near 1; CE 4.6 and rising</t>
  </si>
  <si>
    <t xml:space="preserve">Cross-entropy for 3 classes: only the correct class's probability matters</t>
  </si>
  <si>
    <t xml:space="preserve">softmax output p</t>
  </si>
  <si>
    <t xml:space="preserve">cat (correct)</t>
  </si>
  <si>
    <t xml:space="preserve">dog</t>
  </si>
  <si>
    <t xml:space="preserve">bird</t>
  </si>
  <si>
    <t xml:space="preserve">CE = −ln p(cat)</t>
  </si>
  <si>
    <t xml:space="preserve">Q1. A perfect prediction has what loss?</t>
  </si>
  <si>
    <t xml:space="preserve">Answer: 0 for all of these losses.</t>
  </si>
  <si>
    <t xml:space="preserve">Q2. Why is −ln p a good penalty for probabilities?</t>
  </si>
  <si>
    <t xml:space="preserve">Answer: It is 0 when p = 1 and grows without limit as p → 0.</t>
  </si>
  <si>
    <t xml:space="preserve">03 · Derivatives — 'if I nudge the input, how much does the output move?'</t>
  </si>
  <si>
    <t xml:space="preserve">A gradient is just a list of derivatives, one per weight.</t>
  </si>
  <si>
    <t xml:space="preserve">f′(x) = limit as h → 0 of  ( f(x + h) − f(x) ) ÷ h           numeric check:  ( f(x + h) − f(x − h) ) ÷ 2h</t>
  </si>
  <si>
    <t xml:space="preserve">BIG IDEA:  The derivative is the slope of a function at a point: how many units the output changes per unit change of the input, for a tiny nudge. You can always ESTIMATE it by nudging (numeric); calculus rules give it EXACTLY.</t>
  </si>
  <si>
    <t xml:space="preserve">Example 1 (simplest):  f(x) = x² at x = 3 — shrink the nudge and the slope settles at 6</t>
  </si>
  <si>
    <t xml:space="preserve">nudge h</t>
  </si>
  <si>
    <t xml:space="preserve">f(x + h)</t>
  </si>
  <si>
    <t xml:space="preserve">slope estimate (f(x+h) − f(x)) ÷ h</t>
  </si>
  <si>
    <t xml:space="preserve">show the work</t>
  </si>
  <si>
    <t xml:space="preserve">exact: f′(x) = 2x</t>
  </si>
  <si>
    <t xml:space="preserve">the power rule: d/dx xⁿ = n·xⁿ⁻¹</t>
  </si>
  <si>
    <t xml:space="preserve">Example 2 (moderate):  the derivatives a neural network needs, each checked numerically</t>
  </si>
  <si>
    <t xml:space="preserve">point x</t>
  </si>
  <si>
    <t xml:space="preserve">f(x)</t>
  </si>
  <si>
    <t xml:space="preserve">rule for f′(x)</t>
  </si>
  <si>
    <t xml:space="preserve">exact f′(x)</t>
  </si>
  <si>
    <t xml:space="preserve">numeric estimate</t>
  </si>
  <si>
    <t xml:space="preserve">match?</t>
  </si>
  <si>
    <t xml:space="preserve">x²</t>
  </si>
  <si>
    <t xml:space="preserve">2x</t>
  </si>
  <si>
    <t xml:space="preserve">x³</t>
  </si>
  <si>
    <t xml:space="preserve">3x²</t>
  </si>
  <si>
    <t xml:space="preserve">eˣ</t>
  </si>
  <si>
    <t xml:space="preserve">ln x</t>
  </si>
  <si>
    <t xml:space="preserve">1/x</t>
  </si>
  <si>
    <t xml:space="preserve">sigmoid σ(x)</t>
  </si>
  <si>
    <t xml:space="preserve">σ(x)·(1 − σ(x))</t>
  </si>
  <si>
    <t xml:space="preserve">tanh x</t>
  </si>
  <si>
    <t xml:space="preserve">1 − tanh²x</t>
  </si>
  <si>
    <t xml:space="preserve">ReLU(x)</t>
  </si>
  <si>
    <t xml:space="preserve">1 if x &gt; 0 else 0</t>
  </si>
  <si>
    <t xml:space="preserve">Notice sigmoid's slope σ(1 − σ): it is what you multiply by when a gradient passes backwards through a sigmoid neuron (sheet 06).</t>
  </si>
  <si>
    <t xml:space="preserve">Example 3 (moderate):  two inputs → partial derivatives → the gradient vector</t>
  </si>
  <si>
    <t xml:space="preserve">f(w, b) = (2w + b − 5)². A partial derivative nudges ONE input and holds the others fixed. The list of partial derivatives is the GRADIENT; it points uphill, so learning steps the opposite way.</t>
  </si>
  <si>
    <t xml:space="preserve">b</t>
  </si>
  <si>
    <t xml:space="preserve">inner = 2w + b − 5</t>
  </si>
  <si>
    <t xml:space="preserve">f = inner²</t>
  </si>
  <si>
    <t xml:space="preserve">∂f/∂w = 2·inner·2</t>
  </si>
  <si>
    <t xml:space="preserve">chain rule (sheet 05): outer slope × inner slope</t>
  </si>
  <si>
    <t xml:space="preserve">∂f/∂b = 2·inner·1</t>
  </si>
  <si>
    <t xml:space="preserve">numeric ∂f/∂w</t>
  </si>
  <si>
    <t xml:space="preserve">numeric ∂f/∂b</t>
  </si>
  <si>
    <t xml:space="preserve">gradient</t>
  </si>
  <si>
    <t xml:space="preserve">Q1. What is the derivative of x² at x = 5?</t>
  </si>
  <si>
    <t xml:space="preserve">Answer: 2 × 5 = 10.</t>
  </si>
  <si>
    <t xml:space="preserve">Q2. Why do we step in the direction −gradient?</t>
  </si>
  <si>
    <t xml:space="preserve">Answer: The gradient points uphill (fastest increase); the negative points downhill.</t>
  </si>
  <si>
    <t xml:space="preserve">04 · Gradient Descent — step downhill, again and again</t>
  </si>
  <si>
    <t xml:space="preserve">The Transformer uses Adam, a refined gradient descent (sheet 11), with a warm-up learning-rate schedule.</t>
  </si>
  <si>
    <t xml:space="preserve">w  ←  w − η · dL/dw          (η, 'eta', is the learning rate)</t>
  </si>
  <si>
    <t xml:space="preserve">BIG IDEA:  Compute the slope, take a step against it, repeat. The learning rate η decides the step size: too small crawls, too large overshoots and can blow up.</t>
  </si>
  <si>
    <t xml:space="preserve">Example 1 (simplest):  minimise L(w) = (w − 3)² with three learning rates</t>
  </si>
  <si>
    <t xml:space="preserve">The slope is dL/dw = 2(w − 3). Every row: new w = w − η·2(w − 3).</t>
  </si>
  <si>
    <t xml:space="preserve">start w</t>
  </si>
  <si>
    <t xml:space="preserve">η small</t>
  </si>
  <si>
    <t xml:space="preserve">slow but steady</t>
  </si>
  <si>
    <t xml:space="preserve">η good</t>
  </si>
  <si>
    <t xml:space="preserve">fast</t>
  </si>
  <si>
    <t xml:space="preserve">η too big</t>
  </si>
  <si>
    <t xml:space="preserve">overshoots further every step</t>
  </si>
  <si>
    <t xml:space="preserve">step</t>
  </si>
  <si>
    <t xml:space="preserve">w (η small)</t>
  </si>
  <si>
    <t xml:space="preserve">w (η good)</t>
  </si>
  <si>
    <t xml:space="preserve">w (η too big)</t>
  </si>
  <si>
    <t xml:space="preserve">step 1, η good</t>
  </si>
  <si>
    <t xml:space="preserve">With η = 1.1 each step multiplies the distance to the minimum by (1 − 2η) = −1.2: it overshoots, flips side and grows. This is 'divergence' — one reason the Transformer warms its learning rate up slowly.</t>
  </si>
  <si>
    <t xml:space="preserve">Example 2 (moderate):  two parameters at once — fitting a line y = w·x + b</t>
  </si>
  <si>
    <t xml:space="preserve">Data lie on y = 2x + 1. Each iteration computes BOTH partial derivatives from all four points and updates both parameters together.</t>
  </si>
  <si>
    <t xml:space="preserve">data</t>
  </si>
  <si>
    <t xml:space="preserve">p1</t>
  </si>
  <si>
    <t xml:space="preserve">p2</t>
  </si>
  <si>
    <t xml:space="preserve">p3</t>
  </si>
  <si>
    <t xml:space="preserve">p4</t>
  </si>
  <si>
    <t xml:space="preserve">η</t>
  </si>
  <si>
    <t xml:space="preserve">∂L/∂w = mean( 2·(w·x + b − y)·x )        ∂L/∂b = mean( 2·(w·x + b − y) )</t>
  </si>
  <si>
    <t xml:space="preserve">iter</t>
  </si>
  <si>
    <t xml:space="preserve">loss (MSE)</t>
  </si>
  <si>
    <t xml:space="preserve">∂L/∂w</t>
  </si>
  <si>
    <t xml:space="preserve">∂L/∂b</t>
  </si>
  <si>
    <t xml:space="preserve">iter 0</t>
  </si>
  <si>
    <t xml:space="preserve">w heads for 2 and b for 1. b moves more slowly because its slope is smaller — different parameters can need very different step sizes, the problem that Adam (sheet 11) solves.</t>
  </si>
  <si>
    <t xml:space="preserve">Q1. What happens with a learning rate that is too large?</t>
  </si>
  <si>
    <t xml:space="preserve">Answer: Steps overshoot the minimum and the loss can grow without limit.</t>
  </si>
  <si>
    <t xml:space="preserve">Q2. In one iteration, are the parameters updated one at a time?</t>
  </si>
  <si>
    <t xml:space="preserve">Answer: No — all gradients are computed first, then every parameter is updated together.</t>
  </si>
  <si>
    <t xml:space="preserve">05 · The Chain Rule — the engine inside backpropagation</t>
  </si>
  <si>
    <t xml:space="preserve">A network is a chain of simple functions; the chain rule gets the slope of the whole chain from the slopes of the links.</t>
  </si>
  <si>
    <t xml:space="preserve">if y = f(u) and u = g(x):     dy/dx  =  dy/du × du/dx</t>
  </si>
  <si>
    <t xml:space="preserve">BIG IDEA:  Slopes multiply along a chain. If u moves 3× as fast as x, and y moves 14× as fast as u, then y moves 3 × 14 = 42× as fast as x. Backpropagation is this rule applied link by link, from the loss back to every weight.</t>
  </si>
  <si>
    <t xml:space="preserve">ANALOGY:  Gears: if gear A turns gear B 3× faster, and B turns C 14× faster, then A turns C 42× faster.</t>
  </si>
  <si>
    <t xml:space="preserve">Example 1 (simplest):  y = (3x + 1)² at x = 2</t>
  </si>
  <si>
    <t xml:space="preserve">u = 3x + 1</t>
  </si>
  <si>
    <t xml:space="preserve">inner link</t>
  </si>
  <si>
    <t xml:space="preserve">y = u²</t>
  </si>
  <si>
    <t xml:space="preserve">outer link</t>
  </si>
  <si>
    <t xml:space="preserve">dy/du = 2u</t>
  </si>
  <si>
    <t xml:space="preserve">du/dx = 3</t>
  </si>
  <si>
    <t xml:space="preserve">dy/dx = dy/du × du/dx</t>
  </si>
  <si>
    <t xml:space="preserve">numeric check</t>
  </si>
  <si>
    <t xml:space="preserve">nudge x by ±0.00001 and measure</t>
  </si>
  <si>
    <t xml:space="preserve">Example 2 (moderate):  a computational graph — forward values, then gradients flowing backward</t>
  </si>
  <si>
    <t xml:space="preserve">L = (a·b + c)². Break it into nodes: q = a·b, r = q + c, L = r². Forward: compute each node left to right. Backward: start from dL/dL = 1 and multiply by each node's LOCAL slope, right to left.</t>
  </si>
  <si>
    <t xml:space="preserve">a</t>
  </si>
  <si>
    <t xml:space="preserve">c</t>
  </si>
  <si>
    <t xml:space="preserve">node</t>
  </si>
  <si>
    <t xml:space="preserve">forward value</t>
  </si>
  <si>
    <t xml:space="preserve">how it's computed</t>
  </si>
  <si>
    <t xml:space="preserve">q = a·b</t>
  </si>
  <si>
    <t xml:space="preserve">multiply</t>
  </si>
  <si>
    <t xml:space="preserve">r = q + c</t>
  </si>
  <si>
    <t xml:space="preserve">add</t>
  </si>
  <si>
    <t xml:space="preserve">L = r²</t>
  </si>
  <si>
    <t xml:space="preserve">square</t>
  </si>
  <si>
    <t xml:space="preserve">local slope</t>
  </si>
  <si>
    <t xml:space="preserve">× upstream</t>
  </si>
  <si>
    <t xml:space="preserve">result</t>
  </si>
  <si>
    <t xml:space="preserve">why</t>
  </si>
  <si>
    <t xml:space="preserve">dL/dr</t>
  </si>
  <si>
    <t xml:space="preserve">dL/dr = 2r (square rule); upstream is dL/dL = 1</t>
  </si>
  <si>
    <t xml:space="preserve">dL/dq</t>
  </si>
  <si>
    <t xml:space="preserve">an ADD node passes the gradient through unchanged (local slope 1)</t>
  </si>
  <si>
    <t xml:space="preserve">dL/dc</t>
  </si>
  <si>
    <t xml:space="preserve">same add node, other input</t>
  </si>
  <si>
    <t xml:space="preserve">dL/da</t>
  </si>
  <si>
    <t xml:space="preserve">a MULTIPLY node sends each input the OTHER input: ∂(a·b)/∂a = b</t>
  </si>
  <si>
    <t xml:space="preserve">dL/db</t>
  </si>
  <si>
    <t xml:space="preserve">∂(a·b)/∂b = a</t>
  </si>
  <si>
    <t xml:space="preserve">numeric dL/da</t>
  </si>
  <si>
    <t xml:space="preserve">numeric dL/db</t>
  </si>
  <si>
    <t xml:space="preserve">Two patterns carry over to every network: ADD nodes copy the gradient to all inputs; MULTIPLY nodes scale it by the other input. A weight times an input is a multiply node — that is why a weight's gradient contains its input.</t>
  </si>
  <si>
    <t xml:space="preserve">Q1. If y = f(g(x)), f′ = 5 and g′ = 0.1, what is dy/dx?</t>
  </si>
  <si>
    <t xml:space="preserve">Answer: 5 × 0.1 = 0.5.</t>
  </si>
  <si>
    <t xml:space="preserve">Q2. Why does backprop go from the loss towards the inputs?</t>
  </si>
  <si>
    <t xml:space="preserve">Answer: Each node's gradient needs the gradient of the node after it (the 'upstream' gradient).</t>
  </si>
  <si>
    <t xml:space="preserve">06 · Backpropagation Through One Neuron — forward, backward, check, update</t>
  </si>
  <si>
    <t xml:space="preserve">Neuron: z = w·x + b, p = σ(z), loss L = (p − y)². Every step is a link in the chain rule.</t>
  </si>
  <si>
    <t xml:space="preserve">dL/dw  =  dL/dp × dp/dz × dz/dw  =  2(p − y) × p(1 − p) × x          dL/db  =  2(p − y) × p(1 − p) × 1</t>
  </si>
  <si>
    <t xml:space="preserve">BIG IDEA:  To learn, the neuron needs dL/dw and dL/db. The chain rule builds them from three small local slopes: how the loss reacts to p, how the sigmoid reacts to z, how z reacts to w or b.</t>
  </si>
  <si>
    <t xml:space="preserve">Example 1 (simplest):  one training example, one full step</t>
  </si>
  <si>
    <t xml:space="preserve">input x</t>
  </si>
  <si>
    <t xml:space="preserve">target y</t>
  </si>
  <si>
    <t xml:space="preserve">weight w</t>
  </si>
  <si>
    <t xml:space="preserve">bias b</t>
  </si>
  <si>
    <t xml:space="preserve">z = w·x + b</t>
  </si>
  <si>
    <t xml:space="preserve">p = σ(z)</t>
  </si>
  <si>
    <t xml:space="preserve">L = (p − y)²</t>
  </si>
  <si>
    <t xml:space="preserve">forward</t>
  </si>
  <si>
    <t xml:space="preserve">Backward pass (right to left)</t>
  </si>
  <si>
    <t xml:space="preserve">dL/dp = 2(p − y)</t>
  </si>
  <si>
    <t xml:space="preserve">loss link</t>
  </si>
  <si>
    <t xml:space="preserve">dp/dz = p(1 − p)</t>
  </si>
  <si>
    <t xml:space="preserve">sigmoid link (sheet 03)</t>
  </si>
  <si>
    <t xml:space="preserve">dL/dz = dL/dp × dp/dz</t>
  </si>
  <si>
    <t xml:space="preserve">the neuron's 'error signal' δ</t>
  </si>
  <si>
    <t xml:space="preserve">dL/dw = δ × x</t>
  </si>
  <si>
    <t xml:space="preserve">multiply node: the other input is x</t>
  </si>
  <si>
    <t xml:space="preserve">dL/db = δ × 1</t>
  </si>
  <si>
    <t xml:space="preserve">backward</t>
  </si>
  <si>
    <t xml:space="preserve">Gradient check — is the calculus right? (nudge each parameter by ±h and measure)</t>
  </si>
  <si>
    <t xml:space="preserve">h</t>
  </si>
  <si>
    <t xml:space="preserve">numeric dL/dw</t>
  </si>
  <si>
    <t xml:space="preserve">agree?</t>
  </si>
  <si>
    <t xml:space="preserve">Update</t>
  </si>
  <si>
    <t xml:space="preserve">new w = w − η·dL/dw</t>
  </si>
  <si>
    <t xml:space="preserve">new b = b − η·dL/db</t>
  </si>
  <si>
    <t xml:space="preserve">new loss</t>
  </si>
  <si>
    <t xml:space="preserve">lower than before: the step worked</t>
  </si>
  <si>
    <t xml:space="preserve">Why not always use the numeric check instead of calculus? It needs two extra forward passes PER PARAMETER. With 65 million parameters that's 130 million forward passes per step; backprop gets every gradient in about one backward pass. The numeric check is for testing only.</t>
  </si>
  <si>
    <t xml:space="preserve">Example 2 (moderate):  repeat the step — the loss falls step after step</t>
  </si>
  <si>
    <t xml:space="preserve">p</t>
  </si>
  <si>
    <t xml:space="preserve">dL/dw</t>
  </si>
  <si>
    <t xml:space="preserve">The steps get smaller as p approaches 1, because p(1 − p) — the sigmoid's slope — shrinks. This slowdown is the 'saturation' problem; cross-entropy loss cancels it out (sheet 07).</t>
  </si>
  <si>
    <t xml:space="preserve">Q1. Which three local slopes multiply to give dL/dw here?</t>
  </si>
  <si>
    <t xml:space="preserve">Answer: 2(p − y), p(1 − p) and x.</t>
  </si>
  <si>
    <t xml:space="preserve">Q2. What is a gradient check for?</t>
  </si>
  <si>
    <t xml:space="preserve">Answer: Verifying backprop code: the numeric slope must match the calculated one.</t>
  </si>
  <si>
    <t xml:space="preserve">07 · The Most Useful Gradient in Deep Learning:  softmax + cross-entropy  →  p − y</t>
  </si>
  <si>
    <t xml:space="preserve">The Transformer's output layer is exactly this: softmax over the vocabulary, cross-entropy loss (Transformer workbook, sheets 12–13).</t>
  </si>
  <si>
    <t xml:space="preserve">L = −ln p_correct,   p = softmax(z)      ⇒      dL/dz_i  =  p_i − y_i        (y = 1 for the correct class, 0 otherwise)</t>
  </si>
  <si>
    <t xml:space="preserve">BIG IDEA:  When softmax feeds cross-entropy, the messy chain of slopes collapses into something beautifully simple: the gradient on each score is 'what the model predicted minus what it should have predicted'. The same is true for sigmoid + binary cross-entropy.</t>
  </si>
  <si>
    <t xml:space="preserve">Example 1 (simplest):  3 classes, correct class = cat</t>
  </si>
  <si>
    <t xml:space="preserve">scores (logits) z</t>
  </si>
  <si>
    <t xml:space="preserve">target y (one-hot)</t>
  </si>
  <si>
    <t xml:space="preserve">cat ✔</t>
  </si>
  <si>
    <t xml:space="preserve">p = softmax(z)</t>
  </si>
  <si>
    <t xml:space="preserve">L = −ln p(cat)</t>
  </si>
  <si>
    <t xml:space="preserve">gradient dL/dz = p − y</t>
  </si>
  <si>
    <t xml:space="preserve">numeric check (L(z+h) − L(z−h)) ÷ 2h</t>
  </si>
  <si>
    <t xml:space="preserve">reading</t>
  </si>
  <si>
    <t xml:space="preserve">Gradient descent subtracts the gradient, so the correct class's score goes UP (its gradient is negative) and every wrong class's score goes DOWN in proportion to how much probability it wrongly received.</t>
  </si>
  <si>
    <t xml:space="preserve">Example 2 (moderate):  why p − y? The algebra in four lines, plus the binary case</t>
  </si>
  <si>
    <t xml:space="preserve">Line</t>
  </si>
  <si>
    <t xml:space="preserve">Reasoning</t>
  </si>
  <si>
    <t xml:space="preserve">L = −ln p_c,  where p_c = e^(z_c) ÷ Σ e^(z_j)   (c = correct class)</t>
  </si>
  <si>
    <t xml:space="preserve">So L = −z_c + ln Σ e^(z_j)   (log of a quotient = difference of logs)</t>
  </si>
  <si>
    <t xml:space="preserve">∂/∂z_i of ln Σ e^(z_j) = e^(z_i) ÷ Σ e^(z_j) = p_i,  and ∂(−z_c)/∂z_i = −1 if i = c, else 0</t>
  </si>
  <si>
    <t xml:space="preserve">Therefore ∂L/∂z_i = p_i − y_i.   The p(1 − p)-style factors cancel — no saturation slowdown.</t>
  </si>
  <si>
    <t xml:space="preserve">Binary version: sigmoid + binary cross-entropy gives dL/dz = p − y as well</t>
  </si>
  <si>
    <t xml:space="preserve">score z</t>
  </si>
  <si>
    <t xml:space="preserve">p − y</t>
  </si>
  <si>
    <t xml:space="preserve">numeric dL/dz</t>
  </si>
  <si>
    <t xml:space="preserve">Compare with sheet 06, where squared error made the gradient carry an extra p(1 − p) that shrinks towards 0 as the neuron saturates. This is a big reason classification networks — including the Transformer — use cross-entropy.</t>
  </si>
  <si>
    <t xml:space="preserve">Q1. The model gave the correct class p = 0.9. What is that class's gradient?</t>
  </si>
  <si>
    <t xml:space="preserve">Answer: 0.9 − 1 = −0.1: push its score up a little.</t>
  </si>
  <si>
    <t xml:space="preserve">Q2. A wrong class got p = 0.3. Its gradient?</t>
  </si>
  <si>
    <t xml:space="preserve">Answer: 0.3 − 0 = 0.3: push its score down.</t>
  </si>
  <si>
    <t xml:space="preserve">08 · End-to-End Example 1 — one full training step of a 2-layer network, every number shown</t>
  </si>
  <si>
    <t xml:space="preserve">2 inputs → 2 sigmoid hidden neurons → 1 sigmoid output, binary cross-entropy loss. Forward, backward, gradient check, update.</t>
  </si>
  <si>
    <t xml:space="preserve">BIG IDEA:  This is backpropagation for real: the error signal starts at the output (p − y), flows back through the output weights to each hidden neuron, is scaled by that neuron's sigmoid slope, and finally becomes a gradient for every first-layer weight. Nine parameters, nine gradients, each verified numerically.</t>
  </si>
  <si>
    <t xml:space="preserve">Architecture:  x (2)  →  [x·W₁ + b₁]  →  sigmoid  →  a (2)  →  [a·w₂ + b₂]  →  sigmoid  →  p  →  loss = −ln p (target y = 1)</t>
  </si>
  <si>
    <t xml:space="preserve">Inputs and parameters (edit any yellow cell)</t>
  </si>
  <si>
    <t xml:space="preserve">x1</t>
  </si>
  <si>
    <t xml:space="preserve">x2</t>
  </si>
  <si>
    <t xml:space="preserve">W₁ (rows = inputs, columns = hidden)</t>
  </si>
  <si>
    <t xml:space="preserve">b₁</t>
  </si>
  <si>
    <t xml:space="preserve">w₂ (hidden → output)</t>
  </si>
  <si>
    <t xml:space="preserve">h1</t>
  </si>
  <si>
    <t xml:space="preserve">h2</t>
  </si>
  <si>
    <t xml:space="preserve">b₂</t>
  </si>
  <si>
    <t xml:space="preserve">FORWARD PASS</t>
  </si>
  <si>
    <t xml:space="preserve">F1</t>
  </si>
  <si>
    <t xml:space="preserve">Hidden scores: z₁ = x·W₁ + b₁</t>
  </si>
  <si>
    <t xml:space="preserve">z₁</t>
  </si>
  <si>
    <t xml:space="preserve">z₁[h1]</t>
  </si>
  <si>
    <t xml:space="preserve">z₁[h2]</t>
  </si>
  <si>
    <t xml:space="preserve">F2</t>
  </si>
  <si>
    <t xml:space="preserve">Hidden activations: a = σ(z₁)</t>
  </si>
  <si>
    <t xml:space="preserve">F3</t>
  </si>
  <si>
    <t xml:space="preserve">Output score: z₂ = a·w₂ + b₂</t>
  </si>
  <si>
    <t xml:space="preserve">z₂</t>
  </si>
  <si>
    <t xml:space="preserve">F4</t>
  </si>
  <si>
    <t xml:space="preserve">Output probability and loss</t>
  </si>
  <si>
    <t xml:space="preserve">p = σ(z₂)</t>
  </si>
  <si>
    <t xml:space="preserve">loss L = −[y ln p + (1−y) ln(1−p)]</t>
  </si>
  <si>
    <t xml:space="preserve">BACKWARD PASS — from the loss back to every weight</t>
  </si>
  <si>
    <t xml:space="preserve">B1</t>
  </si>
  <si>
    <t xml:space="preserve">Output error signal: δ₂ = dL/dz₂ = p − y  (sheet 07's shortcut for sigmoid + cross-entropy)</t>
  </si>
  <si>
    <t xml:space="preserve">δ₂</t>
  </si>
  <si>
    <t xml:space="preserve">B2</t>
  </si>
  <si>
    <t xml:space="preserve">Output-layer gradients: dL/dw₂ⱼ = δ₂ × aⱼ,   dL/db₂ = δ₂</t>
  </si>
  <si>
    <t xml:space="preserve">dL/dw₂</t>
  </si>
  <si>
    <t xml:space="preserve">dL/db₂</t>
  </si>
  <si>
    <t xml:space="preserve">dL/dw₂[h1]</t>
  </si>
  <si>
    <t xml:space="preserve">B3</t>
  </si>
  <si>
    <t xml:space="preserve">Send the error back to each hidden neuron: dL/daⱼ = δ₂ × w₂ⱼ, then through its sigmoid: δ₁ⱼ = dL/daⱼ × aⱼ(1 − aⱼ)</t>
  </si>
  <si>
    <t xml:space="preserve">δ₁ = dL/dz₁</t>
  </si>
  <si>
    <t xml:space="preserve">δ₁[h1]</t>
  </si>
  <si>
    <t xml:space="preserve">δ₁[h2]</t>
  </si>
  <si>
    <t xml:space="preserve">B4</t>
  </si>
  <si>
    <t xml:space="preserve">First-layer gradients: dL/dW₁[i→j] = xᵢ × δ₁ⱼ,   dL/db₁ⱼ = δ₁ⱼ</t>
  </si>
  <si>
    <t xml:space="preserve">dL/dW₁</t>
  </si>
  <si>
    <t xml:space="preserve">dL/db₁</t>
  </si>
  <si>
    <t xml:space="preserve">dL/dW₁[x1→h2]</t>
  </si>
  <si>
    <t xml:space="preserve">GRADIENT CHECK — all nine gradients against a numeric nudge</t>
  </si>
  <si>
    <t xml:space="preserve">parameter</t>
  </si>
  <si>
    <t xml:space="preserve">value</t>
  </si>
  <si>
    <t xml:space="preserve">backprop gradient</t>
  </si>
  <si>
    <t xml:space="preserve">numeric gradient</t>
  </si>
  <si>
    <t xml:space="preserve">updated value = value − η × gradient</t>
  </si>
  <si>
    <t xml:space="preserve">W1[x1→h1]</t>
  </si>
  <si>
    <t xml:space="preserve">W1[x1→h2]</t>
  </si>
  <si>
    <t xml:space="preserve">W1[x2→h1]</t>
  </si>
  <si>
    <t xml:space="preserve">W1[x2→h2]</t>
  </si>
  <si>
    <t xml:space="preserve">b1[h1]</t>
  </si>
  <si>
    <t xml:space="preserve">b1[h2]</t>
  </si>
  <si>
    <t xml:space="preserve">w2[h1]</t>
  </si>
  <si>
    <t xml:space="preserve">w2[h2]</t>
  </si>
  <si>
    <t xml:space="preserve">b2</t>
  </si>
  <si>
    <t xml:space="preserve">UPDATE — and did it help?</t>
  </si>
  <si>
    <t xml:space="preserve">loss after one step</t>
  </si>
  <si>
    <t xml:space="preserve">change</t>
  </si>
  <si>
    <t xml:space="preserve">negative = the network got better</t>
  </si>
  <si>
    <t xml:space="preserve">How the numbers transformed — forward then backward:</t>
  </si>
  <si>
    <t xml:space="preserve">Stage</t>
  </si>
  <si>
    <t xml:space="preserve">Operation (the math)</t>
  </si>
  <si>
    <t xml:space="preserve">Size</t>
  </si>
  <si>
    <t xml:space="preserve">Values</t>
  </si>
  <si>
    <t xml:space="preserve">F0 · input</t>
  </si>
  <si>
    <t xml:space="preserve">F1 · linear</t>
  </si>
  <si>
    <t xml:space="preserve">z₁ = x·W₁ + b₁</t>
  </si>
  <si>
    <t xml:space="preserve">F2 · sigmoid</t>
  </si>
  <si>
    <t xml:space="preserve">a = σ(z₁)</t>
  </si>
  <si>
    <t xml:space="preserve">F3 · linear</t>
  </si>
  <si>
    <t xml:space="preserve">z₂ = a·w₂ + b₂</t>
  </si>
  <si>
    <t xml:space="preserve">F4 · sigmoid + loss</t>
  </si>
  <si>
    <t xml:space="preserve">p = σ(z₂), L = −ln p</t>
  </si>
  <si>
    <t xml:space="preserve">1 + 1</t>
  </si>
  <si>
    <t xml:space="preserve">B1 · output error</t>
  </si>
  <si>
    <t xml:space="preserve">δ₂ = p − y</t>
  </si>
  <si>
    <t xml:space="preserve">B2 · output grads</t>
  </si>
  <si>
    <t xml:space="preserve">δ₂ × a</t>
  </si>
  <si>
    <t xml:space="preserve">2 + 1</t>
  </si>
  <si>
    <t xml:space="preserve">B3 · hidden error</t>
  </si>
  <si>
    <t xml:space="preserve">δ₁ = (δ₂ w₂) ⊙ a(1−a)</t>
  </si>
  <si>
    <t xml:space="preserve">B4 · first-layer grads</t>
  </si>
  <si>
    <t xml:space="preserve">x ⊗ δ₁</t>
  </si>
  <si>
    <t xml:space="preserve">4 + 2</t>
  </si>
  <si>
    <t xml:space="preserve">U · update</t>
  </si>
  <si>
    <t xml:space="preserve">θ ← θ − η∇θ</t>
  </si>
  <si>
    <t xml:space="preserve">9</t>
  </si>
  <si>
    <t xml:space="preserve">Notice the backward pass re-uses numbers from the forward pass (a, p, x). That is why frameworks keep forward activations in memory during training — and why training needs far more memory than just running a model.</t>
  </si>
  <si>
    <t xml:space="preserve">TRY IT:  Change the target y to 0: δ₂ becomes positive and every gradient flips sign — the network is pushed the other way.</t>
  </si>
  <si>
    <t xml:space="preserve">09 · End-to-End Example 2 — a real training loop: one neuron learns OR ... and fails at XOR</t>
  </si>
  <si>
    <t xml:space="preserve">Full-batch gradient descent on 4 examples, 40 epochs. Every row is one complete forward + backward + update.</t>
  </si>
  <si>
    <t xml:space="preserve">BIG IDEA:  Put everything together and let it run. The same neuron, loss, gradients and learning rate reach 100% accuracy on the OR gate by epoch 10 — but on XOR the loss gets stuck at ln 2 ≈ 0.693 (a 50/50 guess), because no single straight line separates XOR. Training can only find what the architecture is able to express.</t>
  </si>
  <si>
    <t xml:space="preserve">p = σ(w1·x1 + w2·x2 + b)     loss = mean BCE     ∂L/∂w1 = mean((p − y)·x1)    ∂L/∂w2 = mean((p − y)·x2)    ∂L/∂b = mean(p − y)</t>
  </si>
  <si>
    <t xml:space="preserve">The gradients use sheet 07's shortcut (p − y), averaged over the four examples ('full batch'). Each row's weights = previous row's weights − η × previous row's gradients.</t>
  </si>
  <si>
    <t xml:space="preserve">initial w1</t>
  </si>
  <si>
    <t xml:space="preserve">the same starting point for both tasks</t>
  </si>
  <si>
    <t xml:space="preserve">initial w2</t>
  </si>
  <si>
    <t xml:space="preserve">initial b</t>
  </si>
  <si>
    <t xml:space="preserve">Example 1 (simplest):  learning OR</t>
  </si>
  <si>
    <t xml:space="preserve">OR: output 1 if either input is 1</t>
  </si>
  <si>
    <t xml:space="preserve">targets for inputs (0,0) (0,1) (1,0) (1,1)</t>
  </si>
  <si>
    <t xml:space="preserve">00</t>
  </si>
  <si>
    <t xml:space="preserve">01</t>
  </si>
  <si>
    <t xml:space="preserve">10</t>
  </si>
  <si>
    <t xml:space="preserve">11</t>
  </si>
  <si>
    <t xml:space="preserve">epoch</t>
  </si>
  <si>
    <t xml:space="preserve">w1</t>
  </si>
  <si>
    <t xml:space="preserve">w2</t>
  </si>
  <si>
    <t xml:space="preserve">p(0,0)</t>
  </si>
  <si>
    <t xml:space="preserve">p(0,1)</t>
  </si>
  <si>
    <t xml:space="preserve">p(1,0)</t>
  </si>
  <si>
    <t xml:space="preserve">p(1,1)</t>
  </si>
  <si>
    <t xml:space="preserve">loss (BCE)</t>
  </si>
  <si>
    <t xml:space="preserve">∂L/∂w1</t>
  </si>
  <si>
    <t xml:space="preserve">∂L/∂w2</t>
  </si>
  <si>
    <t xml:space="preserve">accuracy</t>
  </si>
  <si>
    <t xml:space="preserve">epoch 0 → 1</t>
  </si>
  <si>
    <t xml:space="preserve">Example 2 (moderate):  the same neuron tries XOR</t>
  </si>
  <si>
    <t xml:space="preserve">XOR: output 1 if exactly one input is 1</t>
  </si>
  <si>
    <t xml:space="preserve">Side by side</t>
  </si>
  <si>
    <t xml:space="preserve">OR final accuracy</t>
  </si>
  <si>
    <t xml:space="preserve">XOR final accuracy</t>
  </si>
  <si>
    <t xml:space="preserve">coin-flip level; even the best possible single line only reaches 75%</t>
  </si>
  <si>
    <t xml:space="preserve">XOR final loss</t>
  </si>
  <si>
    <t xml:space="preserve">→ ln 2 = 0.6931: the neuron drifts towards 'always 50%'</t>
  </si>
  <si>
    <t xml:space="preserve">The cure is the one from the Neural Network Basics workbook (sheet 08): add a hidden layer. Backpropagation (sheet 08 here) then trains the hidden layer too, and XOR becomes learnable.</t>
  </si>
  <si>
    <t xml:space="preserve">TRY IT:  Set the learning rate to 0.1 and OR learns far more slowly; set it to 20 and watch the early epochs jump around.</t>
  </si>
  <si>
    <t xml:space="preserve">10 · Vanishing and Exploding Gradients — why deep networks were hard to train</t>
  </si>
  <si>
    <t xml:space="preserve">Backprop multiplies one local slope per layer. Many small factors vanish; many large ones explode.</t>
  </si>
  <si>
    <t xml:space="preserve">BIG IDEA:  The gradient reaching layer 1 of a deep network is a PRODUCT of one factor per layer (weight × activation slope). Multiply twenty numbers below 1 and you get almost nothing — the early layers stop learning. Multiply twenty numbers above 1 and you get an explosion.</t>
  </si>
  <si>
    <t xml:space="preserve">gradient at layer 1  ≈  (w × f′(z))  ×  (w × f′(z))  ×  …   one factor per layer</t>
  </si>
  <si>
    <t xml:space="preserve">typical weight w</t>
  </si>
  <si>
    <t xml:space="preserve">large weight (exploding case)</t>
  </si>
  <si>
    <t xml:space="preserve">typical pre-activation z</t>
  </si>
  <si>
    <t xml:space="preserve">where the neuron usually sits</t>
  </si>
  <si>
    <t xml:space="preserve">layers</t>
  </si>
  <si>
    <t xml:space="preserve">sigmoid (best case, f′ ≤ 0.25)</t>
  </si>
  <si>
    <t xml:space="preserve">tanh at typical z</t>
  </si>
  <si>
    <t xml:space="preserve">ReLU (active, f′ = 1)</t>
  </si>
  <si>
    <t xml:space="preserve">ReLU with large weights</t>
  </si>
  <si>
    <t xml:space="preserve">residual identity path</t>
  </si>
  <si>
    <t xml:space="preserve">Reading: after 20 sigmoid layers the gradient is ~1e-12 — the first layers effectively never learn. ReLU keeps a factor of 1 when active, but large weights make it explode (3,300× at 20 layers with w = 1.5). A residual connection x + F(x) adds a path whose factor is exactly 1 at every layer, so some gradient always gets through.</t>
  </si>
  <si>
    <t xml:space="preserve">How the Transformer defends against this</t>
  </si>
  <si>
    <t xml:space="preserve">Technique</t>
  </si>
  <si>
    <t xml:space="preserve">What it does for gradients</t>
  </si>
  <si>
    <t xml:space="preserve">Transformer workbook sheet</t>
  </si>
  <si>
    <t xml:space="preserve">ReLU in the feed-forward network</t>
  </si>
  <si>
    <t xml:space="preserve">slope 1 for active units — no shrinking</t>
  </si>
  <si>
    <t xml:space="preserve">Residual connections x + Sublayer(x)</t>
  </si>
  <si>
    <t xml:space="preserve">an identity path with gradient factor 1 through all 12 sub-layers</t>
  </si>
  <si>
    <t xml:space="preserve">Layer normalisation</t>
  </si>
  <si>
    <t xml:space="preserve">keeps activations (and so slopes) in a healthy range at every layer</t>
  </si>
  <si>
    <t xml:space="preserve">√d_k scaling in attention</t>
  </si>
  <si>
    <t xml:space="preserve">keeps softmax out of its flat, near-zero-slope region</t>
  </si>
  <si>
    <t xml:space="preserve">06</t>
  </si>
  <si>
    <t xml:space="preserve">Warm-up learning rate + Adam</t>
  </si>
  <si>
    <t xml:space="preserve">small, well-scaled steps while statistics settle</t>
  </si>
  <si>
    <t xml:space="preserve">14</t>
  </si>
  <si>
    <t xml:space="preserve">Q1. Why do sigmoid networks suffer most?</t>
  </si>
  <si>
    <t xml:space="preserve">Answer: Its slope is at most 0.25, so every layer shrinks the gradient by at least 4×.</t>
  </si>
  <si>
    <t xml:space="preserve">Q2. How does a residual connection help?</t>
  </si>
  <si>
    <t xml:space="preserve">Answer: Its '+ x' path passes the gradient backwards with factor exactly 1.</t>
  </si>
  <si>
    <t xml:space="preserve">11 · Optimizers — smarter ways to step downhill: SGD, Momentum, Adam</t>
  </si>
  <si>
    <t xml:space="preserve">The Transformer uses Adam with β₁ = 0.9, β₂ = 0.98, ε = 10⁻⁹ (paper §5.3; Transformer workbook sheet 14).</t>
  </si>
  <si>
    <t xml:space="preserve">BIG IDEA:  Plain gradient descent (SGD) uses only the current slope. MOMENTUM remembers past slopes, so it builds speed along consistent directions and cancels zig-zags. ADAM also divides by a running size of each parameter's gradients, so every parameter moves about the same distance per step, however steep or flat its direction is.</t>
  </si>
  <si>
    <t xml:space="preserve">Optimizer</t>
  </si>
  <si>
    <t xml:space="preserve">Update rule</t>
  </si>
  <si>
    <t xml:space="preserve">SGD</t>
  </si>
  <si>
    <t xml:space="preserve">w ← w − η·g</t>
  </si>
  <si>
    <t xml:space="preserve">Momentum</t>
  </si>
  <si>
    <t xml:space="preserve">m ← β·m + g;   w ← w − η·m</t>
  </si>
  <si>
    <t xml:space="preserve">Adam</t>
  </si>
  <si>
    <t xml:space="preserve">m ← β₁m + (1−β₁)g;  v ← β₂v + (1−β₂)g²;  m̂ = m/(1−β₁ᵗ);  v̂ = v/(1−β₂ᵗ);  w ← w − η·m̂/(√v̂ + ε)</t>
  </si>
  <si>
    <t xml:space="preserve">Example (moderate):  a narrow valley  L = w1² + 10·w2²,  start at (−4, 1)</t>
  </si>
  <si>
    <t xml:space="preserve">The valley is 10× steeper in w2 than w1. SGD's learning rate must be small enough for the steep direction, which makes it crawl along the gentle one. Gradients: ∂L/∂w1 = 2·w1, ∂L/∂w2 = 20·w2.</t>
  </si>
  <si>
    <t xml:space="preserve">η for SGD and Momentum</t>
  </si>
  <si>
    <t xml:space="preserve">momentum β</t>
  </si>
  <si>
    <t xml:space="preserve">η for Adam</t>
  </si>
  <si>
    <t xml:space="preserve">Adam β₁</t>
  </si>
  <si>
    <t xml:space="preserve">Adam β₂</t>
  </si>
  <si>
    <t xml:space="preserve">SGD w1</t>
  </si>
  <si>
    <t xml:space="preserve">SGD w2</t>
  </si>
  <si>
    <t xml:space="preserve">SGD loss</t>
  </si>
  <si>
    <t xml:space="preserve">Mom m1</t>
  </si>
  <si>
    <t xml:space="preserve">Mom m2</t>
  </si>
  <si>
    <t xml:space="preserve">Mom w1</t>
  </si>
  <si>
    <t xml:space="preserve">Mom w2</t>
  </si>
  <si>
    <t xml:space="preserve">Mom loss</t>
  </si>
  <si>
    <t xml:space="preserve">g1</t>
  </si>
  <si>
    <t xml:space="preserve">g2</t>
  </si>
  <si>
    <t xml:space="preserve">m1</t>
  </si>
  <si>
    <t xml:space="preserve">m2</t>
  </si>
  <si>
    <t xml:space="preserve">v1</t>
  </si>
  <si>
    <t xml:space="preserve">v2</t>
  </si>
  <si>
    <t xml:space="preserve">Adam w1</t>
  </si>
  <si>
    <t xml:space="preserve">Adam w2</t>
  </si>
  <si>
    <t xml:space="preserve">Adam loss</t>
  </si>
  <si>
    <t xml:space="preserve">step size w1</t>
  </si>
  <si>
    <t xml:space="preserve">step size w2</t>
  </si>
  <si>
    <t xml:space="preserve">SGD loss at step 20</t>
  </si>
  <si>
    <t xml:space="preserve">Momentum loss at step 20</t>
  </si>
  <si>
    <t xml:space="preserve">same η, far lower: momentum carried it along the valley</t>
  </si>
  <si>
    <t xml:space="preserve">Adam loss at step 20</t>
  </si>
  <si>
    <t xml:space="preserve">Honest reading: on this tiny, smooth bowl a well-tuned SGD or momentum wins. Adam's strength is different — look at its 'step size' columns: at step 1 both parameters move by exactly η = 0.2 even though w2's gradient is 5× larger. That scale-independence makes Adam robust across millions of parameters with wildly different gradient sizes, which is why it became the default for Transformers.</t>
  </si>
  <si>
    <t xml:space="preserve">Q1. What does momentum add to SGD?</t>
  </si>
  <si>
    <t xml:space="preserve">Answer: A running sum of past gradients, which smooths zig-zags and speeds up consistent directions.</t>
  </si>
  <si>
    <t xml:space="preserve">Q2. Why is Adam's first step exactly η for every parameter?</t>
  </si>
  <si>
    <t xml:space="preserve">Answer: At t = 1, m̂ = g and √v̂ = |g|, so the step is η·g/|g| = ±η.</t>
  </si>
  <si>
    <t xml:space="preserve">12 · Glossary, and How This Trains the Transformer</t>
  </si>
  <si>
    <t xml:space="preserve">Every idea in this workbook, and where it appears in 'Attention Is All You Need'.</t>
  </si>
  <si>
    <t xml:space="preserve">How the Transformer is trained, in this workbook's terms</t>
  </si>
  <si>
    <t xml:space="preserve">In the paper</t>
  </si>
  <si>
    <t xml:space="preserve">What it is, in this workbook's terms</t>
  </si>
  <si>
    <t xml:space="preserve">Here</t>
  </si>
  <si>
    <t xml:space="preserve">Transformer workbook</t>
  </si>
  <si>
    <t xml:space="preserve">Cross-entropy with label smoothing (§5.4)</t>
  </si>
  <si>
    <t xml:space="preserve">the loss; gradient ≈ p − y (softened target)</t>
  </si>
  <si>
    <t xml:space="preserve">02, 07</t>
  </si>
  <si>
    <t xml:space="preserve">13</t>
  </si>
  <si>
    <t xml:space="preserve">Backpropagation through 6 + 6 layers</t>
  </si>
  <si>
    <t xml:space="preserve">the chain rule, node by node, from loss to every weight</t>
  </si>
  <si>
    <t xml:space="preserve">05, 06, 08</t>
  </si>
  <si>
    <t xml:space="preserve">Adam, β₁ 0.9, β₂ 0.98, ε 1e-9 (§5.3)</t>
  </si>
  <si>
    <t xml:space="preserve">the optimizer</t>
  </si>
  <si>
    <t xml:space="preserve">Warm-up learning-rate schedule (Eq. 3)</t>
  </si>
  <si>
    <t xml:space="preserve">small η at first to avoid divergence</t>
  </si>
  <si>
    <t xml:space="preserve">04</t>
  </si>
  <si>
    <t xml:space="preserve">Residual connections + LayerNorm (§3.1)</t>
  </si>
  <si>
    <t xml:space="preserve">defences against vanishing gradients</t>
  </si>
  <si>
    <t xml:space="preserve">√d_k scaling (§3.2.1)</t>
  </si>
  <si>
    <t xml:space="preserve">keeps softmax slopes from vanishing</t>
  </si>
  <si>
    <t xml:space="preserve">Dropout 0.1 (§5.4)</t>
  </si>
  <si>
    <t xml:space="preserve">regularisation during the forward pass</t>
  </si>
  <si>
    <t xml:space="preserve">15</t>
  </si>
  <si>
    <t xml:space="preserve">Batches of ~25,000 tokens (§5.1)</t>
  </si>
  <si>
    <t xml:space="preserve">gradient averaged over many examples, like the full batch in 09</t>
  </si>
  <si>
    <t xml:space="preserve">09</t>
  </si>
  <si>
    <t xml:space="preserve">Glossary</t>
  </si>
  <si>
    <t xml:space="preserve">Term</t>
  </si>
  <si>
    <t xml:space="preserve">Meaning</t>
  </si>
  <si>
    <t xml:space="preserve">Backpropagation</t>
  </si>
  <si>
    <t xml:space="preserve">Computing all gradients by applying the chain rule backwards from the loss.</t>
  </si>
  <si>
    <t xml:space="preserve">05–08</t>
  </si>
  <si>
    <t xml:space="preserve">Batch / full batch</t>
  </si>
  <si>
    <t xml:space="preserve">The examples whose gradients are averaged for one update.</t>
  </si>
  <si>
    <t xml:space="preserve">Chain rule</t>
  </si>
  <si>
    <t xml:space="preserve">Slopes multiply along a chain of functions.</t>
  </si>
  <si>
    <t xml:space="preserve">05</t>
  </si>
  <si>
    <t xml:space="preserve">Computational graph</t>
  </si>
  <si>
    <t xml:space="preserve">A network written as simple nodes (add, multiply, sigmoid…).</t>
  </si>
  <si>
    <t xml:space="preserve">Cross-entropy</t>
  </si>
  <si>
    <t xml:space="preserve">Loss −ln p(correct); pairs with softmax to give gradient p − y.</t>
  </si>
  <si>
    <t xml:space="preserve">Derivative</t>
  </si>
  <si>
    <t xml:space="preserve">The slope of a function at a point.</t>
  </si>
  <si>
    <t xml:space="preserve">03</t>
  </si>
  <si>
    <t xml:space="preserve">Epoch</t>
  </si>
  <si>
    <t xml:space="preserve">One pass through all training examples.</t>
  </si>
  <si>
    <t xml:space="preserve">Error signal δ</t>
  </si>
  <si>
    <t xml:space="preserve">dL/dz for a neuron: the gradient arriving at its pre-activation.</t>
  </si>
  <si>
    <t xml:space="preserve">06, 08</t>
  </si>
  <si>
    <t xml:space="preserve">Exploding gradient</t>
  </si>
  <si>
    <t xml:space="preserve">Gradients growing huge through many layers.</t>
  </si>
  <si>
    <t xml:space="preserve">Gradient</t>
  </si>
  <si>
    <t xml:space="preserve">The list of partial derivatives of the loss for every parameter.</t>
  </si>
  <si>
    <t xml:space="preserve">Gradient check</t>
  </si>
  <si>
    <t xml:space="preserve">Comparing backprop gradients with numeric nudges.</t>
  </si>
  <si>
    <t xml:space="preserve">Gradient descent</t>
  </si>
  <si>
    <t xml:space="preserve">Repeatedly step every parameter against its gradient.</t>
  </si>
  <si>
    <t xml:space="preserve">Learning rate η</t>
  </si>
  <si>
    <t xml:space="preserve">Step size of each update.</t>
  </si>
  <si>
    <t xml:space="preserve">A single number measuring how wrong the predictions are.</t>
  </si>
  <si>
    <t xml:space="preserve">Keeping a running sum of gradients to smooth and speed up steps.</t>
  </si>
  <si>
    <t xml:space="preserve">Momentum plus per-parameter step scaling.</t>
  </si>
  <si>
    <t xml:space="preserve">Partial derivative</t>
  </si>
  <si>
    <t xml:space="preserve">Slope with respect to one input, others held fixed.</t>
  </si>
  <si>
    <t xml:space="preserve">Vanishing gradient</t>
  </si>
  <si>
    <t xml:space="preserve">Gradients shrinking to ~0 through many layers.</t>
  </si>
</sst>
</file>

<file path=xl/styles.xml><?xml version="1.0" encoding="utf-8"?>
<styleSheet xmlns="http://schemas.openxmlformats.org/spreadsheetml/2006/main">
  <numFmts count="17">
    <numFmt numFmtId="164" formatCode="General"/>
    <numFmt numFmtId="165" formatCode="0.0"/>
    <numFmt numFmtId="166" formatCode="0.##"/>
    <numFmt numFmtId="167" formatCode="0.000"/>
    <numFmt numFmtId="168" formatCode="0.00"/>
    <numFmt numFmtId="169" formatCode="0"/>
    <numFmt numFmtId="170" formatCode="0.0000"/>
    <numFmt numFmtId="171" formatCode="#,##0.0"/>
    <numFmt numFmtId="172" formatCode="0.000000"/>
    <numFmt numFmtId="173" formatCode="0.###"/>
    <numFmt numFmtId="174" formatCode="0.0E+00"/>
    <numFmt numFmtId="175" formatCode="0.######"/>
    <numFmt numFmtId="176" formatCode="0E+0"/>
    <numFmt numFmtId="177" formatCode="0.####"/>
    <numFmt numFmtId="178" formatCode="\+0.0000;\-0.0000"/>
    <numFmt numFmtId="179" formatCode="0%"/>
    <numFmt numFmtId="180" formatCode="0.00E+00"/>
  </numFmts>
  <fonts count="2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1"/>
      <color rgb="FF1F3864"/>
      <name val="Arial"/>
      <family val="0"/>
      <charset val="1"/>
    </font>
    <font>
      <b val="true"/>
      <sz val="12"/>
      <color rgb="FFFFFFFF"/>
      <name val="Arial"/>
      <family val="0"/>
      <charset val="1"/>
    </font>
    <font>
      <sz val="10"/>
      <color rgb="FF000000"/>
      <name val="Arial"/>
      <family val="0"/>
      <charset val="1"/>
    </font>
    <font>
      <sz val="10"/>
      <color rgb="FF0000FF"/>
      <name val="Arial"/>
      <family val="0"/>
      <charset val="1"/>
    </font>
    <font>
      <b val="true"/>
      <sz val="10"/>
      <color rgb="FF000000"/>
      <name val="Arial"/>
      <family val="0"/>
      <charset val="1"/>
    </font>
    <font>
      <b val="true"/>
      <sz val="10"/>
      <color rgb="FF1F3864"/>
      <name val="Arial"/>
      <family val="0"/>
      <charset val="1"/>
    </font>
    <font>
      <b val="true"/>
      <sz val="10"/>
      <color rgb="FFFFFFFF"/>
      <name val="Arial"/>
      <family val="0"/>
      <charset val="1"/>
    </font>
    <font>
      <b val="true"/>
      <u val="single"/>
      <sz val="10"/>
      <color rgb="FF2E75B6"/>
      <name val="Arial"/>
      <family val="0"/>
      <charset val="1"/>
    </font>
    <font>
      <i val="true"/>
      <sz val="10"/>
      <color rgb="FF7F3F00"/>
      <name val="Arial"/>
      <family val="0"/>
      <charset val="1"/>
    </font>
    <font>
      <i val="true"/>
      <sz val="10"/>
      <color rgb="FF000000"/>
      <name val="Arial"/>
      <family val="0"/>
      <charset val="1"/>
    </font>
    <font>
      <sz val="10"/>
      <color rgb="FF404040"/>
      <name val="Arial"/>
      <family val="0"/>
      <charset val="1"/>
    </font>
    <font>
      <b val="true"/>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2"/>
      <color rgb="FF1F3864"/>
      <name val="Arial"/>
      <family val="0"/>
      <charset val="1"/>
    </font>
  </fonts>
  <fills count="11">
    <fill>
      <patternFill patternType="none"/>
    </fill>
    <fill>
      <patternFill patternType="gray125"/>
    </fill>
    <fill>
      <patternFill patternType="solid">
        <fgColor rgb="FF1F3864"/>
        <bgColor rgb="FF333399"/>
      </patternFill>
    </fill>
    <fill>
      <patternFill patternType="solid">
        <fgColor rgb="FFF2F2F2"/>
        <bgColor rgb="FFE2EFDA"/>
      </patternFill>
    </fill>
    <fill>
      <patternFill patternType="solid">
        <fgColor rgb="FFDEEBF7"/>
        <bgColor rgb="FFD9E2F3"/>
      </patternFill>
    </fill>
    <fill>
      <patternFill patternType="solid">
        <fgColor rgb="FF2E75B6"/>
        <bgColor rgb="FF0066CC"/>
      </patternFill>
    </fill>
    <fill>
      <patternFill patternType="solid">
        <fgColor rgb="FFFFF2CC"/>
        <bgColor rgb="FFFBE5D6"/>
      </patternFill>
    </fill>
    <fill>
      <patternFill patternType="solid">
        <fgColor rgb="FFE2EFDA"/>
        <bgColor rgb="FFDEEBF7"/>
      </patternFill>
    </fill>
    <fill>
      <patternFill patternType="solid">
        <fgColor rgb="FFFBE5D6"/>
        <bgColor rgb="FFFFF2CC"/>
      </patternFill>
    </fill>
    <fill>
      <patternFill patternType="solid">
        <fgColor rgb="FFD9E2F3"/>
        <bgColor rgb="FFDEEBF7"/>
      </patternFill>
    </fill>
    <fill>
      <patternFill patternType="solid">
        <fgColor rgb="FFFFFFFF"/>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6" fillId="4" borderId="0" xfId="0" applyFont="true" applyBorder="true" applyAlignment="true" applyProtection="false">
      <alignment horizontal="left" vertical="top" textRotation="0" wrapText="true" indent="0" shrinkToFit="false"/>
      <protection locked="true" hidden="false"/>
    </xf>
    <xf numFmtId="164" fontId="7" fillId="5"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5" fontId="9" fillId="6"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5" fontId="10" fillId="7"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13"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14" fillId="8" borderId="0"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5" fillId="3"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6" fontId="9" fillId="6" borderId="1" xfId="0" applyFont="true" applyBorder="true" applyAlignment="true" applyProtection="false">
      <alignment horizontal="center" vertical="top" textRotation="0" wrapText="false" indent="0" shrinkToFit="false"/>
      <protection locked="true" hidden="false"/>
    </xf>
    <xf numFmtId="165" fontId="9" fillId="6" borderId="1" xfId="0" applyFont="true" applyBorder="true" applyAlignment="true" applyProtection="false">
      <alignment horizontal="center" vertical="top" textRotation="0" wrapText="false" indent="0" shrinkToFit="false"/>
      <protection locked="true" hidden="false"/>
    </xf>
    <xf numFmtId="167" fontId="8" fillId="0" borderId="1" xfId="0" applyFont="true" applyBorder="true" applyAlignment="true" applyProtection="false">
      <alignment horizontal="center" vertical="top" textRotation="0" wrapText="fals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8" fontId="9" fillId="6" borderId="1" xfId="0" applyFont="true" applyBorder="true" applyAlignment="true" applyProtection="false">
      <alignment horizontal="center" vertical="top" textRotation="0" wrapText="false" indent="0" shrinkToFit="false"/>
      <protection locked="true" hidden="false"/>
    </xf>
    <xf numFmtId="167" fontId="9" fillId="6" borderId="1" xfId="0" applyFont="true" applyBorder="true" applyAlignment="true" applyProtection="false">
      <alignment horizontal="center" vertical="top" textRotation="0" wrapText="false" indent="0" shrinkToFit="false"/>
      <protection locked="true" hidden="false"/>
    </xf>
    <xf numFmtId="169" fontId="8" fillId="0" borderId="1" xfId="0" applyFont="true" applyBorder="true" applyAlignment="true" applyProtection="false">
      <alignment horizontal="center" vertical="top" textRotation="0" wrapText="false" indent="0" shrinkToFit="false"/>
      <protection locked="true" hidden="false"/>
    </xf>
    <xf numFmtId="170" fontId="8" fillId="0" borderId="1" xfId="0" applyFont="true" applyBorder="true" applyAlignment="true" applyProtection="false">
      <alignment horizontal="center" vertical="top" textRotation="0" wrapText="false" indent="0" shrinkToFit="false"/>
      <protection locked="true" hidden="false"/>
    </xf>
    <xf numFmtId="170" fontId="10" fillId="7" borderId="1" xfId="0" applyFont="true" applyBorder="true" applyAlignment="true" applyProtection="false">
      <alignment horizontal="center" vertical="top" textRotation="0" wrapText="false" indent="0" shrinkToFit="false"/>
      <protection locked="true" hidden="false"/>
    </xf>
    <xf numFmtId="164" fontId="17" fillId="6" borderId="0" xfId="0" applyFont="true" applyBorder="true" applyAlignment="true" applyProtection="false">
      <alignment horizontal="left" vertical="top" textRotation="0" wrapText="true" indent="0" shrinkToFit="false"/>
      <protection locked="true" hidden="false"/>
    </xf>
    <xf numFmtId="164" fontId="6" fillId="9"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71" fontId="10" fillId="7" borderId="1" xfId="0" applyFont="true" applyBorder="true" applyAlignment="true" applyProtection="false">
      <alignment horizontal="center" vertical="top" textRotation="0" wrapText="false" indent="0" shrinkToFit="false"/>
      <protection locked="true" hidden="false"/>
    </xf>
    <xf numFmtId="164" fontId="16" fillId="0" borderId="0" xfId="0" applyFont="true" applyBorder="true" applyAlignment="true" applyProtection="false">
      <alignment horizontal="left" vertical="top" textRotation="0" wrapText="true" indent="0" shrinkToFit="false"/>
      <protection locked="true" hidden="false"/>
    </xf>
    <xf numFmtId="170" fontId="8" fillId="0" borderId="1" xfId="0" applyFont="true" applyBorder="true" applyAlignment="true" applyProtection="false">
      <alignment horizontal="center" vertical="top" textRotation="0" wrapText="true" indent="0" shrinkToFit="false"/>
      <protection locked="true" hidden="false"/>
    </xf>
    <xf numFmtId="170" fontId="10" fillId="7" borderId="1" xfId="0" applyFont="true" applyBorder="true" applyAlignment="true" applyProtection="false">
      <alignment horizontal="center" vertical="top" textRotation="0" wrapText="true" indent="0" shrinkToFit="false"/>
      <protection locked="true" hidden="false"/>
    </xf>
    <xf numFmtId="170" fontId="8" fillId="3" borderId="1" xfId="0" applyFont="true" applyBorder="true" applyAlignment="true" applyProtection="false">
      <alignment horizontal="center" vertical="top" textRotation="0" wrapText="true" indent="0" shrinkToFit="false"/>
      <protection locked="true" hidden="false"/>
    </xf>
    <xf numFmtId="164" fontId="21" fillId="3" borderId="0" xfId="0" applyFont="true" applyBorder="true" applyAlignment="true" applyProtection="false">
      <alignment horizontal="center" vertical="center" textRotation="0" wrapText="true" indent="0" shrinkToFit="false"/>
      <protection locked="true" hidden="false"/>
    </xf>
    <xf numFmtId="172" fontId="8" fillId="0" borderId="1" xfId="0" applyFont="true" applyBorder="true" applyAlignment="true" applyProtection="false">
      <alignment horizontal="center" vertical="top" textRotation="0" wrapText="true" indent="0" shrinkToFit="false"/>
      <protection locked="true" hidden="false"/>
    </xf>
    <xf numFmtId="172" fontId="10" fillId="0" borderId="1" xfId="0" applyFont="true" applyBorder="true" applyAlignment="true" applyProtection="false">
      <alignment horizontal="center" vertical="top" textRotation="0" wrapText="true" indent="0" shrinkToFit="false"/>
      <protection locked="true" hidden="false"/>
    </xf>
    <xf numFmtId="172" fontId="8" fillId="3" borderId="1" xfId="0" applyFont="true" applyBorder="true" applyAlignment="true" applyProtection="false">
      <alignment horizontal="center" vertical="top" textRotation="0" wrapText="true" indent="0" shrinkToFit="false"/>
      <protection locked="true" hidden="false"/>
    </xf>
    <xf numFmtId="172" fontId="10" fillId="3" borderId="1" xfId="0" applyFont="true" applyBorder="true" applyAlignment="true" applyProtection="false">
      <alignment horizontal="center" vertical="top" textRotation="0" wrapText="true" indent="0" shrinkToFit="false"/>
      <protection locked="true" hidden="false"/>
    </xf>
    <xf numFmtId="173" fontId="10" fillId="7" borderId="1" xfId="0" applyFont="true" applyBorder="true" applyAlignment="true" applyProtection="false">
      <alignment horizontal="center" vertical="top" textRotation="0" wrapText="false" indent="0" shrinkToFit="false"/>
      <protection locked="true" hidden="false"/>
    </xf>
    <xf numFmtId="173" fontId="9" fillId="6" borderId="1" xfId="0" applyFont="true" applyBorder="true" applyAlignment="true" applyProtection="false">
      <alignment horizontal="center" vertical="top" textRotation="0" wrapText="false" indent="0" shrinkToFit="false"/>
      <protection locked="true" hidden="false"/>
    </xf>
    <xf numFmtId="174" fontId="9" fillId="6" borderId="1" xfId="0" applyFont="true" applyBorder="true" applyAlignment="true" applyProtection="false">
      <alignment horizontal="center" vertical="top" textRotation="0" wrapText="false" indent="0" shrinkToFit="false"/>
      <protection locked="true" hidden="false"/>
    </xf>
    <xf numFmtId="173" fontId="8" fillId="0" borderId="1" xfId="0" applyFont="true" applyBorder="true" applyAlignment="true" applyProtection="false">
      <alignment horizontal="center" vertical="top" textRotation="0" wrapText="false" indent="0" shrinkToFit="false"/>
      <protection locked="true" hidden="false"/>
    </xf>
    <xf numFmtId="175" fontId="8" fillId="0" borderId="1" xfId="0" applyFont="true" applyBorder="true" applyAlignment="true" applyProtection="false">
      <alignment horizontal="center" vertical="top" textRotation="0" wrapText="fals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70" fontId="8" fillId="7" borderId="1" xfId="0" applyFont="true" applyBorder="true" applyAlignment="true" applyProtection="false">
      <alignment horizontal="center" vertical="top" textRotation="0" wrapText="false" indent="0" shrinkToFit="false"/>
      <protection locked="true" hidden="false"/>
    </xf>
    <xf numFmtId="164" fontId="10" fillId="3" borderId="2" xfId="0" applyFont="true" applyBorder="true" applyAlignment="true" applyProtection="false">
      <alignment horizontal="center" vertical="top" textRotation="0" wrapText="true" indent="0" shrinkToFit="false"/>
      <protection locked="true" hidden="false"/>
    </xf>
    <xf numFmtId="167" fontId="10" fillId="7" borderId="1" xfId="0" applyFont="true" applyBorder="true" applyAlignment="true" applyProtection="false">
      <alignment horizontal="center" vertical="top" textRotation="0" wrapText="false" indent="0" shrinkToFit="false"/>
      <protection locked="true" hidden="false"/>
    </xf>
    <xf numFmtId="172" fontId="8" fillId="0" borderId="1" xfId="0" applyFont="true" applyBorder="true" applyAlignment="true" applyProtection="false">
      <alignment horizontal="center" vertical="top" textRotation="0" wrapText="false" indent="0" shrinkToFit="false"/>
      <protection locked="true" hidden="false"/>
    </xf>
    <xf numFmtId="164" fontId="10" fillId="7" borderId="1" xfId="0" applyFont="true" applyBorder="true" applyAlignment="true" applyProtection="false">
      <alignment horizontal="center" vertical="top" textRotation="0" wrapText="false" indent="0" shrinkToFit="false"/>
      <protection locked="true" hidden="false"/>
    </xf>
    <xf numFmtId="169" fontId="9" fillId="6" borderId="1" xfId="0" applyFont="true" applyBorder="true" applyAlignment="true" applyProtection="false">
      <alignment horizontal="center" vertical="top" textRotation="0" wrapText="false" indent="0" shrinkToFit="false"/>
      <protection locked="true" hidden="false"/>
    </xf>
    <xf numFmtId="167" fontId="8" fillId="10" borderId="1" xfId="0" applyFont="true" applyBorder="true" applyAlignment="true" applyProtection="false">
      <alignment horizontal="center" vertical="top" textRotation="0" wrapText="false" indent="0" shrinkToFit="false"/>
      <protection locked="true" hidden="false"/>
    </xf>
    <xf numFmtId="164" fontId="10" fillId="3" borderId="0" xfId="0" applyFont="true" applyBorder="true" applyAlignment="true" applyProtection="false">
      <alignment horizontal="left" vertical="top" textRotation="0" wrapText="true" indent="0" shrinkToFit="false"/>
      <protection locked="true" hidden="false"/>
    </xf>
    <xf numFmtId="164" fontId="11" fillId="9" borderId="0" xfId="0" applyFont="true" applyBorder="false" applyAlignment="true" applyProtection="false">
      <alignment horizontal="left" vertical="top" textRotation="0" wrapText="true" indent="0" shrinkToFit="false"/>
      <protection locked="true" hidden="false"/>
    </xf>
    <xf numFmtId="177" fontId="8" fillId="0" borderId="1" xfId="0" applyFont="true" applyBorder="true" applyAlignment="true" applyProtection="false">
      <alignment horizontal="center" vertical="top" textRotation="0" wrapText="true" indent="0" shrinkToFit="false"/>
      <protection locked="true" hidden="false"/>
    </xf>
    <xf numFmtId="172" fontId="8" fillId="7" borderId="1" xfId="0" applyFont="true" applyBorder="true" applyAlignment="true" applyProtection="false">
      <alignment horizontal="center" vertical="top" textRotation="0" wrapText="true" indent="0" shrinkToFit="false"/>
      <protection locked="true" hidden="false"/>
    </xf>
    <xf numFmtId="177" fontId="8" fillId="3" borderId="1" xfId="0" applyFont="true" applyBorder="true" applyAlignment="true" applyProtection="false">
      <alignment horizontal="center" vertical="top" textRotation="0" wrapText="true" indent="0" shrinkToFit="false"/>
      <protection locked="true" hidden="false"/>
    </xf>
    <xf numFmtId="178" fontId="8" fillId="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79" fontId="8" fillId="0" borderId="1" xfId="0" applyFont="true" applyBorder="true" applyAlignment="true" applyProtection="false">
      <alignment horizontal="center" vertical="top" textRotation="0" wrapText="false" indent="0" shrinkToFit="false"/>
      <protection locked="true" hidden="false"/>
    </xf>
    <xf numFmtId="179" fontId="10" fillId="7" borderId="1" xfId="0" applyFont="true" applyBorder="true" applyAlignment="true" applyProtection="false">
      <alignment horizontal="center" vertical="top" textRotation="0" wrapText="false" indent="0" shrinkToFit="false"/>
      <protection locked="true" hidden="false"/>
    </xf>
    <xf numFmtId="180" fontId="8" fillId="0" borderId="1" xfId="0" applyFont="true" applyBorder="true" applyAlignment="true" applyProtection="false">
      <alignment horizontal="center" vertical="top" textRotation="0" wrapText="true" indent="0" shrinkToFit="false"/>
      <protection locked="true" hidden="false"/>
    </xf>
    <xf numFmtId="180" fontId="8" fillId="3"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DE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BE5D6"/>
      <rgbColor rgb="FF9BC2E6"/>
      <rgbColor rgb="FFD9E2F3"/>
      <rgbColor rgb="FFC9C9C9"/>
      <rgbColor rgb="FFF4B084"/>
      <rgbColor rgb="FF2E75B6"/>
      <rgbColor rgb="FF33CCCC"/>
      <rgbColor rgb="FF99CC00"/>
      <rgbColor rgb="FFFFCC00"/>
      <rgbColor rgb="FFFF9900"/>
      <rgbColor rgb="FFED7D31"/>
      <rgbColor rgb="FF595959"/>
      <rgbColor rgb="FFA9D08E"/>
      <rgbColor rgb="FF1F3864"/>
      <rgbColor rgb="FF339966"/>
      <rgbColor rgb="FF003300"/>
      <rgbColor rgb="FF333300"/>
      <rgbColor rgb="FF7F3F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Loss landscape: MSE vs w (minimum at w = 2)</a:t>
            </a:r>
          </a:p>
        </c:rich>
      </c:tx>
      <c:overlay val="0"/>
      <c:spPr>
        <a:noFill/>
        <a:ln w="0">
          <a:noFill/>
        </a:ln>
      </c:spPr>
    </c:title>
    <c:autoTitleDeleted val="0"/>
    <c:plotArea>
      <c:scatterChart>
        <c:scatterStyle val="lineMarker"/>
        <c:varyColors val="0"/>
        <c:ser>
          <c:idx val="0"/>
          <c:order val="0"/>
          <c:tx>
            <c:strRef>
              <c:f>"loss"</c:f>
              <c:strCache>
                <c:ptCount val="1"/>
                <c:pt idx="0">
                  <c:v>loss</c:v>
                </c:pt>
              </c:strCache>
            </c:strRef>
          </c:tx>
          <c:spPr>
            <a:solidFill>
              <a:srgbClr val="2e75b6"/>
            </a:solidFill>
            <a:ln w="21960">
              <a:solidFill>
                <a:srgbClr val="2e75b6"/>
              </a:solidFill>
              <a:round/>
            </a:ln>
          </c:spPr>
          <c:marker>
            <c:symbol val="circle"/>
            <c:size val="4"/>
            <c:spPr>
              <a:solidFill>
                <a:srgbClr val="2e75b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'01 The Learning Loop'!$B$20:$B$28</c:f>
              <c:numCache>
                <c:formatCode>0.0</c:formatCode>
                <c:ptCount val="9"/>
                <c:pt idx="0">
                  <c:v>0</c:v>
                </c:pt>
                <c:pt idx="1">
                  <c:v>0.5</c:v>
                </c:pt>
                <c:pt idx="2">
                  <c:v>1</c:v>
                </c:pt>
                <c:pt idx="3">
                  <c:v>1.5</c:v>
                </c:pt>
                <c:pt idx="4">
                  <c:v>2</c:v>
                </c:pt>
                <c:pt idx="5">
                  <c:v>2.5</c:v>
                </c:pt>
                <c:pt idx="6">
                  <c:v>3</c:v>
                </c:pt>
                <c:pt idx="7">
                  <c:v>3.5</c:v>
                </c:pt>
                <c:pt idx="8">
                  <c:v>4</c:v>
                </c:pt>
              </c:numCache>
            </c:numRef>
          </c:xVal>
          <c:yVal>
            <c:numRef>
              <c:f>'01 The Learning Loop'!$C$20:$C$28</c:f>
              <c:numCache>
                <c:formatCode>0.000</c:formatCode>
                <c:ptCount val="9"/>
                <c:pt idx="0">
                  <c:v>18.6666666666667</c:v>
                </c:pt>
                <c:pt idx="1">
                  <c:v>10.5</c:v>
                </c:pt>
                <c:pt idx="2">
                  <c:v>4.66666666666667</c:v>
                </c:pt>
                <c:pt idx="3">
                  <c:v>1.16666666666667</c:v>
                </c:pt>
                <c:pt idx="4">
                  <c:v>0</c:v>
                </c:pt>
                <c:pt idx="5">
                  <c:v>1.16666666666667</c:v>
                </c:pt>
                <c:pt idx="6">
                  <c:v>4.66666666666667</c:v>
                </c:pt>
                <c:pt idx="7">
                  <c:v>10.5</c:v>
                </c:pt>
                <c:pt idx="8">
                  <c:v>18.6666666666667</c:v>
                </c:pt>
              </c:numCache>
            </c:numRef>
          </c:yVal>
          <c:smooth val="1"/>
        </c:ser>
        <c:axId val="28582499"/>
        <c:axId val="85053519"/>
      </c:scatterChart>
      <c:valAx>
        <c:axId val="28582499"/>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t>
                </a:r>
              </a:p>
            </c:rich>
          </c:tx>
          <c:overlay val="0"/>
          <c:spPr>
            <a:noFill/>
            <a:ln w="0">
              <a:noFill/>
            </a:ln>
          </c:spPr>
        </c:title>
        <c:numFmt formatCode="0.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5053519"/>
        <c:crosses val="autoZero"/>
        <c:crossBetween val="midCat"/>
      </c:valAx>
      <c:valAx>
        <c:axId val="8505351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loss</a:t>
                </a:r>
              </a:p>
            </c:rich>
          </c:tx>
          <c:overlay val="0"/>
          <c:spPr>
            <a:noFill/>
            <a:ln w="0">
              <a:noFill/>
            </a:ln>
          </c:spPr>
        </c:title>
        <c:numFmt formatCode="0.00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28582499"/>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Loss per step for three learning rates</a:t>
            </a:r>
          </a:p>
        </c:rich>
      </c:tx>
      <c:overlay val="0"/>
      <c:spPr>
        <a:noFill/>
        <a:ln w="0">
          <a:noFill/>
        </a:ln>
      </c:spPr>
    </c:title>
    <c:autoTitleDeleted val="0"/>
    <c:plotArea>
      <c:scatterChart>
        <c:scatterStyle val="lineMarker"/>
        <c:varyColors val="0"/>
        <c:ser>
          <c:idx val="0"/>
          <c:order val="0"/>
          <c:tx>
            <c:strRef>
              <c:f>"η small"</c:f>
              <c:strCache>
                <c:ptCount val="1"/>
                <c:pt idx="0">
                  <c:v>η small</c:v>
                </c:pt>
              </c:strCache>
            </c:strRef>
          </c:tx>
          <c:spPr>
            <a:solidFill>
              <a:srgbClr val="2e75b6"/>
            </a:solidFill>
            <a:ln w="21960">
              <a:solidFill>
                <a:srgbClr val="2e75b6"/>
              </a:solidFill>
              <a:round/>
            </a:ln>
          </c:spPr>
          <c:marker>
            <c:symbol val="circle"/>
            <c:size val="4"/>
            <c:spPr>
              <a:solidFill>
                <a:srgbClr val="2e75b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'04 Gradient Descent'!$B$13:$B$25</c:f>
              <c:numCache>
                <c:formatCode>0</c:formatCode>
                <c:ptCount val="13"/>
                <c:pt idx="0">
                  <c:v>0</c:v>
                </c:pt>
                <c:pt idx="1">
                  <c:v>1</c:v>
                </c:pt>
                <c:pt idx="2">
                  <c:v>2</c:v>
                </c:pt>
                <c:pt idx="3">
                  <c:v>3</c:v>
                </c:pt>
                <c:pt idx="4">
                  <c:v>4</c:v>
                </c:pt>
                <c:pt idx="5">
                  <c:v>5</c:v>
                </c:pt>
                <c:pt idx="6">
                  <c:v>6</c:v>
                </c:pt>
                <c:pt idx="7">
                  <c:v>7</c:v>
                </c:pt>
                <c:pt idx="8">
                  <c:v>8</c:v>
                </c:pt>
                <c:pt idx="9">
                  <c:v>9</c:v>
                </c:pt>
                <c:pt idx="10">
                  <c:v>10</c:v>
                </c:pt>
                <c:pt idx="11">
                  <c:v>11</c:v>
                </c:pt>
                <c:pt idx="12">
                  <c:v>12</c:v>
                </c:pt>
              </c:numCache>
            </c:numRef>
          </c:xVal>
          <c:yVal>
            <c:numRef>
              <c:f>'04 Gradient Descent'!$D$13:$D$25</c:f>
              <c:numCache>
                <c:formatCode>0.0000</c:formatCode>
                <c:ptCount val="13"/>
                <c:pt idx="0">
                  <c:v>9</c:v>
                </c:pt>
                <c:pt idx="1">
                  <c:v>5.76</c:v>
                </c:pt>
                <c:pt idx="2">
                  <c:v>3.6864</c:v>
                </c:pt>
                <c:pt idx="3">
                  <c:v>2.359296</c:v>
                </c:pt>
                <c:pt idx="4">
                  <c:v>1.50994944</c:v>
                </c:pt>
                <c:pt idx="5">
                  <c:v>0.9663676416</c:v>
                </c:pt>
                <c:pt idx="6">
                  <c:v>0.618475290624</c:v>
                </c:pt>
                <c:pt idx="7">
                  <c:v>0.39582418599936</c:v>
                </c:pt>
                <c:pt idx="8">
                  <c:v>0.25332747903959</c:v>
                </c:pt>
                <c:pt idx="9">
                  <c:v>0.162129586585338</c:v>
                </c:pt>
                <c:pt idx="10">
                  <c:v>0.103762935414616</c:v>
                </c:pt>
                <c:pt idx="11">
                  <c:v>0.0664082786653544</c:v>
                </c:pt>
                <c:pt idx="12">
                  <c:v>0.0425012983458269</c:v>
                </c:pt>
              </c:numCache>
            </c:numRef>
          </c:yVal>
          <c:smooth val="1"/>
        </c:ser>
        <c:ser>
          <c:idx val="1"/>
          <c:order val="1"/>
          <c:tx>
            <c:strRef>
              <c:f>"η good"</c:f>
              <c:strCache>
                <c:ptCount val="1"/>
                <c:pt idx="0">
                  <c:v>η good</c:v>
                </c:pt>
              </c:strCache>
            </c:strRef>
          </c:tx>
          <c:spPr>
            <a:solidFill>
              <a:srgbClr val="ed7d31"/>
            </a:solidFill>
            <a:ln w="21960">
              <a:solidFill>
                <a:srgbClr val="ed7d31"/>
              </a:solidFill>
              <a:round/>
            </a:ln>
          </c:spPr>
          <c:marker>
            <c:symbol val="circle"/>
            <c:size val="4"/>
            <c:spPr>
              <a:solidFill>
                <a:srgbClr val="ed7d3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'04 Gradient Descent'!$B$13:$B$25</c:f>
              <c:numCache>
                <c:formatCode>0</c:formatCode>
                <c:ptCount val="13"/>
                <c:pt idx="0">
                  <c:v>0</c:v>
                </c:pt>
                <c:pt idx="1">
                  <c:v>1</c:v>
                </c:pt>
                <c:pt idx="2">
                  <c:v>2</c:v>
                </c:pt>
                <c:pt idx="3">
                  <c:v>3</c:v>
                </c:pt>
                <c:pt idx="4">
                  <c:v>4</c:v>
                </c:pt>
                <c:pt idx="5">
                  <c:v>5</c:v>
                </c:pt>
                <c:pt idx="6">
                  <c:v>6</c:v>
                </c:pt>
                <c:pt idx="7">
                  <c:v>7</c:v>
                </c:pt>
                <c:pt idx="8">
                  <c:v>8</c:v>
                </c:pt>
                <c:pt idx="9">
                  <c:v>9</c:v>
                </c:pt>
                <c:pt idx="10">
                  <c:v>10</c:v>
                </c:pt>
                <c:pt idx="11">
                  <c:v>11</c:v>
                </c:pt>
                <c:pt idx="12">
                  <c:v>12</c:v>
                </c:pt>
              </c:numCache>
            </c:numRef>
          </c:xVal>
          <c:yVal>
            <c:numRef>
              <c:f>'04 Gradient Descent'!$F$13:$F$25</c:f>
              <c:numCache>
                <c:formatCode>0.0000</c:formatCode>
                <c:ptCount val="13"/>
                <c:pt idx="0">
                  <c:v>9</c:v>
                </c:pt>
                <c:pt idx="1">
                  <c:v>0.36</c:v>
                </c:pt>
                <c:pt idx="2">
                  <c:v>0.0144</c:v>
                </c:pt>
                <c:pt idx="3">
                  <c:v>0.000576000000000001</c:v>
                </c:pt>
                <c:pt idx="4">
                  <c:v>2.30399999999992E-005</c:v>
                </c:pt>
                <c:pt idx="5">
                  <c:v>9.21600000000138E-007</c:v>
                </c:pt>
                <c:pt idx="6">
                  <c:v>3.68640000000737E-008</c:v>
                </c:pt>
                <c:pt idx="7">
                  <c:v>1.47456000001659E-009</c:v>
                </c:pt>
                <c:pt idx="8">
                  <c:v>5.89823999992994E-011</c:v>
                </c:pt>
                <c:pt idx="9">
                  <c:v>2.35929600024483E-012</c:v>
                </c:pt>
                <c:pt idx="10">
                  <c:v>9.43718400643627E-014</c:v>
                </c:pt>
                <c:pt idx="11">
                  <c:v>3.77487362440238E-015</c:v>
                </c:pt>
                <c:pt idx="12">
                  <c:v>1.50994942793308E-016</c:v>
                </c:pt>
              </c:numCache>
            </c:numRef>
          </c:yVal>
          <c:smooth val="1"/>
        </c:ser>
        <c:ser>
          <c:idx val="2"/>
          <c:order val="2"/>
          <c:tx>
            <c:strRef>
              <c:f>"η too big (first 10 steps)"</c:f>
              <c:strCache>
                <c:ptCount val="1"/>
                <c:pt idx="0">
                  <c:v>η too big (first 10 steps)</c:v>
                </c:pt>
              </c:strCache>
            </c:strRef>
          </c:tx>
          <c:spPr>
            <a:solidFill>
              <a:srgbClr val="1f3864"/>
            </a:solidFill>
            <a:ln w="21960">
              <a:solidFill>
                <a:srgbClr val="1f3864"/>
              </a:solidFill>
              <a:round/>
            </a:ln>
          </c:spPr>
          <c:marker>
            <c:symbol val="circle"/>
            <c:size val="4"/>
            <c:spPr>
              <a:solidFill>
                <a:srgbClr val="1f3864"/>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'04 Gradient Descent'!$B$13:$B$25</c:f>
              <c:numCache>
                <c:formatCode>0</c:formatCode>
                <c:ptCount val="13"/>
                <c:pt idx="0">
                  <c:v>0</c:v>
                </c:pt>
                <c:pt idx="1">
                  <c:v>1</c:v>
                </c:pt>
                <c:pt idx="2">
                  <c:v>2</c:v>
                </c:pt>
                <c:pt idx="3">
                  <c:v>3</c:v>
                </c:pt>
                <c:pt idx="4">
                  <c:v>4</c:v>
                </c:pt>
                <c:pt idx="5">
                  <c:v>5</c:v>
                </c:pt>
                <c:pt idx="6">
                  <c:v>6</c:v>
                </c:pt>
                <c:pt idx="7">
                  <c:v>7</c:v>
                </c:pt>
                <c:pt idx="8">
                  <c:v>8</c:v>
                </c:pt>
                <c:pt idx="9">
                  <c:v>9</c:v>
                </c:pt>
                <c:pt idx="10">
                  <c:v>10</c:v>
                </c:pt>
                <c:pt idx="11">
                  <c:v>11</c:v>
                </c:pt>
                <c:pt idx="12">
                  <c:v>12</c:v>
                </c:pt>
              </c:numCache>
            </c:numRef>
          </c:xVal>
          <c:yVal>
            <c:numRef>
              <c:f>'04 Gradient Descent'!$H$13:$H$22</c:f>
              <c:numCache>
                <c:formatCode>0.0000</c:formatCode>
                <c:ptCount val="10"/>
                <c:pt idx="0">
                  <c:v>9</c:v>
                </c:pt>
                <c:pt idx="1">
                  <c:v>12.96</c:v>
                </c:pt>
                <c:pt idx="2">
                  <c:v>18.6624</c:v>
                </c:pt>
                <c:pt idx="3">
                  <c:v>26.873856</c:v>
                </c:pt>
                <c:pt idx="4">
                  <c:v>38.69835264</c:v>
                </c:pt>
                <c:pt idx="5">
                  <c:v>55.7256278016001</c:v>
                </c:pt>
                <c:pt idx="6">
                  <c:v>80.2449040343041</c:v>
                </c:pt>
                <c:pt idx="7">
                  <c:v>115.552661809398</c:v>
                </c:pt>
                <c:pt idx="8">
                  <c:v>166.395833005533</c:v>
                </c:pt>
                <c:pt idx="9">
                  <c:v>239.609999527968</c:v>
                </c:pt>
              </c:numCache>
            </c:numRef>
          </c:yVal>
          <c:smooth val="1"/>
        </c:ser>
        <c:axId val="68100524"/>
        <c:axId val="38738455"/>
      </c:scatterChart>
      <c:valAx>
        <c:axId val="68100524"/>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step</a:t>
                </a:r>
              </a:p>
            </c:rich>
          </c:tx>
          <c:overlay val="0"/>
          <c:spPr>
            <a:noFill/>
            <a:ln w="0">
              <a:noFill/>
            </a:ln>
          </c:spPr>
        </c:title>
        <c:numFmt formatCode="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38738455"/>
        <c:crosses val="autoZero"/>
        <c:crossBetween val="midCat"/>
      </c:valAx>
      <c:valAx>
        <c:axId val="38738455"/>
        <c:scaling>
          <c:logBase val="10"/>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loss (log scale)</a:t>
                </a:r>
              </a:p>
            </c:rich>
          </c:tx>
          <c:overlay val="0"/>
          <c:spPr>
            <a:noFill/>
            <a:ln w="0">
              <a:noFill/>
            </a:ln>
          </c:spPr>
        </c:title>
        <c:numFmt formatCode="0E+0" sourceLinked="0"/>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810052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Loss per training step (one neuron)</a:t>
            </a:r>
          </a:p>
        </c:rich>
      </c:tx>
      <c:overlay val="0"/>
      <c:spPr>
        <a:noFill/>
        <a:ln w="0">
          <a:noFill/>
        </a:ln>
      </c:spPr>
    </c:title>
    <c:autoTitleDeleted val="0"/>
    <c:plotArea>
      <c:scatterChart>
        <c:scatterStyle val="lineMarker"/>
        <c:varyColors val="0"/>
        <c:ser>
          <c:idx val="0"/>
          <c:order val="0"/>
          <c:tx>
            <c:strRef>
              <c:f>"loss"</c:f>
              <c:strCache>
                <c:ptCount val="1"/>
                <c:pt idx="0">
                  <c:v>loss</c:v>
                </c:pt>
              </c:strCache>
            </c:strRef>
          </c:tx>
          <c:spPr>
            <a:solidFill>
              <a:srgbClr val="2e75b6"/>
            </a:solidFill>
            <a:ln w="21960">
              <a:solidFill>
                <a:srgbClr val="2e75b6"/>
              </a:solidFill>
              <a:round/>
            </a:ln>
          </c:spPr>
          <c:marker>
            <c:symbol val="circle"/>
            <c:size val="4"/>
            <c:spPr>
              <a:solidFill>
                <a:srgbClr val="2e75b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'06 Backprop One Neuron'!$B$37:$B$51</c:f>
              <c:numCache>
                <c:formatCode>0</c:formatCod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xVal>
          <c:yVal>
            <c:numRef>
              <c:f>'06 Backprop One Neuron'!$F$37:$F$51</c:f>
              <c:numCache>
                <c:formatCode>0.0000</c:formatCode>
                <c:ptCount val="15"/>
                <c:pt idx="0">
                  <c:v>0.110099354538725</c:v>
                </c:pt>
                <c:pt idx="1">
                  <c:v>0.0554030643251256</c:v>
                </c:pt>
                <c:pt idx="2">
                  <c:v>0.035894020006619</c:v>
                </c:pt>
                <c:pt idx="3">
                  <c:v>0.0262779724529913</c:v>
                </c:pt>
                <c:pt idx="4">
                  <c:v>0.0206187645377044</c:v>
                </c:pt>
                <c:pt idx="5">
                  <c:v>0.0169121563354294</c:v>
                </c:pt>
                <c:pt idx="6">
                  <c:v>0.014305290942819</c:v>
                </c:pt>
                <c:pt idx="7">
                  <c:v>0.0123764400571061</c:v>
                </c:pt>
                <c:pt idx="8">
                  <c:v>0.0108940000877493</c:v>
                </c:pt>
                <c:pt idx="9">
                  <c:v>0.00972053835138709</c:v>
                </c:pt>
                <c:pt idx="10">
                  <c:v>0.00876949722446252</c:v>
                </c:pt>
                <c:pt idx="11">
                  <c:v>0.00798372186795835</c:v>
                </c:pt>
                <c:pt idx="12">
                  <c:v>0.00732399284848485</c:v>
                </c:pt>
                <c:pt idx="13">
                  <c:v>0.00676252552524733</c:v>
                </c:pt>
                <c:pt idx="14">
                  <c:v>0.00627909942727257</c:v>
                </c:pt>
              </c:numCache>
            </c:numRef>
          </c:yVal>
          <c:smooth val="1"/>
        </c:ser>
        <c:axId val="70151353"/>
        <c:axId val="62177227"/>
      </c:scatterChart>
      <c:valAx>
        <c:axId val="70151353"/>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step</a:t>
                </a:r>
              </a:p>
            </c:rich>
          </c:tx>
          <c:overlay val="0"/>
          <c:spPr>
            <a:noFill/>
            <a:ln w="0">
              <a:noFill/>
            </a:ln>
          </c:spPr>
        </c:title>
        <c:numFmt formatCode="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2177227"/>
        <c:crosses val="autoZero"/>
        <c:crossBetween val="midCat"/>
      </c:valAx>
      <c:valAx>
        <c:axId val="6217722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loss</a:t>
                </a:r>
              </a:p>
            </c:rich>
          </c:tx>
          <c:overlay val="0"/>
          <c:spPr>
            <a:noFill/>
            <a:ln w="0">
              <a:noFill/>
            </a:ln>
          </c:spPr>
        </c:title>
        <c:numFmt formatCode="0.000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70151353"/>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Loss per epoch: OR is learned, XOR is stuck near ln 2 = 0.693</a:t>
            </a:r>
          </a:p>
        </c:rich>
      </c:tx>
      <c:overlay val="0"/>
      <c:spPr>
        <a:noFill/>
        <a:ln w="0">
          <a:noFill/>
        </a:ln>
      </c:spPr>
    </c:title>
    <c:autoTitleDeleted val="0"/>
    <c:plotArea>
      <c:scatterChart>
        <c:scatterStyle val="lineMarker"/>
        <c:varyColors val="0"/>
        <c:ser>
          <c:idx val="0"/>
          <c:order val="0"/>
          <c:tx>
            <c:strRef>
              <c:f>"OR loss"</c:f>
              <c:strCache>
                <c:ptCount val="1"/>
                <c:pt idx="0">
                  <c:v>OR loss</c:v>
                </c:pt>
              </c:strCache>
            </c:strRef>
          </c:tx>
          <c:spPr>
            <a:solidFill>
              <a:srgbClr val="2e75b6"/>
            </a:solidFill>
            <a:ln w="21960">
              <a:solidFill>
                <a:srgbClr val="2e75b6"/>
              </a:solidFill>
              <a:round/>
            </a:ln>
          </c:spPr>
          <c:marker>
            <c:symbol val="circle"/>
            <c:size val="4"/>
            <c:spPr>
              <a:solidFill>
                <a:srgbClr val="2e75b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'09 E2E Training Loop'!$B$18:$B$58</c:f>
              <c:numCache>
                <c:formatCode>0</c:formatCode>
                <c:ptCount val="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numCache>
            </c:numRef>
          </c:xVal>
          <c:yVal>
            <c:numRef>
              <c:f>'09 E2E Training Loop'!$J$18:$J$58</c:f>
              <c:numCache>
                <c:formatCode>0.0000</c:formatCode>
                <c:ptCount val="41"/>
                <c:pt idx="0">
                  <c:v>0.633594681102394</c:v>
                </c:pt>
                <c:pt idx="1">
                  <c:v>0.447818101345736</c:v>
                </c:pt>
                <c:pt idx="2">
                  <c:v>0.404997853458273</c:v>
                </c:pt>
                <c:pt idx="3">
                  <c:v>0.377632219581674</c:v>
                </c:pt>
                <c:pt idx="4">
                  <c:v>0.355184584174846</c:v>
                </c:pt>
                <c:pt idx="5">
                  <c:v>0.335441589676854</c:v>
                </c:pt>
                <c:pt idx="6">
                  <c:v>0.317685368428764</c:v>
                </c:pt>
                <c:pt idx="7">
                  <c:v>0.301575964430351</c:v>
                </c:pt>
                <c:pt idx="8">
                  <c:v>0.286893254534027</c:v>
                </c:pt>
                <c:pt idx="9">
                  <c:v>0.273466273650409</c:v>
                </c:pt>
                <c:pt idx="10">
                  <c:v>0.261151473835709</c:v>
                </c:pt>
                <c:pt idx="11">
                  <c:v>0.249824959994418</c:v>
                </c:pt>
                <c:pt idx="12">
                  <c:v>0.239378895069677</c:v>
                </c:pt>
                <c:pt idx="13">
                  <c:v>0.229719205635139</c:v>
                </c:pt>
                <c:pt idx="14">
                  <c:v>0.220763756604014</c:v>
                </c:pt>
                <c:pt idx="15">
                  <c:v>0.212440768355001</c:v>
                </c:pt>
                <c:pt idx="16">
                  <c:v>0.204687420022768</c:v>
                </c:pt>
                <c:pt idx="17">
                  <c:v>0.197448623308315</c:v>
                </c:pt>
                <c:pt idx="18">
                  <c:v>0.190675956094122</c:v>
                </c:pt>
                <c:pt idx="19">
                  <c:v>0.184326742680142</c:v>
                </c:pt>
                <c:pt idx="20">
                  <c:v>0.178363265173166</c:v>
                </c:pt>
                <c:pt idx="21">
                  <c:v>0.172752089822618</c:v>
                </c:pt>
                <c:pt idx="22">
                  <c:v>0.167463492628531</c:v>
                </c:pt>
                <c:pt idx="23">
                  <c:v>0.162470969830981</c:v>
                </c:pt>
                <c:pt idx="24">
                  <c:v>0.157750820508018</c:v>
                </c:pt>
                <c:pt idx="25">
                  <c:v>0.153281790193994</c:v>
                </c:pt>
                <c:pt idx="26">
                  <c:v>0.149044766032644</c:v>
                </c:pt>
                <c:pt idx="27">
                  <c:v>0.145022515427359</c:v>
                </c:pt>
                <c:pt idx="28">
                  <c:v>0.141199461419323</c:v>
                </c:pt>
                <c:pt idx="29">
                  <c:v>0.137561489112869</c:v>
                </c:pt>
                <c:pt idx="30">
                  <c:v>0.134095778389971</c:v>
                </c:pt>
                <c:pt idx="31">
                  <c:v>0.13079065893079</c:v>
                </c:pt>
                <c:pt idx="32">
                  <c:v>0.12763548420494</c:v>
                </c:pt>
                <c:pt idx="33">
                  <c:v>0.12462052163762</c:v>
                </c:pt>
                <c:pt idx="34">
                  <c:v>0.121736856603446</c:v>
                </c:pt>
                <c:pt idx="35">
                  <c:v>0.118976308273713</c:v>
                </c:pt>
                <c:pt idx="36">
                  <c:v>0.11633135565289</c:v>
                </c:pt>
                <c:pt idx="37">
                  <c:v>0.113795072398178</c:v>
                </c:pt>
                <c:pt idx="38">
                  <c:v>0.111361069231008</c:v>
                </c:pt>
                <c:pt idx="39">
                  <c:v>0.109023442928909</c:v>
                </c:pt>
                <c:pt idx="40">
                  <c:v>0.106776731036343</c:v>
                </c:pt>
              </c:numCache>
            </c:numRef>
          </c:yVal>
          <c:smooth val="1"/>
        </c:ser>
        <c:ser>
          <c:idx val="1"/>
          <c:order val="1"/>
          <c:tx>
            <c:strRef>
              <c:f>"XOR loss"</c:f>
              <c:strCache>
                <c:ptCount val="1"/>
                <c:pt idx="0">
                  <c:v>XOR loss</c:v>
                </c:pt>
              </c:strCache>
            </c:strRef>
          </c:tx>
          <c:spPr>
            <a:solidFill>
              <a:srgbClr val="ed7d31"/>
            </a:solidFill>
            <a:ln w="21960">
              <a:solidFill>
                <a:srgbClr val="ed7d31"/>
              </a:solidFill>
              <a:round/>
            </a:ln>
          </c:spPr>
          <c:marker>
            <c:symbol val="circle"/>
            <c:size val="4"/>
            <c:spPr>
              <a:solidFill>
                <a:srgbClr val="ed7d3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'09 E2E Training Loop'!$B$18:$B$58</c:f>
              <c:numCache>
                <c:formatCode>0</c:formatCode>
                <c:ptCount val="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numCache>
            </c:numRef>
          </c:xVal>
          <c:yVal>
            <c:numRef>
              <c:f>'09 E2E Training Loop'!$J$68:$J$108</c:f>
              <c:numCache>
                <c:formatCode>0.0000</c:formatCode>
                <c:ptCount val="41"/>
                <c:pt idx="0">
                  <c:v>0.708594681102394</c:v>
                </c:pt>
                <c:pt idx="1">
                  <c:v>0.701116702615631</c:v>
                </c:pt>
                <c:pt idx="2">
                  <c:v>0.699081266131856</c:v>
                </c:pt>
                <c:pt idx="3">
                  <c:v>0.697697935122206</c:v>
                </c:pt>
                <c:pt idx="4">
                  <c:v>0.696641281970309</c:v>
                </c:pt>
                <c:pt idx="5">
                  <c:v>0.695828933675408</c:v>
                </c:pt>
                <c:pt idx="6">
                  <c:v>0.69520471263331</c:v>
                </c:pt>
                <c:pt idx="7">
                  <c:v>0.694725382586427</c:v>
                </c:pt>
                <c:pt idx="8">
                  <c:v>0.694357509286429</c:v>
                </c:pt>
                <c:pt idx="9">
                  <c:v>0.69407528812231</c:v>
                </c:pt>
                <c:pt idx="10">
                  <c:v>0.693858838765089</c:v>
                </c:pt>
                <c:pt idx="11">
                  <c:v>0.693692866306873</c:v>
                </c:pt>
                <c:pt idx="12">
                  <c:v>0.693565616073719</c:v>
                </c:pt>
                <c:pt idx="13">
                  <c:v>0.693468061436934</c:v>
                </c:pt>
                <c:pt idx="14">
                  <c:v>0.693393274884073</c:v>
                </c:pt>
                <c:pt idx="15">
                  <c:v>0.693335942289892</c:v>
                </c:pt>
                <c:pt idx="16">
                  <c:v>0.693291988537569</c:v>
                </c:pt>
                <c:pt idx="17">
                  <c:v>0.693258289405585</c:v>
                </c:pt>
                <c:pt idx="18">
                  <c:v>0.693232450100597</c:v>
                </c:pt>
                <c:pt idx="19">
                  <c:v>0.693212635170238</c:v>
                </c:pt>
                <c:pt idx="20">
                  <c:v>0.693197437963198</c:v>
                </c:pt>
                <c:pt idx="21">
                  <c:v>0.693185780492024</c:v>
                </c:pt>
                <c:pt idx="22">
                  <c:v>0.693176836646966</c:v>
                </c:pt>
                <c:pt idx="23">
                  <c:v>0.69316997333225</c:v>
                </c:pt>
                <c:pt idx="24">
                  <c:v>0.6931647053509</c:v>
                </c:pt>
                <c:pt idx="25">
                  <c:v>0.693160660832079</c:v>
                </c:pt>
                <c:pt idx="26">
                  <c:v>0.693157554740082</c:v>
                </c:pt>
                <c:pt idx="27">
                  <c:v>0.693155168577208</c:v>
                </c:pt>
                <c:pt idx="28">
                  <c:v>0.693153334832894</c:v>
                </c:pt>
                <c:pt idx="29">
                  <c:v>0.693151925069429</c:v>
                </c:pt>
                <c:pt idx="30">
                  <c:v>0.693150840793785</c:v>
                </c:pt>
                <c:pt idx="31">
                  <c:v>0.693150006463882</c:v>
                </c:pt>
                <c:pt idx="32">
                  <c:v>0.693149364129999</c:v>
                </c:pt>
                <c:pt idx="33">
                  <c:v>0.693148869328837</c:v>
                </c:pt>
                <c:pt idx="34">
                  <c:v>0.693148487937189</c:v>
                </c:pt>
                <c:pt idx="35">
                  <c:v>0.693148193760781</c:v>
                </c:pt>
                <c:pt idx="36">
                  <c:v>0.69314796668634</c:v>
                </c:pt>
                <c:pt idx="37">
                  <c:v>0.693147791265174</c:v>
                </c:pt>
                <c:pt idx="38">
                  <c:v>0.693147655627389</c:v>
                </c:pt>
                <c:pt idx="39">
                  <c:v>0.693147550649448</c:v>
                </c:pt>
                <c:pt idx="40">
                  <c:v>0.693147469315875</c:v>
                </c:pt>
              </c:numCache>
            </c:numRef>
          </c:yVal>
          <c:smooth val="1"/>
        </c:ser>
        <c:axId val="14666165"/>
        <c:axId val="22356264"/>
      </c:scatterChart>
      <c:valAx>
        <c:axId val="14666165"/>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epoch</a:t>
                </a:r>
              </a:p>
            </c:rich>
          </c:tx>
          <c:overlay val="0"/>
          <c:spPr>
            <a:noFill/>
            <a:ln w="0">
              <a:noFill/>
            </a:ln>
          </c:spPr>
        </c:title>
        <c:numFmt formatCode="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22356264"/>
        <c:crosses val="autoZero"/>
        <c:crossBetween val="midCat"/>
      </c:valAx>
      <c:valAx>
        <c:axId val="2235626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loss</a:t>
                </a:r>
              </a:p>
            </c:rich>
          </c:tx>
          <c:overlay val="0"/>
          <c:spPr>
            <a:noFill/>
            <a:ln w="0">
              <a:noFill/>
            </a:ln>
          </c:spPr>
        </c:title>
        <c:numFmt formatCode="0.000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4666165"/>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Loss per step (log scale)</a:t>
            </a:r>
          </a:p>
        </c:rich>
      </c:tx>
      <c:overlay val="0"/>
      <c:spPr>
        <a:noFill/>
        <a:ln w="0">
          <a:noFill/>
        </a:ln>
      </c:spPr>
    </c:title>
    <c:autoTitleDeleted val="0"/>
    <c:plotArea>
      <c:scatterChart>
        <c:scatterStyle val="lineMarker"/>
        <c:varyColors val="0"/>
        <c:ser>
          <c:idx val="0"/>
          <c:order val="0"/>
          <c:tx>
            <c:strRef>
              <c:f>"SGD"</c:f>
              <c:strCache>
                <c:ptCount val="1"/>
                <c:pt idx="0">
                  <c:v>SGD</c:v>
                </c:pt>
              </c:strCache>
            </c:strRef>
          </c:tx>
          <c:spPr>
            <a:solidFill>
              <a:srgbClr val="2e75b6"/>
            </a:solidFill>
            <a:ln w="21960">
              <a:solidFill>
                <a:srgbClr val="2e75b6"/>
              </a:solidFill>
              <a:round/>
            </a:ln>
          </c:spPr>
          <c:marker>
            <c:symbol val="circle"/>
            <c:size val="4"/>
            <c:spPr>
              <a:solidFill>
                <a:srgbClr val="2e75b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'11 Optimizers'!$B$17:$B$47</c:f>
              <c:numCache>
                <c:formatCode>0</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xVal>
          <c:yVal>
            <c:numRef>
              <c:f>'11 Optimizers'!$E$17:$E$47</c:f>
              <c:numCache>
                <c:formatCode>0.0000</c:formatCode>
                <c:ptCount val="31"/>
                <c:pt idx="0">
                  <c:v>26</c:v>
                </c:pt>
                <c:pt idx="1">
                  <c:v>12.96</c:v>
                </c:pt>
                <c:pt idx="2">
                  <c:v>10.4976</c:v>
                </c:pt>
                <c:pt idx="3">
                  <c:v>8.503056</c:v>
                </c:pt>
                <c:pt idx="4">
                  <c:v>6.88747536</c:v>
                </c:pt>
                <c:pt idx="5">
                  <c:v>5.5788550416</c:v>
                </c:pt>
                <c:pt idx="6">
                  <c:v>4.518872583696</c:v>
                </c:pt>
                <c:pt idx="7">
                  <c:v>3.66028679279376</c:v>
                </c:pt>
                <c:pt idx="8">
                  <c:v>2.96483230216295</c:v>
                </c:pt>
                <c:pt idx="9">
                  <c:v>2.40151416475199</c:v>
                </c:pt>
                <c:pt idx="10">
                  <c:v>1.94522647344911</c:v>
                </c:pt>
                <c:pt idx="11">
                  <c:v>1.57563344349378</c:v>
                </c:pt>
                <c:pt idx="12">
                  <c:v>1.27626308922996</c:v>
                </c:pt>
                <c:pt idx="13">
                  <c:v>1.03377310227627</c:v>
                </c:pt>
                <c:pt idx="14">
                  <c:v>0.837356212843777</c:v>
                </c:pt>
                <c:pt idx="15">
                  <c:v>0.678258532403459</c:v>
                </c:pt>
                <c:pt idx="16">
                  <c:v>0.549389411246802</c:v>
                </c:pt>
                <c:pt idx="17">
                  <c:v>0.44500542310991</c:v>
                </c:pt>
                <c:pt idx="18">
                  <c:v>0.360454392719027</c:v>
                </c:pt>
                <c:pt idx="19">
                  <c:v>0.291968058102412</c:v>
                </c:pt>
                <c:pt idx="20">
                  <c:v>0.236494127062953</c:v>
                </c:pt>
                <c:pt idx="21">
                  <c:v>0.191560242920992</c:v>
                </c:pt>
                <c:pt idx="22">
                  <c:v>0.155163796766004</c:v>
                </c:pt>
                <c:pt idx="23">
                  <c:v>0.125682675380463</c:v>
                </c:pt>
                <c:pt idx="24">
                  <c:v>0.101802967058175</c:v>
                </c:pt>
                <c:pt idx="25">
                  <c:v>0.0824604033171218</c:v>
                </c:pt>
                <c:pt idx="26">
                  <c:v>0.0667929266868686</c:v>
                </c:pt>
                <c:pt idx="27">
                  <c:v>0.0541022706163636</c:v>
                </c:pt>
                <c:pt idx="28">
                  <c:v>0.0438228391992545</c:v>
                </c:pt>
                <c:pt idx="29">
                  <c:v>0.0354964997513962</c:v>
                </c:pt>
                <c:pt idx="30">
                  <c:v>0.0287521647986309</c:v>
                </c:pt>
              </c:numCache>
            </c:numRef>
          </c:yVal>
          <c:smooth val="1"/>
        </c:ser>
        <c:ser>
          <c:idx val="1"/>
          <c:order val="1"/>
          <c:tx>
            <c:strRef>
              <c:f>"Momentum"</c:f>
              <c:strCache>
                <c:ptCount val="1"/>
                <c:pt idx="0">
                  <c:v>Momentum</c:v>
                </c:pt>
              </c:strCache>
            </c:strRef>
          </c:tx>
          <c:spPr>
            <a:solidFill>
              <a:srgbClr val="ed7d31"/>
            </a:solidFill>
            <a:ln w="21960">
              <a:solidFill>
                <a:srgbClr val="ed7d31"/>
              </a:solidFill>
              <a:round/>
            </a:ln>
          </c:spPr>
          <c:marker>
            <c:symbol val="circle"/>
            <c:size val="4"/>
            <c:spPr>
              <a:solidFill>
                <a:srgbClr val="ed7d3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'11 Optimizers'!$B$17:$B$47</c:f>
              <c:numCache>
                <c:formatCode>0</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xVal>
          <c:yVal>
            <c:numRef>
              <c:f>'11 Optimizers'!$J$17:$J$47</c:f>
              <c:numCache>
                <c:formatCode>0.0000</c:formatCode>
                <c:ptCount val="31"/>
                <c:pt idx="0">
                  <c:v>26</c:v>
                </c:pt>
                <c:pt idx="1">
                  <c:v>12.96</c:v>
                </c:pt>
                <c:pt idx="2">
                  <c:v>11.7416</c:v>
                </c:pt>
                <c:pt idx="3">
                  <c:v>6.656936</c:v>
                </c:pt>
                <c:pt idx="4">
                  <c:v>3.83650856</c:v>
                </c:pt>
                <c:pt idx="5">
                  <c:v>2.4766267176</c:v>
                </c:pt>
                <c:pt idx="6">
                  <c:v>1.179762633896</c:v>
                </c:pt>
                <c:pt idx="7">
                  <c:v>0.67796623039016</c:v>
                </c:pt>
                <c:pt idx="8">
                  <c:v>0.342161805513054</c:v>
                </c:pt>
                <c:pt idx="9">
                  <c:v>0.153154918273117</c:v>
                </c:pt>
                <c:pt idx="10">
                  <c:v>0.0817961925272097</c:v>
                </c:pt>
                <c:pt idx="11">
                  <c:v>0.03271188784085</c:v>
                </c:pt>
                <c:pt idx="12">
                  <c:v>0.0146451791673374</c:v>
                </c:pt>
                <c:pt idx="13">
                  <c:v>0.00655672066573657</c:v>
                </c:pt>
                <c:pt idx="14">
                  <c:v>0.00198521283531292</c:v>
                </c:pt>
                <c:pt idx="15">
                  <c:v>0.000974377158109848</c:v>
                </c:pt>
                <c:pt idx="16">
                  <c:v>0.000265582663964495</c:v>
                </c:pt>
                <c:pt idx="17">
                  <c:v>6.22202164621034E-005</c:v>
                </c:pt>
                <c:pt idx="18">
                  <c:v>4.740155512294E-005</c:v>
                </c:pt>
                <c:pt idx="19">
                  <c:v>1.10135417375062E-006</c:v>
                </c:pt>
                <c:pt idx="20">
                  <c:v>9.53430262001396E-006</c:v>
                </c:pt>
                <c:pt idx="21">
                  <c:v>6.94783520850096E-006</c:v>
                </c:pt>
                <c:pt idx="22">
                  <c:v>3.70357368162643E-006</c:v>
                </c:pt>
                <c:pt idx="23">
                  <c:v>4.26386937695308E-006</c:v>
                </c:pt>
                <c:pt idx="24">
                  <c:v>2.24200566693839E-006</c:v>
                </c:pt>
                <c:pt idx="25">
                  <c:v>1.55054009730332E-006</c:v>
                </c:pt>
                <c:pt idx="26">
                  <c:v>1.00196931762978E-006</c:v>
                </c:pt>
                <c:pt idx="27">
                  <c:v>4.98113271204306E-007</c:v>
                </c:pt>
                <c:pt idx="28">
                  <c:v>3.13998753576543E-007</c:v>
                </c:pt>
                <c:pt idx="29">
                  <c:v>1.55061148920284E-007</c:v>
                </c:pt>
                <c:pt idx="30">
                  <c:v>7.7091360401542E-008</c:v>
                </c:pt>
              </c:numCache>
            </c:numRef>
          </c:yVal>
          <c:smooth val="1"/>
        </c:ser>
        <c:ser>
          <c:idx val="2"/>
          <c:order val="2"/>
          <c:tx>
            <c:strRef>
              <c:f>"Adam"</c:f>
              <c:strCache>
                <c:ptCount val="1"/>
                <c:pt idx="0">
                  <c:v>Adam</c:v>
                </c:pt>
              </c:strCache>
            </c:strRef>
          </c:tx>
          <c:spPr>
            <a:solidFill>
              <a:srgbClr val="1f3864"/>
            </a:solidFill>
            <a:ln w="21960">
              <a:solidFill>
                <a:srgbClr val="1f3864"/>
              </a:solidFill>
              <a:round/>
            </a:ln>
          </c:spPr>
          <c:marker>
            <c:symbol val="circle"/>
            <c:size val="4"/>
            <c:spPr>
              <a:solidFill>
                <a:srgbClr val="1f3864"/>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'11 Optimizers'!$B$17:$B$47</c:f>
              <c:numCache>
                <c:formatCode>0</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xVal>
          <c:yVal>
            <c:numRef>
              <c:f>'11 Optimizers'!$K$50:$K$80</c:f>
              <c:numCache>
                <c:formatCode>0.0000</c:formatCode>
                <c:ptCount val="31"/>
                <c:pt idx="0">
                  <c:v>26</c:v>
                </c:pt>
                <c:pt idx="1">
                  <c:v>20.8400000035</c:v>
                </c:pt>
                <c:pt idx="2">
                  <c:v>16.5909519785088</c:v>
                </c:pt>
                <c:pt idx="3">
                  <c:v>13.2473688366191</c:v>
                </c:pt>
                <c:pt idx="4">
                  <c:v>10.7692671614116</c:v>
                </c:pt>
                <c:pt idx="5">
                  <c:v>9.06645005160313</c:v>
                </c:pt>
                <c:pt idx="6">
                  <c:v>7.98757069962396</c:v>
                </c:pt>
                <c:pt idx="7">
                  <c:v>7.32768751602505</c:v>
                </c:pt>
                <c:pt idx="8">
                  <c:v>6.86432553329693</c:v>
                </c:pt>
                <c:pt idx="9">
                  <c:v>6.41033760092356</c:v>
                </c:pt>
                <c:pt idx="10">
                  <c:v>5.85271965374747</c:v>
                </c:pt>
                <c:pt idx="11">
                  <c:v>5.15816647055343</c:v>
                </c:pt>
                <c:pt idx="12">
                  <c:v>4.35326031958874</c:v>
                </c:pt>
                <c:pt idx="13">
                  <c:v>3.49750911725171</c:v>
                </c:pt>
                <c:pt idx="14">
                  <c:v>2.66057402981166</c:v>
                </c:pt>
                <c:pt idx="15">
                  <c:v>1.9064424128586</c:v>
                </c:pt>
                <c:pt idx="16">
                  <c:v>1.28346522376444</c:v>
                </c:pt>
                <c:pt idx="17">
                  <c:v>0.818769024536777</c:v>
                </c:pt>
                <c:pt idx="18">
                  <c:v>0.516301897814606</c:v>
                </c:pt>
                <c:pt idx="19">
                  <c:v>0.358436190817092</c:v>
                </c:pt>
                <c:pt idx="20">
                  <c:v>0.311097434105768</c:v>
                </c:pt>
                <c:pt idx="21">
                  <c:v>0.331721987662113</c:v>
                </c:pt>
                <c:pt idx="22">
                  <c:v>0.378346029780904</c:v>
                </c:pt>
                <c:pt idx="23">
                  <c:v>0.417534493755801</c:v>
                </c:pt>
                <c:pt idx="24">
                  <c:v>0.429222569338162</c:v>
                </c:pt>
                <c:pt idx="25">
                  <c:v>0.407710997133079</c:v>
                </c:pt>
                <c:pt idx="26">
                  <c:v>0.359322297968146</c:v>
                </c:pt>
                <c:pt idx="27">
                  <c:v>0.297979868302433</c:v>
                </c:pt>
                <c:pt idx="28">
                  <c:v>0.240104179424054</c:v>
                </c:pt>
                <c:pt idx="29">
                  <c:v>0.199975075515912</c:v>
                </c:pt>
                <c:pt idx="30">
                  <c:v>0.186357117162626</c:v>
                </c:pt>
              </c:numCache>
            </c:numRef>
          </c:yVal>
          <c:smooth val="1"/>
        </c:ser>
        <c:axId val="21102884"/>
        <c:axId val="30336550"/>
      </c:scatterChart>
      <c:valAx>
        <c:axId val="21102884"/>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step</a:t>
                </a:r>
              </a:p>
            </c:rich>
          </c:tx>
          <c:overlay val="0"/>
          <c:spPr>
            <a:noFill/>
            <a:ln w="0">
              <a:noFill/>
            </a:ln>
          </c:spPr>
        </c:title>
        <c:numFmt formatCode="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30336550"/>
        <c:crosses val="autoZero"/>
        <c:crossBetween val="midCat"/>
      </c:valAx>
      <c:valAx>
        <c:axId val="30336550"/>
        <c:scaling>
          <c:logBase val="10"/>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loss</a:t>
                </a:r>
              </a:p>
            </c:rich>
          </c:tx>
          <c:overlay val="0"/>
          <c:spPr>
            <a:noFill/>
            <a:ln w="0">
              <a:noFill/>
            </a:ln>
          </c:spPr>
        </c:title>
        <c:numFmt formatCode="0E+0" sourceLinked="0"/>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2110288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18</xdr:row>
      <xdr:rowOff>0</xdr:rowOff>
    </xdr:from>
    <xdr:to>
      <xdr:col>9</xdr:col>
      <xdr:colOff>648000</xdr:colOff>
      <xdr:row>30</xdr:row>
      <xdr:rowOff>42840</xdr:rowOff>
    </xdr:to>
    <xdr:graphicFrame>
      <xdr:nvGraphicFramePr>
        <xdr:cNvPr id="0" name="Chart 1"/>
        <xdr:cNvGraphicFramePr/>
      </xdr:nvGraphicFramePr>
      <xdr:xfrm>
        <a:off x="4533840" y="493380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27</xdr:row>
      <xdr:rowOff>0</xdr:rowOff>
    </xdr:from>
    <xdr:to>
      <xdr:col>9</xdr:col>
      <xdr:colOff>763200</xdr:colOff>
      <xdr:row>42</xdr:row>
      <xdr:rowOff>21960</xdr:rowOff>
    </xdr:to>
    <xdr:graphicFrame>
      <xdr:nvGraphicFramePr>
        <xdr:cNvPr id="1" name="Chart 1"/>
        <xdr:cNvGraphicFramePr/>
      </xdr:nvGraphicFramePr>
      <xdr:xfrm>
        <a:off x="2489040" y="588636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35</xdr:row>
      <xdr:rowOff>0</xdr:rowOff>
    </xdr:from>
    <xdr:to>
      <xdr:col>12</xdr:col>
      <xdr:colOff>892440</xdr:colOff>
      <xdr:row>47</xdr:row>
      <xdr:rowOff>43200</xdr:rowOff>
    </xdr:to>
    <xdr:graphicFrame>
      <xdr:nvGraphicFramePr>
        <xdr:cNvPr id="2" name="Chart 1"/>
        <xdr:cNvGraphicFramePr/>
      </xdr:nvGraphicFramePr>
      <xdr:xfrm>
        <a:off x="9645480" y="8077320"/>
        <a:ext cx="39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110</xdr:row>
      <xdr:rowOff>0</xdr:rowOff>
    </xdr:from>
    <xdr:to>
      <xdr:col>9</xdr:col>
      <xdr:colOff>763200</xdr:colOff>
      <xdr:row>125</xdr:row>
      <xdr:rowOff>22320</xdr:rowOff>
    </xdr:to>
    <xdr:graphicFrame>
      <xdr:nvGraphicFramePr>
        <xdr:cNvPr id="3" name="Chart 1"/>
        <xdr:cNvGraphicFramePr/>
      </xdr:nvGraphicFramePr>
      <xdr:xfrm>
        <a:off x="2489040" y="2237436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81</xdr:row>
      <xdr:rowOff>0</xdr:rowOff>
    </xdr:from>
    <xdr:to>
      <xdr:col>9</xdr:col>
      <xdr:colOff>763200</xdr:colOff>
      <xdr:row>96</xdr:row>
      <xdr:rowOff>21960</xdr:rowOff>
    </xdr:to>
    <xdr:graphicFrame>
      <xdr:nvGraphicFramePr>
        <xdr:cNvPr id="4" name="Chart 1"/>
        <xdr:cNvGraphicFramePr/>
      </xdr:nvGraphicFramePr>
      <xdr:xfrm>
        <a:off x="2489040" y="1673532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bp_check.xlsx" TargetMode="External"/><Relationship Id="rId2" Type="http://schemas.openxmlformats.org/officeDocument/2006/relationships/hyperlink" Target="bp_check.xlsx" TargetMode="External"/><Relationship Id="rId3" Type="http://schemas.openxmlformats.org/officeDocument/2006/relationships/hyperlink" Target="bp_check.xlsx" TargetMode="External"/><Relationship Id="rId4" Type="http://schemas.openxmlformats.org/officeDocument/2006/relationships/hyperlink" Target="bp_check.xlsx" TargetMode="External"/><Relationship Id="rId5" Type="http://schemas.openxmlformats.org/officeDocument/2006/relationships/hyperlink" Target="bp_check.xlsx" TargetMode="External"/><Relationship Id="rId6" Type="http://schemas.openxmlformats.org/officeDocument/2006/relationships/hyperlink" Target="bp_check.xlsx" TargetMode="External"/><Relationship Id="rId7" Type="http://schemas.openxmlformats.org/officeDocument/2006/relationships/hyperlink" Target="bp_check.xlsx" TargetMode="External"/><Relationship Id="rId8" Type="http://schemas.openxmlformats.org/officeDocument/2006/relationships/hyperlink" Target="bp_check.xlsx" TargetMode="External"/><Relationship Id="rId9" Type="http://schemas.openxmlformats.org/officeDocument/2006/relationships/hyperlink" Target="bp_check.xlsx" TargetMode="External"/><Relationship Id="rId10" Type="http://schemas.openxmlformats.org/officeDocument/2006/relationships/hyperlink" Target="bp_check.xlsx" TargetMode="External"/><Relationship Id="rId11" Type="http://schemas.openxmlformats.org/officeDocument/2006/relationships/hyperlink" Target="bp_check.xlsx" TargetMode="External"/><Relationship Id="rId12" Type="http://schemas.openxmlformats.org/officeDocument/2006/relationships/hyperlink" Target="bp_check.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N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0</v>
      </c>
      <c r="C1" s="1"/>
      <c r="D1" s="1"/>
      <c r="E1" s="1"/>
      <c r="F1" s="1"/>
      <c r="G1" s="1"/>
      <c r="H1" s="1"/>
      <c r="I1" s="1"/>
      <c r="J1" s="1"/>
      <c r="K1" s="1"/>
      <c r="L1" s="1"/>
      <c r="M1" s="1"/>
      <c r="N1" s="1"/>
    </row>
    <row r="2" customFormat="false" ht="17.25" hidden="false" customHeight="true" outlineLevel="0" collapsed="false">
      <c r="B2" s="2" t="s">
        <v>1</v>
      </c>
      <c r="C2" s="2"/>
      <c r="D2" s="2"/>
      <c r="E2" s="2"/>
      <c r="F2" s="2"/>
      <c r="G2" s="2"/>
      <c r="H2" s="2"/>
      <c r="I2" s="2"/>
      <c r="J2" s="2"/>
      <c r="K2" s="2"/>
      <c r="L2" s="2"/>
      <c r="M2" s="2"/>
      <c r="N2" s="2"/>
    </row>
    <row r="4" customFormat="false" ht="34.5" hidden="false" customHeight="true" outlineLevel="0" collapsed="false">
      <c r="B4" s="3" t="s">
        <v>2</v>
      </c>
      <c r="C4" s="3"/>
      <c r="D4" s="3"/>
      <c r="E4" s="3"/>
      <c r="F4" s="3"/>
      <c r="G4" s="3"/>
      <c r="H4" s="3"/>
      <c r="I4" s="3"/>
      <c r="J4" s="3"/>
      <c r="K4" s="3"/>
      <c r="L4" s="3"/>
      <c r="M4" s="3"/>
      <c r="N4" s="3"/>
    </row>
    <row r="5" customFormat="false" ht="21.75" hidden="false" customHeight="true" outlineLevel="0" collapsed="false">
      <c r="B5" s="4" t="s">
        <v>3</v>
      </c>
      <c r="C5" s="4"/>
      <c r="D5" s="4"/>
      <c r="E5" s="4"/>
      <c r="F5" s="4"/>
      <c r="G5" s="4"/>
      <c r="H5" s="4"/>
      <c r="I5" s="4"/>
      <c r="J5" s="4"/>
      <c r="K5" s="4"/>
      <c r="L5" s="4"/>
      <c r="M5" s="4"/>
      <c r="N5" s="4"/>
    </row>
    <row r="6" customFormat="false" ht="17.25" hidden="false" customHeight="true" outlineLevel="0" collapsed="false">
      <c r="B6" s="5" t="s">
        <v>4</v>
      </c>
      <c r="C6" s="5"/>
      <c r="D6" s="5"/>
      <c r="E6" s="5"/>
      <c r="F6" s="5"/>
      <c r="G6" s="5"/>
      <c r="H6" s="5"/>
      <c r="I6" s="5"/>
      <c r="J6" s="5"/>
      <c r="K6" s="5"/>
      <c r="L6" s="5"/>
      <c r="M6" s="5"/>
      <c r="N6" s="5"/>
    </row>
    <row r="7" customFormat="false" ht="17.25" hidden="false" customHeight="true" outlineLevel="0" collapsed="false">
      <c r="B7" s="5" t="s">
        <v>5</v>
      </c>
      <c r="C7" s="5"/>
      <c r="D7" s="5"/>
      <c r="E7" s="5"/>
      <c r="F7" s="5"/>
      <c r="G7" s="5"/>
      <c r="H7" s="5"/>
      <c r="I7" s="5"/>
      <c r="J7" s="5"/>
      <c r="K7" s="5"/>
      <c r="L7" s="5"/>
      <c r="M7" s="5"/>
      <c r="N7" s="5"/>
    </row>
    <row r="8" customFormat="false" ht="17.25" hidden="false" customHeight="true" outlineLevel="0" collapsed="false">
      <c r="B8" s="5" t="s">
        <v>6</v>
      </c>
      <c r="C8" s="5"/>
      <c r="D8" s="5"/>
      <c r="E8" s="5"/>
      <c r="F8" s="5"/>
      <c r="G8" s="5"/>
      <c r="H8" s="5"/>
      <c r="I8" s="5"/>
      <c r="J8" s="5"/>
      <c r="K8" s="5"/>
      <c r="L8" s="5"/>
      <c r="M8" s="5"/>
      <c r="N8" s="5"/>
    </row>
    <row r="9" customFormat="false" ht="17.25" hidden="false" customHeight="true" outlineLevel="0" collapsed="false">
      <c r="B9" s="5" t="s">
        <v>7</v>
      </c>
      <c r="C9" s="5"/>
      <c r="D9" s="5"/>
      <c r="E9" s="5"/>
      <c r="F9" s="5"/>
      <c r="G9" s="5"/>
      <c r="H9" s="5"/>
      <c r="I9" s="5"/>
      <c r="J9" s="5"/>
      <c r="K9" s="5"/>
      <c r="L9" s="5"/>
      <c r="M9" s="5"/>
      <c r="N9" s="5"/>
    </row>
    <row r="10" customFormat="false" ht="17.25" hidden="false" customHeight="true" outlineLevel="0" collapsed="false">
      <c r="B10" s="5" t="s">
        <v>8</v>
      </c>
      <c r="C10" s="5"/>
      <c r="D10" s="5"/>
      <c r="E10" s="5"/>
      <c r="F10" s="5"/>
      <c r="G10" s="5"/>
      <c r="H10" s="5"/>
      <c r="I10" s="5"/>
      <c r="J10" s="5"/>
      <c r="K10" s="5"/>
      <c r="L10" s="5"/>
      <c r="M10" s="5"/>
      <c r="N10" s="5"/>
    </row>
    <row r="11" customFormat="false" ht="21.75" hidden="false" customHeight="true" outlineLevel="0" collapsed="false">
      <c r="B11" s="4" t="s">
        <v>9</v>
      </c>
      <c r="C11" s="4"/>
      <c r="D11" s="4"/>
      <c r="E11" s="4"/>
      <c r="F11" s="4"/>
      <c r="G11" s="4"/>
      <c r="H11" s="4"/>
      <c r="I11" s="4"/>
      <c r="J11" s="4"/>
      <c r="K11" s="4"/>
      <c r="L11" s="4"/>
      <c r="M11" s="4"/>
      <c r="N11" s="4"/>
    </row>
    <row r="12" customFormat="false" ht="17.25" hidden="false" customHeight="true" outlineLevel="0" collapsed="false">
      <c r="B12" s="6" t="n">
        <v>1.5</v>
      </c>
      <c r="C12" s="5" t="s">
        <v>10</v>
      </c>
      <c r="D12" s="5"/>
      <c r="E12" s="5"/>
      <c r="F12" s="5"/>
      <c r="G12" s="5"/>
      <c r="H12" s="5"/>
      <c r="I12" s="5"/>
      <c r="J12" s="5"/>
      <c r="K12" s="5"/>
      <c r="L12" s="5"/>
      <c r="M12" s="5"/>
      <c r="N12" s="5"/>
    </row>
    <row r="13" customFormat="false" ht="17.25" hidden="false" customHeight="true" outlineLevel="0" collapsed="false">
      <c r="B13" s="7" t="n">
        <f aca="false">B12*2</f>
        <v>3</v>
      </c>
      <c r="C13" s="5" t="s">
        <v>11</v>
      </c>
      <c r="D13" s="5"/>
      <c r="E13" s="5"/>
      <c r="F13" s="5"/>
      <c r="G13" s="5"/>
      <c r="H13" s="5"/>
      <c r="I13" s="5"/>
      <c r="J13" s="5"/>
      <c r="K13" s="5"/>
      <c r="L13" s="5"/>
      <c r="M13" s="5"/>
      <c r="N13" s="5"/>
    </row>
    <row r="14" customFormat="false" ht="17.25" hidden="false" customHeight="true" outlineLevel="0" collapsed="false">
      <c r="B14" s="8" t="n">
        <f aca="false">B12*3</f>
        <v>4.5</v>
      </c>
      <c r="C14" s="5" t="s">
        <v>12</v>
      </c>
      <c r="D14" s="5"/>
      <c r="E14" s="5"/>
      <c r="F14" s="5"/>
      <c r="G14" s="5"/>
      <c r="H14" s="5"/>
      <c r="I14" s="5"/>
      <c r="J14" s="5"/>
      <c r="K14" s="5"/>
      <c r="L14" s="5"/>
      <c r="M14" s="5"/>
      <c r="N14" s="5"/>
    </row>
    <row r="15" customFormat="false" ht="17.25" hidden="false" customHeight="true" outlineLevel="0" collapsed="false">
      <c r="B15" s="9" t="s">
        <v>13</v>
      </c>
      <c r="C15" s="5" t="s">
        <v>14</v>
      </c>
      <c r="D15" s="5"/>
      <c r="E15" s="5"/>
      <c r="F15" s="5"/>
      <c r="G15" s="5"/>
      <c r="H15" s="5"/>
      <c r="I15" s="5"/>
      <c r="J15" s="5"/>
      <c r="K15" s="5"/>
      <c r="L15" s="5"/>
      <c r="M15" s="5"/>
      <c r="N15" s="5"/>
    </row>
    <row r="17" customFormat="false" ht="21.75" hidden="false" customHeight="true" outlineLevel="0" collapsed="false">
      <c r="B17" s="4" t="s">
        <v>15</v>
      </c>
      <c r="C17" s="4"/>
      <c r="D17" s="4"/>
      <c r="E17" s="4"/>
      <c r="F17" s="4"/>
      <c r="G17" s="4"/>
      <c r="H17" s="4"/>
      <c r="I17" s="4"/>
      <c r="J17" s="4"/>
      <c r="K17" s="4"/>
      <c r="L17" s="4"/>
      <c r="M17" s="4"/>
      <c r="N17" s="4"/>
    </row>
    <row r="18" customFormat="false" ht="17.25" hidden="false" customHeight="true" outlineLevel="0" collapsed="false">
      <c r="B18" s="10" t="s">
        <v>16</v>
      </c>
      <c r="C18" s="10"/>
      <c r="D18" s="10"/>
      <c r="E18" s="10" t="s">
        <v>17</v>
      </c>
      <c r="F18" s="10"/>
      <c r="G18" s="10"/>
      <c r="H18" s="10"/>
      <c r="I18" s="10"/>
      <c r="J18" s="10"/>
      <c r="K18" s="10"/>
      <c r="L18" s="10"/>
      <c r="M18" s="10" t="s">
        <v>18</v>
      </c>
      <c r="N18" s="10"/>
    </row>
    <row r="19" customFormat="false" ht="17.25" hidden="false" customHeight="true" outlineLevel="0" collapsed="false">
      <c r="B19" s="11" t="s">
        <v>19</v>
      </c>
      <c r="C19" s="11"/>
      <c r="D19" s="11"/>
      <c r="E19" s="12" t="s">
        <v>20</v>
      </c>
      <c r="F19" s="12"/>
      <c r="G19" s="12"/>
      <c r="H19" s="12"/>
      <c r="I19" s="12"/>
      <c r="J19" s="12"/>
      <c r="K19" s="12"/>
      <c r="L19" s="12"/>
      <c r="M19" s="13" t="s">
        <v>21</v>
      </c>
      <c r="N19" s="13"/>
    </row>
    <row r="20" customFormat="false" ht="17.25" hidden="false" customHeight="true" outlineLevel="0" collapsed="false">
      <c r="B20" s="14" t="s">
        <v>22</v>
      </c>
      <c r="C20" s="14"/>
      <c r="D20" s="14"/>
      <c r="E20" s="15" t="s">
        <v>23</v>
      </c>
      <c r="F20" s="15"/>
      <c r="G20" s="15"/>
      <c r="H20" s="15"/>
      <c r="I20" s="15"/>
      <c r="J20" s="15"/>
      <c r="K20" s="15"/>
      <c r="L20" s="15"/>
      <c r="M20" s="16" t="s">
        <v>21</v>
      </c>
      <c r="N20" s="16"/>
    </row>
    <row r="21" customFormat="false" ht="17.25" hidden="false" customHeight="true" outlineLevel="0" collapsed="false">
      <c r="B21" s="11" t="s">
        <v>24</v>
      </c>
      <c r="C21" s="11"/>
      <c r="D21" s="11"/>
      <c r="E21" s="12" t="s">
        <v>25</v>
      </c>
      <c r="F21" s="12"/>
      <c r="G21" s="12"/>
      <c r="H21" s="12"/>
      <c r="I21" s="12"/>
      <c r="J21" s="12"/>
      <c r="K21" s="12"/>
      <c r="L21" s="12"/>
      <c r="M21" s="13" t="s">
        <v>21</v>
      </c>
      <c r="N21" s="13"/>
    </row>
    <row r="22" customFormat="false" ht="17.25" hidden="false" customHeight="true" outlineLevel="0" collapsed="false">
      <c r="B22" s="14" t="s">
        <v>26</v>
      </c>
      <c r="C22" s="14"/>
      <c r="D22" s="14"/>
      <c r="E22" s="15" t="s">
        <v>27</v>
      </c>
      <c r="F22" s="15"/>
      <c r="G22" s="15"/>
      <c r="H22" s="15"/>
      <c r="I22" s="15"/>
      <c r="J22" s="15"/>
      <c r="K22" s="15"/>
      <c r="L22" s="15"/>
      <c r="M22" s="16" t="s">
        <v>28</v>
      </c>
      <c r="N22" s="16"/>
    </row>
    <row r="23" customFormat="false" ht="17.25" hidden="false" customHeight="true" outlineLevel="0" collapsed="false">
      <c r="B23" s="11" t="s">
        <v>29</v>
      </c>
      <c r="C23" s="11"/>
      <c r="D23" s="11"/>
      <c r="E23" s="12" t="s">
        <v>30</v>
      </c>
      <c r="F23" s="12"/>
      <c r="G23" s="12"/>
      <c r="H23" s="12"/>
      <c r="I23" s="12"/>
      <c r="J23" s="12"/>
      <c r="K23" s="12"/>
      <c r="L23" s="12"/>
      <c r="M23" s="13" t="s">
        <v>28</v>
      </c>
      <c r="N23" s="13"/>
    </row>
    <row r="24" customFormat="false" ht="17.25" hidden="false" customHeight="true" outlineLevel="0" collapsed="false">
      <c r="B24" s="14" t="s">
        <v>31</v>
      </c>
      <c r="C24" s="14"/>
      <c r="D24" s="14"/>
      <c r="E24" s="15" t="s">
        <v>32</v>
      </c>
      <c r="F24" s="15"/>
      <c r="G24" s="15"/>
      <c r="H24" s="15"/>
      <c r="I24" s="15"/>
      <c r="J24" s="15"/>
      <c r="K24" s="15"/>
      <c r="L24" s="15"/>
      <c r="M24" s="16" t="s">
        <v>28</v>
      </c>
      <c r="N24" s="16"/>
    </row>
    <row r="25" customFormat="false" ht="17.25" hidden="false" customHeight="true" outlineLevel="0" collapsed="false">
      <c r="B25" s="11" t="s">
        <v>33</v>
      </c>
      <c r="C25" s="11"/>
      <c r="D25" s="11"/>
      <c r="E25" s="12" t="s">
        <v>34</v>
      </c>
      <c r="F25" s="12"/>
      <c r="G25" s="12"/>
      <c r="H25" s="12"/>
      <c r="I25" s="12"/>
      <c r="J25" s="12"/>
      <c r="K25" s="12"/>
      <c r="L25" s="12"/>
      <c r="M25" s="13" t="s">
        <v>28</v>
      </c>
      <c r="N25" s="13"/>
    </row>
    <row r="26" customFormat="false" ht="17.25" hidden="false" customHeight="true" outlineLevel="0" collapsed="false">
      <c r="B26" s="14" t="s">
        <v>35</v>
      </c>
      <c r="C26" s="14"/>
      <c r="D26" s="14"/>
      <c r="E26" s="15" t="s">
        <v>36</v>
      </c>
      <c r="F26" s="15"/>
      <c r="G26" s="15"/>
      <c r="H26" s="15"/>
      <c r="I26" s="15"/>
      <c r="J26" s="15"/>
      <c r="K26" s="15"/>
      <c r="L26" s="15"/>
      <c r="M26" s="16" t="s">
        <v>37</v>
      </c>
      <c r="N26" s="16"/>
    </row>
    <row r="27" customFormat="false" ht="17.25" hidden="false" customHeight="true" outlineLevel="0" collapsed="false">
      <c r="B27" s="11" t="s">
        <v>38</v>
      </c>
      <c r="C27" s="11"/>
      <c r="D27" s="11"/>
      <c r="E27" s="12" t="s">
        <v>39</v>
      </c>
      <c r="F27" s="12"/>
      <c r="G27" s="12"/>
      <c r="H27" s="12"/>
      <c r="I27" s="12"/>
      <c r="J27" s="12"/>
      <c r="K27" s="12"/>
      <c r="L27" s="12"/>
      <c r="M27" s="13" t="s">
        <v>28</v>
      </c>
      <c r="N27" s="13"/>
    </row>
    <row r="28" customFormat="false" ht="17.25" hidden="false" customHeight="true" outlineLevel="0" collapsed="false">
      <c r="B28" s="14" t="s">
        <v>40</v>
      </c>
      <c r="C28" s="14"/>
      <c r="D28" s="14"/>
      <c r="E28" s="15" t="s">
        <v>41</v>
      </c>
      <c r="F28" s="15"/>
      <c r="G28" s="15"/>
      <c r="H28" s="15"/>
      <c r="I28" s="15"/>
      <c r="J28" s="15"/>
      <c r="K28" s="15"/>
      <c r="L28" s="15"/>
      <c r="M28" s="16" t="s">
        <v>28</v>
      </c>
      <c r="N28" s="16"/>
    </row>
    <row r="29" customFormat="false" ht="17.25" hidden="false" customHeight="true" outlineLevel="0" collapsed="false">
      <c r="B29" s="11" t="s">
        <v>42</v>
      </c>
      <c r="C29" s="11"/>
      <c r="D29" s="11"/>
      <c r="E29" s="12" t="s">
        <v>43</v>
      </c>
      <c r="F29" s="12"/>
      <c r="G29" s="12"/>
      <c r="H29" s="12"/>
      <c r="I29" s="12"/>
      <c r="J29" s="12"/>
      <c r="K29" s="12"/>
      <c r="L29" s="12"/>
      <c r="M29" s="13" t="s">
        <v>28</v>
      </c>
      <c r="N29" s="13"/>
    </row>
    <row r="30" customFormat="false" ht="17.25" hidden="false" customHeight="true" outlineLevel="0" collapsed="false">
      <c r="B30" s="14" t="s">
        <v>44</v>
      </c>
      <c r="C30" s="14"/>
      <c r="D30" s="14"/>
      <c r="E30" s="15" t="s">
        <v>45</v>
      </c>
      <c r="F30" s="15"/>
      <c r="G30" s="15"/>
      <c r="H30" s="15"/>
      <c r="I30" s="15"/>
      <c r="J30" s="15"/>
      <c r="K30" s="15"/>
      <c r="L30" s="15"/>
      <c r="M30" s="16" t="s">
        <v>46</v>
      </c>
      <c r="N30" s="16"/>
    </row>
    <row r="31" customFormat="false" ht="17.25" hidden="false" customHeight="true" outlineLevel="0" collapsed="false">
      <c r="B31" s="17" t="s">
        <v>47</v>
      </c>
      <c r="C31" s="17"/>
      <c r="D31" s="17"/>
      <c r="E31" s="17"/>
      <c r="F31" s="17"/>
      <c r="G31" s="17"/>
      <c r="H31" s="17"/>
      <c r="I31" s="17"/>
      <c r="J31" s="17"/>
      <c r="K31" s="17"/>
      <c r="L31" s="17"/>
      <c r="M31" s="17"/>
      <c r="N31" s="17"/>
    </row>
  </sheetData>
  <mergeCells count="55">
    <mergeCell ref="B1:N1"/>
    <mergeCell ref="B2:N2"/>
    <mergeCell ref="B4:N4"/>
    <mergeCell ref="B5:N5"/>
    <mergeCell ref="B6:N6"/>
    <mergeCell ref="B7:N7"/>
    <mergeCell ref="B8:N8"/>
    <mergeCell ref="B9:N9"/>
    <mergeCell ref="B10:N10"/>
    <mergeCell ref="B11:N11"/>
    <mergeCell ref="C12:N12"/>
    <mergeCell ref="C13:N13"/>
    <mergeCell ref="C14:N14"/>
    <mergeCell ref="C15:N15"/>
    <mergeCell ref="B17:N17"/>
    <mergeCell ref="B18:D18"/>
    <mergeCell ref="E18:L18"/>
    <mergeCell ref="M18:N18"/>
    <mergeCell ref="B19:D19"/>
    <mergeCell ref="E19:L19"/>
    <mergeCell ref="M19:N19"/>
    <mergeCell ref="B20:D20"/>
    <mergeCell ref="E20:L20"/>
    <mergeCell ref="M20:N20"/>
    <mergeCell ref="B21:D21"/>
    <mergeCell ref="E21:L21"/>
    <mergeCell ref="M21:N21"/>
    <mergeCell ref="B22:D22"/>
    <mergeCell ref="E22:L22"/>
    <mergeCell ref="M22:N22"/>
    <mergeCell ref="B23:D23"/>
    <mergeCell ref="E23:L23"/>
    <mergeCell ref="M23:N23"/>
    <mergeCell ref="B24:D24"/>
    <mergeCell ref="E24:L24"/>
    <mergeCell ref="M24:N24"/>
    <mergeCell ref="B25:D25"/>
    <mergeCell ref="E25:L25"/>
    <mergeCell ref="M25:N25"/>
    <mergeCell ref="B26:D26"/>
    <mergeCell ref="E26:L26"/>
    <mergeCell ref="M26:N26"/>
    <mergeCell ref="B27:D27"/>
    <mergeCell ref="E27:L27"/>
    <mergeCell ref="M27:N27"/>
    <mergeCell ref="B28:D28"/>
    <mergeCell ref="E28:L28"/>
    <mergeCell ref="M28:N28"/>
    <mergeCell ref="B29:D29"/>
    <mergeCell ref="E29:L29"/>
    <mergeCell ref="M29:N29"/>
    <mergeCell ref="B30:D30"/>
    <mergeCell ref="E30:L30"/>
    <mergeCell ref="M30:N30"/>
    <mergeCell ref="B31:N31"/>
  </mergeCells>
  <hyperlinks>
    <hyperlink ref="B19" r:id="rId1" location="'01%20The%20Learning%20Loop'!A1" display="01 The Learning Loop"/>
    <hyperlink ref="B20" r:id="rId2" location="'02%20Loss%20Functions'!A1" display="02 Loss Functions"/>
    <hyperlink ref="B21" r:id="rId3" location="'03%20Derivatives%20and%20Slopes'!A1" display="03 Derivatives and Slopes"/>
    <hyperlink ref="B22" r:id="rId4" location="'04%20Gradient%20Descent'!A1" display="04 Gradient Descent"/>
    <hyperlink ref="B23" r:id="rId5" location="'05%20Chain%20Rule'!A1" display="05 Chain Rule"/>
    <hyperlink ref="B24" r:id="rId6" location="'06%20Backprop%20One%20Neuron'!A1" display="06 Backprop One Neuron"/>
    <hyperlink ref="B25" r:id="rId7" location="'07%20Softmax-CE%20Gradient'!A1" display="07 Softmax-CE Gradient"/>
    <hyperlink ref="B26" r:id="rId8" location="'08%20E2E%20Backprop%202-Layer'!A1" display="08 E2E Backprop 2-Layer"/>
    <hyperlink ref="B27" r:id="rId9" location="'09%20E2E%20Training%20Loop'!A1" display="09 E2E Training Loop"/>
    <hyperlink ref="B28" r:id="rId10" location="'10%20Vanishing%20Gradients'!A1" display="10 Vanishing Gradients"/>
    <hyperlink ref="B29" r:id="rId11" location="'11%20Optimizers'!A1" display="11 Optimizers"/>
    <hyperlink ref="B30" r:id="rId12" location="'12%20Glossary%20and%20Transformer'!A1" display="12 Glossary and Transformer"/>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N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48</v>
      </c>
      <c r="C1" s="1"/>
      <c r="D1" s="1"/>
      <c r="E1" s="1"/>
      <c r="F1" s="1"/>
      <c r="G1" s="1"/>
      <c r="H1" s="1"/>
      <c r="I1" s="1"/>
      <c r="J1" s="1"/>
      <c r="K1" s="1"/>
      <c r="L1" s="1"/>
      <c r="M1" s="1"/>
      <c r="N1" s="1"/>
    </row>
    <row r="2" customFormat="false" ht="17.25" hidden="false" customHeight="true" outlineLevel="0" collapsed="false">
      <c r="B2" s="2" t="s">
        <v>49</v>
      </c>
      <c r="C2" s="2"/>
      <c r="D2" s="2"/>
      <c r="E2" s="2"/>
      <c r="F2" s="2"/>
      <c r="G2" s="2"/>
      <c r="H2" s="2"/>
      <c r="I2" s="2"/>
      <c r="J2" s="2"/>
      <c r="K2" s="2"/>
      <c r="L2" s="2"/>
      <c r="M2" s="2"/>
      <c r="N2" s="2"/>
    </row>
    <row r="4" customFormat="false" ht="34.5" hidden="false" customHeight="true" outlineLevel="0" collapsed="false">
      <c r="B4" s="3" t="s">
        <v>50</v>
      </c>
      <c r="C4" s="3"/>
      <c r="D4" s="3"/>
      <c r="E4" s="3"/>
      <c r="F4" s="3"/>
      <c r="G4" s="3"/>
      <c r="H4" s="3"/>
      <c r="I4" s="3"/>
      <c r="J4" s="3"/>
      <c r="K4" s="3"/>
      <c r="L4" s="3"/>
      <c r="M4" s="3"/>
      <c r="N4" s="3"/>
    </row>
    <row r="5" customFormat="false" ht="17.25" hidden="false" customHeight="true" outlineLevel="0" collapsed="false">
      <c r="B5" s="10" t="s">
        <v>51</v>
      </c>
      <c r="C5" s="10" t="s">
        <v>52</v>
      </c>
      <c r="D5" s="10"/>
      <c r="E5" s="10"/>
      <c r="F5" s="10" t="s">
        <v>53</v>
      </c>
      <c r="G5" s="10"/>
      <c r="H5" s="10"/>
      <c r="I5" s="10"/>
      <c r="J5" s="10"/>
      <c r="K5" s="10"/>
      <c r="L5" s="10"/>
      <c r="M5" s="10" t="s">
        <v>16</v>
      </c>
      <c r="N5" s="10"/>
    </row>
    <row r="6" customFormat="false" ht="31.5" hidden="false" customHeight="true" outlineLevel="0" collapsed="false">
      <c r="B6" s="12" t="s">
        <v>54</v>
      </c>
      <c r="C6" s="18" t="s">
        <v>55</v>
      </c>
      <c r="D6" s="18"/>
      <c r="E6" s="18"/>
      <c r="F6" s="12" t="s">
        <v>56</v>
      </c>
      <c r="G6" s="12"/>
      <c r="H6" s="12"/>
      <c r="I6" s="12"/>
      <c r="J6" s="12"/>
      <c r="K6" s="12"/>
      <c r="L6" s="12"/>
      <c r="M6" s="12" t="s">
        <v>57</v>
      </c>
      <c r="N6" s="12"/>
    </row>
    <row r="7" customFormat="false" ht="17.25" hidden="false" customHeight="true" outlineLevel="0" collapsed="false">
      <c r="B7" s="15" t="s">
        <v>58</v>
      </c>
      <c r="C7" s="9" t="s">
        <v>59</v>
      </c>
      <c r="D7" s="9"/>
      <c r="E7" s="9"/>
      <c r="F7" s="15" t="s">
        <v>60</v>
      </c>
      <c r="G7" s="15"/>
      <c r="H7" s="15"/>
      <c r="I7" s="15"/>
      <c r="J7" s="15"/>
      <c r="K7" s="15"/>
      <c r="L7" s="15"/>
      <c r="M7" s="15" t="s">
        <v>61</v>
      </c>
      <c r="N7" s="15"/>
    </row>
    <row r="8" customFormat="false" ht="31.5" hidden="false" customHeight="true" outlineLevel="0" collapsed="false">
      <c r="B8" s="12" t="s">
        <v>62</v>
      </c>
      <c r="C8" s="18" t="s">
        <v>63</v>
      </c>
      <c r="D8" s="18"/>
      <c r="E8" s="18"/>
      <c r="F8" s="12" t="s">
        <v>64</v>
      </c>
      <c r="G8" s="12"/>
      <c r="H8" s="12"/>
      <c r="I8" s="12"/>
      <c r="J8" s="12"/>
      <c r="K8" s="12"/>
      <c r="L8" s="12"/>
      <c r="M8" s="12" t="s">
        <v>65</v>
      </c>
      <c r="N8" s="12"/>
    </row>
    <row r="9" customFormat="false" ht="17.25" hidden="false" customHeight="true" outlineLevel="0" collapsed="false">
      <c r="B9" s="15" t="s">
        <v>66</v>
      </c>
      <c r="C9" s="9" t="s">
        <v>67</v>
      </c>
      <c r="D9" s="9"/>
      <c r="E9" s="9"/>
      <c r="F9" s="15" t="s">
        <v>68</v>
      </c>
      <c r="G9" s="15"/>
      <c r="H9" s="15"/>
      <c r="I9" s="15"/>
      <c r="J9" s="15"/>
      <c r="K9" s="15"/>
      <c r="L9" s="15"/>
      <c r="M9" s="15" t="s">
        <v>69</v>
      </c>
      <c r="N9" s="15"/>
    </row>
    <row r="10" customFormat="false" ht="31.5" hidden="false" customHeight="true" outlineLevel="0" collapsed="false">
      <c r="B10" s="19" t="s">
        <v>70</v>
      </c>
      <c r="C10" s="19"/>
      <c r="D10" s="19"/>
      <c r="E10" s="19"/>
      <c r="F10" s="19"/>
      <c r="G10" s="19"/>
      <c r="H10" s="19"/>
      <c r="I10" s="19"/>
      <c r="J10" s="19"/>
      <c r="K10" s="19"/>
      <c r="L10" s="19"/>
      <c r="M10" s="19"/>
      <c r="N10" s="19"/>
    </row>
    <row r="11" customFormat="false" ht="21.75" hidden="false" customHeight="true" outlineLevel="0" collapsed="false">
      <c r="B11" s="4" t="s">
        <v>71</v>
      </c>
      <c r="C11" s="4"/>
      <c r="D11" s="4"/>
      <c r="E11" s="4"/>
      <c r="F11" s="4"/>
      <c r="G11" s="4"/>
      <c r="H11" s="4"/>
      <c r="I11" s="4"/>
      <c r="J11" s="4"/>
      <c r="K11" s="4"/>
      <c r="L11" s="4"/>
      <c r="M11" s="4"/>
      <c r="N11" s="4"/>
    </row>
    <row r="12" customFormat="false" ht="31.5" hidden="false" customHeight="true" outlineLevel="0" collapsed="false">
      <c r="B12" s="5" t="s">
        <v>72</v>
      </c>
      <c r="C12" s="5"/>
      <c r="D12" s="5"/>
      <c r="E12" s="5"/>
      <c r="F12" s="5"/>
      <c r="G12" s="5"/>
      <c r="H12" s="5"/>
      <c r="I12" s="5"/>
      <c r="J12" s="5"/>
      <c r="K12" s="5"/>
      <c r="L12" s="5"/>
      <c r="M12" s="5"/>
      <c r="N12" s="5"/>
    </row>
    <row r="13" customFormat="false" ht="17.25" hidden="false" customHeight="true" outlineLevel="0" collapsed="false">
      <c r="B13" s="20" t="s">
        <v>73</v>
      </c>
      <c r="C13" s="20"/>
      <c r="D13" s="20"/>
    </row>
    <row r="14" customFormat="false" ht="15" hidden="false" customHeight="false" outlineLevel="0" collapsed="false">
      <c r="B14" s="15"/>
      <c r="C14" s="21" t="s">
        <v>74</v>
      </c>
      <c r="D14" s="21" t="s">
        <v>75</v>
      </c>
    </row>
    <row r="15" customFormat="false" ht="15" hidden="false" customHeight="false" outlineLevel="0" collapsed="false">
      <c r="B15" s="22" t="s">
        <v>76</v>
      </c>
      <c r="C15" s="23" t="n">
        <v>1</v>
      </c>
      <c r="D15" s="23" t="n">
        <v>2</v>
      </c>
    </row>
    <row r="16" customFormat="false" ht="15" hidden="false" customHeight="false" outlineLevel="0" collapsed="false">
      <c r="B16" s="22" t="s">
        <v>77</v>
      </c>
      <c r="C16" s="23" t="n">
        <v>2</v>
      </c>
      <c r="D16" s="23" t="n">
        <v>4</v>
      </c>
    </row>
    <row r="17" customFormat="false" ht="15" hidden="false" customHeight="false" outlineLevel="0" collapsed="false">
      <c r="B17" s="22" t="s">
        <v>78</v>
      </c>
      <c r="C17" s="23" t="n">
        <v>3</v>
      </c>
      <c r="D17" s="23" t="n">
        <v>6</v>
      </c>
    </row>
    <row r="19" customFormat="false" ht="30" hidden="false" customHeight="true" outlineLevel="0" collapsed="false">
      <c r="B19" s="21" t="s">
        <v>79</v>
      </c>
      <c r="C19" s="21" t="s">
        <v>80</v>
      </c>
    </row>
    <row r="20" customFormat="false" ht="15" hidden="false" customHeight="false" outlineLevel="0" collapsed="false">
      <c r="B20" s="24" t="n">
        <v>0</v>
      </c>
      <c r="C20" s="25" t="n">
        <f aca="false">SUMPRODUCT((B20*C15:C17-D15:D17)^2)/3</f>
        <v>18.6666666666667</v>
      </c>
    </row>
    <row r="21" customFormat="false" ht="15" hidden="false" customHeight="false" outlineLevel="0" collapsed="false">
      <c r="B21" s="24" t="n">
        <v>0.5</v>
      </c>
      <c r="C21" s="25" t="n">
        <f aca="false">SUMPRODUCT((B21*C15:C17-D15:D17)^2)/3</f>
        <v>10.5</v>
      </c>
    </row>
    <row r="22" customFormat="false" ht="15" hidden="false" customHeight="false" outlineLevel="0" collapsed="false">
      <c r="B22" s="24" t="n">
        <v>1</v>
      </c>
      <c r="C22" s="25" t="n">
        <f aca="false">SUMPRODUCT((B22*C15:C17-D15:D17)^2)/3</f>
        <v>4.66666666666667</v>
      </c>
    </row>
    <row r="23" customFormat="false" ht="15" hidden="false" customHeight="false" outlineLevel="0" collapsed="false">
      <c r="B23" s="24" t="n">
        <v>1.5</v>
      </c>
      <c r="C23" s="25" t="n">
        <f aca="false">SUMPRODUCT((B23*C15:C17-D15:D17)^2)/3</f>
        <v>1.16666666666667</v>
      </c>
    </row>
    <row r="24" customFormat="false" ht="15" hidden="false" customHeight="false" outlineLevel="0" collapsed="false">
      <c r="B24" s="24" t="n">
        <v>2</v>
      </c>
      <c r="C24" s="25" t="n">
        <f aca="false">SUMPRODUCT((B24*C15:C17-D15:D17)^2)/3</f>
        <v>0</v>
      </c>
    </row>
    <row r="25" customFormat="false" ht="15" hidden="false" customHeight="false" outlineLevel="0" collapsed="false">
      <c r="B25" s="24" t="n">
        <v>2.5</v>
      </c>
      <c r="C25" s="25" t="n">
        <f aca="false">SUMPRODUCT((B25*C15:C17-D15:D17)^2)/3</f>
        <v>1.16666666666667</v>
      </c>
    </row>
    <row r="26" customFormat="false" ht="15" hidden="false" customHeight="false" outlineLevel="0" collapsed="false">
      <c r="B26" s="24" t="n">
        <v>3</v>
      </c>
      <c r="C26" s="25" t="n">
        <f aca="false">SUMPRODUCT((B26*C15:C17-D15:D17)^2)/3</f>
        <v>4.66666666666667</v>
      </c>
    </row>
    <row r="27" customFormat="false" ht="15" hidden="false" customHeight="false" outlineLevel="0" collapsed="false">
      <c r="B27" s="24" t="n">
        <v>3.5</v>
      </c>
      <c r="C27" s="25" t="n">
        <f aca="false">SUMPRODUCT((B27*C15:C17-D15:D17)^2)/3</f>
        <v>10.5</v>
      </c>
    </row>
    <row r="28" customFormat="false" ht="15" hidden="false" customHeight="false" outlineLevel="0" collapsed="false">
      <c r="B28" s="24" t="n">
        <v>4</v>
      </c>
      <c r="C28" s="25" t="n">
        <f aca="false">SUMPRODUCT((B28*C15:C17-D15:D17)^2)/3</f>
        <v>18.6666666666667</v>
      </c>
    </row>
    <row r="34" customFormat="false" ht="15.75" hidden="false" customHeight="true" outlineLevel="0" collapsed="false">
      <c r="B34" s="9" t="s">
        <v>81</v>
      </c>
      <c r="C34" s="26" t="str">
        <f aca="false">"predictions 1, 2, 3 vs targets 2, 4, 6 → errors −1, −2, −3 → (1 + 4 + 9) ÷ 3 = "&amp;IF(ROUND(C22,3)&lt;0,"("&amp;ROUND(C22,3)&amp;")",ROUND(C22,3)&amp;"")</f>
        <v>predictions 1, 2, 3 vs targets 2, 4, 6 → errors −1, −2, −3 → (1 + 4 + 9) ÷ 3 = 4.667</v>
      </c>
      <c r="D34" s="26"/>
      <c r="E34" s="26"/>
      <c r="F34" s="26"/>
      <c r="G34" s="26"/>
      <c r="H34" s="26"/>
      <c r="I34" s="26"/>
      <c r="J34" s="26"/>
      <c r="K34" s="26"/>
      <c r="L34" s="26"/>
      <c r="M34" s="26"/>
      <c r="N34" s="26"/>
    </row>
    <row r="36" customFormat="false" ht="21.75" hidden="false" customHeight="true" outlineLevel="0" collapsed="false">
      <c r="B36" s="4" t="s">
        <v>82</v>
      </c>
      <c r="C36" s="4"/>
      <c r="D36" s="4"/>
      <c r="E36" s="4"/>
      <c r="F36" s="4"/>
      <c r="G36" s="4"/>
      <c r="H36" s="4"/>
      <c r="I36" s="4"/>
      <c r="J36" s="4"/>
      <c r="K36" s="4"/>
      <c r="L36" s="4"/>
      <c r="M36" s="4"/>
      <c r="N36" s="4"/>
    </row>
    <row r="37" customFormat="false" ht="17.25" hidden="false" customHeight="true" outlineLevel="0" collapsed="false">
      <c r="B37" s="5" t="s">
        <v>83</v>
      </c>
      <c r="C37" s="5"/>
      <c r="D37" s="5"/>
      <c r="E37" s="5"/>
      <c r="F37" s="5"/>
      <c r="G37" s="5"/>
      <c r="H37" s="5"/>
      <c r="I37" s="5"/>
      <c r="J37" s="5"/>
      <c r="K37" s="5"/>
      <c r="L37" s="5"/>
      <c r="M37" s="5"/>
      <c r="N37" s="5"/>
    </row>
    <row r="38" customFormat="false" ht="15.75" hidden="false" customHeight="true" outlineLevel="0" collapsed="false">
      <c r="B38" s="22" t="s">
        <v>84</v>
      </c>
      <c r="C38" s="27" t="n">
        <v>0.5</v>
      </c>
    </row>
    <row r="39" customFormat="false" ht="15.75" hidden="false" customHeight="true" outlineLevel="0" collapsed="false">
      <c r="B39" s="22" t="s">
        <v>85</v>
      </c>
      <c r="C39" s="28" t="n">
        <v>0.05</v>
      </c>
    </row>
    <row r="40" customFormat="false" ht="30" hidden="false" customHeight="true" outlineLevel="0" collapsed="false">
      <c r="B40" s="21" t="s">
        <v>86</v>
      </c>
      <c r="C40" s="21" t="s">
        <v>87</v>
      </c>
      <c r="D40" s="21" t="s">
        <v>88</v>
      </c>
      <c r="E40" s="21" t="s">
        <v>89</v>
      </c>
      <c r="F40" s="21" t="s">
        <v>90</v>
      </c>
      <c r="G40" s="21" t="s">
        <v>91</v>
      </c>
      <c r="H40" s="21" t="s">
        <v>92</v>
      </c>
      <c r="I40" s="21" t="s">
        <v>93</v>
      </c>
      <c r="J40" s="21" t="s">
        <v>94</v>
      </c>
    </row>
    <row r="41" customFormat="false" ht="15" hidden="false" customHeight="false" outlineLevel="0" collapsed="false">
      <c r="B41" s="29" t="n">
        <v>0</v>
      </c>
      <c r="C41" s="30" t="n">
        <f aca="false">C38</f>
        <v>0.5</v>
      </c>
      <c r="D41" s="25" t="n">
        <f aca="false">C41*C15</f>
        <v>0.5</v>
      </c>
      <c r="E41" s="25" t="n">
        <f aca="false">C41*C16</f>
        <v>1</v>
      </c>
      <c r="F41" s="25" t="n">
        <f aca="false">C41*C17</f>
        <v>1.5</v>
      </c>
      <c r="G41" s="31" t="n">
        <f aca="false">SUMPRODUCT((C41*C15:C17-D15:D17)^2)/3</f>
        <v>10.5</v>
      </c>
      <c r="H41" s="30" t="n">
        <f aca="false">2*SUMPRODUCT((C41*C15:C17-D15:D17)*C15:C17)/3</f>
        <v>-14</v>
      </c>
      <c r="I41" s="30" t="n">
        <f aca="false">-C39*H41</f>
        <v>0.7</v>
      </c>
      <c r="J41" s="30" t="n">
        <f aca="false">C41+I41</f>
        <v>1.2</v>
      </c>
    </row>
    <row r="42" customFormat="false" ht="15" hidden="false" customHeight="false" outlineLevel="0" collapsed="false">
      <c r="B42" s="29" t="n">
        <v>1</v>
      </c>
      <c r="C42" s="30" t="n">
        <f aca="false">J41</f>
        <v>1.2</v>
      </c>
      <c r="D42" s="25" t="n">
        <f aca="false">C42*C15</f>
        <v>1.2</v>
      </c>
      <c r="E42" s="25" t="n">
        <f aca="false">C42*C16</f>
        <v>2.4</v>
      </c>
      <c r="F42" s="25" t="n">
        <f aca="false">C42*C17</f>
        <v>3.6</v>
      </c>
      <c r="G42" s="31" t="n">
        <f aca="false">SUMPRODUCT((C42*C15:C17-D15:D17)^2)/3</f>
        <v>2.98666666666667</v>
      </c>
      <c r="H42" s="30" t="n">
        <f aca="false">2*SUMPRODUCT((C42*C15:C17-D15:D17)*C15:C17)/3</f>
        <v>-7.46666666666667</v>
      </c>
      <c r="I42" s="30" t="n">
        <f aca="false">-C39*H42</f>
        <v>0.373333333333333</v>
      </c>
      <c r="J42" s="30" t="n">
        <f aca="false">C42+I42</f>
        <v>1.57333333333333</v>
      </c>
    </row>
    <row r="43" customFormat="false" ht="15" hidden="false" customHeight="false" outlineLevel="0" collapsed="false">
      <c r="B43" s="29" t="n">
        <v>2</v>
      </c>
      <c r="C43" s="30" t="n">
        <f aca="false">J42</f>
        <v>1.57333333333333</v>
      </c>
      <c r="D43" s="25" t="n">
        <f aca="false">C43*C15</f>
        <v>1.57333333333333</v>
      </c>
      <c r="E43" s="25" t="n">
        <f aca="false">C43*C16</f>
        <v>3.14666666666667</v>
      </c>
      <c r="F43" s="25" t="n">
        <f aca="false">C43*C17</f>
        <v>4.72</v>
      </c>
      <c r="G43" s="31" t="n">
        <f aca="false">SUMPRODUCT((C43*C15:C17-D15:D17)^2)/3</f>
        <v>0.84954074074074</v>
      </c>
      <c r="H43" s="30" t="n">
        <f aca="false">2*SUMPRODUCT((C43*C15:C17-D15:D17)*C15:C17)/3</f>
        <v>-3.98222222222222</v>
      </c>
      <c r="I43" s="30" t="n">
        <f aca="false">-C39*H43</f>
        <v>0.199111111111111</v>
      </c>
      <c r="J43" s="30" t="n">
        <f aca="false">C43+I43</f>
        <v>1.77244444444444</v>
      </c>
    </row>
    <row r="44" customFormat="false" ht="15" hidden="false" customHeight="false" outlineLevel="0" collapsed="false">
      <c r="B44" s="29" t="n">
        <v>3</v>
      </c>
      <c r="C44" s="30" t="n">
        <f aca="false">J43</f>
        <v>1.77244444444444</v>
      </c>
      <c r="D44" s="25" t="n">
        <f aca="false">C44*C15</f>
        <v>1.77244444444444</v>
      </c>
      <c r="E44" s="25" t="n">
        <f aca="false">C44*C16</f>
        <v>3.54488888888889</v>
      </c>
      <c r="F44" s="25" t="n">
        <f aca="false">C44*C17</f>
        <v>5.31733333333333</v>
      </c>
      <c r="G44" s="31" t="n">
        <f aca="false">SUMPRODUCT((C44*C15:C17-D15:D17)^2)/3</f>
        <v>0.241647144032922</v>
      </c>
      <c r="H44" s="30" t="n">
        <f aca="false">2*SUMPRODUCT((C44*C15:C17-D15:D17)*C15:C17)/3</f>
        <v>-2.12385185185185</v>
      </c>
      <c r="I44" s="30" t="n">
        <f aca="false">-C39*H44</f>
        <v>0.106192592592593</v>
      </c>
      <c r="J44" s="30" t="n">
        <f aca="false">C44+I44</f>
        <v>1.87863703703704</v>
      </c>
    </row>
    <row r="45" customFormat="false" ht="15" hidden="false" customHeight="false" outlineLevel="0" collapsed="false">
      <c r="B45" s="29" t="n">
        <v>4</v>
      </c>
      <c r="C45" s="30" t="n">
        <f aca="false">J44</f>
        <v>1.87863703703704</v>
      </c>
      <c r="D45" s="25" t="n">
        <f aca="false">C45*C15</f>
        <v>1.87863703703704</v>
      </c>
      <c r="E45" s="25" t="n">
        <f aca="false">C45*C16</f>
        <v>3.75727407407407</v>
      </c>
      <c r="F45" s="25" t="n">
        <f aca="false">C45*C17</f>
        <v>5.63591111111111</v>
      </c>
      <c r="G45" s="31" t="n">
        <f aca="false">SUMPRODUCT((C45*C15:C17-D15:D17)^2)/3</f>
        <v>0.068735187636031</v>
      </c>
      <c r="H45" s="30" t="n">
        <f aca="false">2*SUMPRODUCT((C45*C15:C17-D15:D17)*C15:C17)/3</f>
        <v>-1.13272098765432</v>
      </c>
      <c r="I45" s="30" t="n">
        <f aca="false">-C39*H45</f>
        <v>0.056636049382716</v>
      </c>
      <c r="J45" s="30" t="n">
        <f aca="false">C45+I45</f>
        <v>1.93527308641975</v>
      </c>
    </row>
    <row r="46" customFormat="false" ht="15" hidden="false" customHeight="false" outlineLevel="0" collapsed="false">
      <c r="B46" s="29" t="n">
        <v>5</v>
      </c>
      <c r="C46" s="30" t="n">
        <f aca="false">J45</f>
        <v>1.93527308641975</v>
      </c>
      <c r="D46" s="25" t="n">
        <f aca="false">C46*C15</f>
        <v>1.93527308641975</v>
      </c>
      <c r="E46" s="25" t="n">
        <f aca="false">C46*C16</f>
        <v>3.87054617283951</v>
      </c>
      <c r="F46" s="25" t="n">
        <f aca="false">C46*C17</f>
        <v>5.80581925925926</v>
      </c>
      <c r="G46" s="31" t="n">
        <f aca="false">SUMPRODUCT((C46*C15:C17-D15:D17)^2)/3</f>
        <v>0.0195513422609155</v>
      </c>
      <c r="H46" s="30" t="n">
        <f aca="false">2*SUMPRODUCT((C46*C15:C17-D15:D17)*C15:C17)/3</f>
        <v>-0.604117860082305</v>
      </c>
      <c r="I46" s="30" t="n">
        <f aca="false">-C39*H46</f>
        <v>0.0302058930041152</v>
      </c>
      <c r="J46" s="30" t="n">
        <f aca="false">C46+I46</f>
        <v>1.96547897942387</v>
      </c>
    </row>
    <row r="47" customFormat="false" ht="15" hidden="false" customHeight="false" outlineLevel="0" collapsed="false">
      <c r="B47" s="29" t="n">
        <v>6</v>
      </c>
      <c r="C47" s="30" t="n">
        <f aca="false">J46</f>
        <v>1.96547897942387</v>
      </c>
      <c r="D47" s="25" t="n">
        <f aca="false">C47*C15</f>
        <v>1.96547897942387</v>
      </c>
      <c r="E47" s="25" t="n">
        <f aca="false">C47*C16</f>
        <v>3.93095795884774</v>
      </c>
      <c r="F47" s="25" t="n">
        <f aca="false">C47*C17</f>
        <v>5.89643693827161</v>
      </c>
      <c r="G47" s="31" t="n">
        <f aca="false">SUMPRODUCT((C47*C15:C17-D15:D17)^2)/3</f>
        <v>0.00556127068754931</v>
      </c>
      <c r="H47" s="30" t="n">
        <f aca="false">2*SUMPRODUCT((C47*C15:C17-D15:D17)*C15:C17)/3</f>
        <v>-0.322196192043896</v>
      </c>
      <c r="I47" s="30" t="n">
        <f aca="false">-C39*H47</f>
        <v>0.0161098096021948</v>
      </c>
      <c r="J47" s="30" t="n">
        <f aca="false">C47+I47</f>
        <v>1.98158878902606</v>
      </c>
    </row>
    <row r="48" customFormat="false" ht="15" hidden="false" customHeight="false" outlineLevel="0" collapsed="false">
      <c r="B48" s="29" t="n">
        <v>7</v>
      </c>
      <c r="C48" s="30" t="n">
        <f aca="false">J47</f>
        <v>1.98158878902606</v>
      </c>
      <c r="D48" s="25" t="n">
        <f aca="false">C48*C15</f>
        <v>1.98158878902606</v>
      </c>
      <c r="E48" s="25" t="n">
        <f aca="false">C48*C16</f>
        <v>3.96317757805213</v>
      </c>
      <c r="F48" s="25" t="n">
        <f aca="false">C48*C17</f>
        <v>5.94476636707819</v>
      </c>
      <c r="G48" s="31" t="n">
        <f aca="false">SUMPRODUCT((C48*C15:C17-D15:D17)^2)/3</f>
        <v>0.00158187255112513</v>
      </c>
      <c r="H48" s="30" t="n">
        <f aca="false">2*SUMPRODUCT((C48*C15:C17-D15:D17)*C15:C17)/3</f>
        <v>-0.171837969090077</v>
      </c>
      <c r="I48" s="30" t="n">
        <f aca="false">-C39*H48</f>
        <v>0.00859189845450386</v>
      </c>
      <c r="J48" s="30" t="n">
        <f aca="false">C48+I48</f>
        <v>1.99018068748057</v>
      </c>
    </row>
    <row r="50" customFormat="false" ht="15.75" hidden="false" customHeight="true" outlineLevel="0" collapsed="false">
      <c r="B50" s="9" t="s">
        <v>95</v>
      </c>
      <c r="C50" s="26" t="str">
        <f aca="false">"slope = 2×((0.5−2)×1 + (1−4)×2 + (1.5−6)×3) ÷ 3 = "&amp;IF(ROUND(H41,3)&lt;0,"("&amp;ROUND(H41,3)&amp;")",ROUND(H41,3)&amp;"")&amp;";  new w = 0.5 − "&amp;IF(ROUND(C39,3)&lt;0,"("&amp;ROUND(C39,3)&amp;")",ROUND(C39,3)&amp;"")&amp;"×("&amp;IF(ROUND(H41,3)&lt;0,"("&amp;ROUND(H41,3)&amp;")",ROUND(H41,3)&amp;"")&amp;") = "&amp;IF(ROUND(J41,3)&lt;0,"("&amp;ROUND(J41,3)&amp;")",ROUND(J41,3)&amp;"")</f>
        <v>slope = 2×((0.5−2)×1 + (1−4)×2 + (1.5−6)×3) ÷ 3 = (-14);  new w = 0.5 − 0.05×((-14)) = 1.2</v>
      </c>
      <c r="D50" s="26"/>
      <c r="E50" s="26"/>
      <c r="F50" s="26"/>
      <c r="G50" s="26"/>
      <c r="H50" s="26"/>
      <c r="I50" s="26"/>
      <c r="J50" s="26"/>
      <c r="K50" s="26"/>
      <c r="L50" s="26"/>
      <c r="M50" s="26"/>
      <c r="N50" s="26"/>
    </row>
    <row r="51" customFormat="false" ht="31.5" hidden="false" customHeight="true" outlineLevel="0" collapsed="false">
      <c r="B51" s="5" t="s">
        <v>96</v>
      </c>
      <c r="C51" s="5"/>
      <c r="D51" s="5"/>
      <c r="E51" s="5"/>
      <c r="F51" s="5"/>
      <c r="G51" s="5"/>
      <c r="H51" s="5"/>
      <c r="I51" s="5"/>
      <c r="J51" s="5"/>
      <c r="K51" s="5"/>
      <c r="L51" s="5"/>
      <c r="M51" s="5"/>
      <c r="N51" s="5"/>
    </row>
    <row r="52" customFormat="false" ht="17.25" hidden="false" customHeight="true" outlineLevel="0" collapsed="false">
      <c r="B52" s="32" t="s">
        <v>97</v>
      </c>
      <c r="C52" s="32"/>
      <c r="D52" s="32"/>
      <c r="E52" s="32"/>
      <c r="F52" s="32"/>
      <c r="G52" s="32"/>
      <c r="H52" s="32"/>
      <c r="I52" s="32"/>
      <c r="J52" s="32"/>
      <c r="K52" s="32"/>
      <c r="L52" s="32"/>
      <c r="M52" s="32"/>
      <c r="N52" s="32"/>
    </row>
    <row r="53" customFormat="false" ht="18.75" hidden="false" customHeight="true" outlineLevel="0" collapsed="false">
      <c r="B53" s="33" t="s">
        <v>98</v>
      </c>
      <c r="C53" s="33"/>
      <c r="D53" s="33"/>
      <c r="E53" s="33"/>
      <c r="F53" s="33"/>
      <c r="G53" s="33"/>
      <c r="H53" s="33"/>
      <c r="I53" s="33"/>
      <c r="J53" s="33"/>
      <c r="K53" s="33"/>
      <c r="L53" s="33"/>
      <c r="M53" s="33"/>
      <c r="N53" s="33"/>
    </row>
    <row r="54" customFormat="false" ht="17.25" hidden="false" customHeight="true" outlineLevel="0" collapsed="false">
      <c r="B54" s="34" t="s">
        <v>99</v>
      </c>
      <c r="C54" s="34"/>
      <c r="D54" s="34"/>
      <c r="E54" s="34"/>
      <c r="F54" s="34"/>
      <c r="G54" s="34"/>
      <c r="H54" s="34"/>
      <c r="I54" s="34"/>
      <c r="J54" s="34"/>
      <c r="K54" s="34"/>
      <c r="L54" s="34"/>
      <c r="M54" s="34"/>
      <c r="N54" s="34"/>
    </row>
    <row r="55" customFormat="false" ht="17.25" hidden="false" customHeight="true" outlineLevel="0" collapsed="false">
      <c r="B55" s="35" t="s">
        <v>100</v>
      </c>
      <c r="C55" s="35"/>
      <c r="D55" s="35"/>
      <c r="E55" s="35"/>
      <c r="F55" s="35"/>
      <c r="G55" s="35"/>
      <c r="H55" s="35"/>
      <c r="I55" s="35"/>
      <c r="J55" s="35"/>
      <c r="K55" s="35"/>
      <c r="L55" s="35"/>
      <c r="M55" s="35"/>
      <c r="N55" s="35"/>
    </row>
    <row r="56" customFormat="false" ht="17.25" hidden="false" customHeight="true" outlineLevel="0" collapsed="false">
      <c r="B56" s="34" t="s">
        <v>101</v>
      </c>
      <c r="C56" s="34"/>
      <c r="D56" s="34"/>
      <c r="E56" s="34"/>
      <c r="F56" s="34"/>
      <c r="G56" s="34"/>
      <c r="H56" s="34"/>
      <c r="I56" s="34"/>
      <c r="J56" s="34"/>
      <c r="K56" s="34"/>
      <c r="L56" s="34"/>
      <c r="M56" s="34"/>
      <c r="N56" s="34"/>
    </row>
    <row r="57" customFormat="false" ht="17.25" hidden="false" customHeight="true" outlineLevel="0" collapsed="false">
      <c r="B57" s="35" t="s">
        <v>102</v>
      </c>
      <c r="C57" s="35"/>
      <c r="D57" s="35"/>
      <c r="E57" s="35"/>
      <c r="F57" s="35"/>
      <c r="G57" s="35"/>
      <c r="H57" s="35"/>
      <c r="I57" s="35"/>
      <c r="J57" s="35"/>
      <c r="K57" s="35"/>
      <c r="L57" s="35"/>
      <c r="M57" s="35"/>
      <c r="N57" s="35"/>
    </row>
  </sheetData>
  <mergeCells count="33">
    <mergeCell ref="B1:N1"/>
    <mergeCell ref="B2:N2"/>
    <mergeCell ref="B4:N4"/>
    <mergeCell ref="C5:E5"/>
    <mergeCell ref="F5:L5"/>
    <mergeCell ref="M5:N5"/>
    <mergeCell ref="C6:E6"/>
    <mergeCell ref="F6:L6"/>
    <mergeCell ref="M6:N6"/>
    <mergeCell ref="C7:E7"/>
    <mergeCell ref="F7:L7"/>
    <mergeCell ref="M7:N7"/>
    <mergeCell ref="C8:E8"/>
    <mergeCell ref="F8:L8"/>
    <mergeCell ref="M8:N8"/>
    <mergeCell ref="C9:E9"/>
    <mergeCell ref="F9:L9"/>
    <mergeCell ref="M9:N9"/>
    <mergeCell ref="B10:N10"/>
    <mergeCell ref="B11:N11"/>
    <mergeCell ref="B12:N12"/>
    <mergeCell ref="B13:D13"/>
    <mergeCell ref="C34:N34"/>
    <mergeCell ref="B36:N36"/>
    <mergeCell ref="B37:N37"/>
    <mergeCell ref="C50:N50"/>
    <mergeCell ref="B51:N51"/>
    <mergeCell ref="B52:N52"/>
    <mergeCell ref="B53:N53"/>
    <mergeCell ref="B54:N54"/>
    <mergeCell ref="B55:N55"/>
    <mergeCell ref="B56:N56"/>
    <mergeCell ref="B57:N5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N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103</v>
      </c>
      <c r="C1" s="1"/>
      <c r="D1" s="1"/>
      <c r="E1" s="1"/>
      <c r="F1" s="1"/>
      <c r="G1" s="1"/>
      <c r="H1" s="1"/>
      <c r="I1" s="1"/>
      <c r="J1" s="1"/>
      <c r="K1" s="1"/>
      <c r="L1" s="1"/>
      <c r="M1" s="1"/>
      <c r="N1" s="1"/>
    </row>
    <row r="2" customFormat="false" ht="17.25" hidden="false" customHeight="true" outlineLevel="0" collapsed="false">
      <c r="B2" s="2" t="s">
        <v>104</v>
      </c>
      <c r="C2" s="2"/>
      <c r="D2" s="2"/>
      <c r="E2" s="2"/>
      <c r="F2" s="2"/>
      <c r="G2" s="2"/>
      <c r="H2" s="2"/>
      <c r="I2" s="2"/>
      <c r="J2" s="2"/>
      <c r="K2" s="2"/>
      <c r="L2" s="2"/>
      <c r="M2" s="2"/>
      <c r="N2" s="2"/>
    </row>
    <row r="4" customFormat="false" ht="18.75" hidden="false" customHeight="true" outlineLevel="0" collapsed="false">
      <c r="B4" s="3" t="s">
        <v>105</v>
      </c>
      <c r="C4" s="3"/>
      <c r="D4" s="3"/>
      <c r="E4" s="3"/>
      <c r="F4" s="3"/>
      <c r="G4" s="3"/>
      <c r="H4" s="3"/>
      <c r="I4" s="3"/>
      <c r="J4" s="3"/>
      <c r="K4" s="3"/>
      <c r="L4" s="3"/>
      <c r="M4" s="3"/>
      <c r="N4" s="3"/>
    </row>
    <row r="5" customFormat="false" ht="17.25" hidden="false" customHeight="true" outlineLevel="0" collapsed="false">
      <c r="B5" s="10" t="s">
        <v>59</v>
      </c>
      <c r="C5" s="10"/>
      <c r="D5" s="10"/>
      <c r="E5" s="10" t="s">
        <v>106</v>
      </c>
      <c r="F5" s="10"/>
      <c r="G5" s="10"/>
      <c r="H5" s="10"/>
      <c r="I5" s="10"/>
      <c r="J5" s="10"/>
      <c r="K5" s="10" t="s">
        <v>107</v>
      </c>
      <c r="L5" s="10"/>
      <c r="M5" s="10"/>
      <c r="N5" s="10"/>
    </row>
    <row r="6" customFormat="false" ht="17.25" hidden="false" customHeight="true" outlineLevel="0" collapsed="false">
      <c r="B6" s="18" t="s">
        <v>108</v>
      </c>
      <c r="C6" s="18"/>
      <c r="D6" s="18"/>
      <c r="E6" s="12" t="s">
        <v>109</v>
      </c>
      <c r="F6" s="12"/>
      <c r="G6" s="12"/>
      <c r="H6" s="12"/>
      <c r="I6" s="12"/>
      <c r="J6" s="12"/>
      <c r="K6" s="12" t="s">
        <v>110</v>
      </c>
      <c r="L6" s="12"/>
      <c r="M6" s="12"/>
      <c r="N6" s="12"/>
    </row>
    <row r="7" customFormat="false" ht="17.25" hidden="false" customHeight="true" outlineLevel="0" collapsed="false">
      <c r="B7" s="9" t="s">
        <v>111</v>
      </c>
      <c r="C7" s="9"/>
      <c r="D7" s="9"/>
      <c r="E7" s="15" t="s">
        <v>112</v>
      </c>
      <c r="F7" s="15"/>
      <c r="G7" s="15"/>
      <c r="H7" s="15"/>
      <c r="I7" s="15"/>
      <c r="J7" s="15"/>
      <c r="K7" s="15" t="s">
        <v>113</v>
      </c>
      <c r="L7" s="15"/>
      <c r="M7" s="15"/>
      <c r="N7" s="15"/>
    </row>
    <row r="8" customFormat="false" ht="17.25" hidden="false" customHeight="true" outlineLevel="0" collapsed="false">
      <c r="B8" s="18" t="s">
        <v>114</v>
      </c>
      <c r="C8" s="18"/>
      <c r="D8" s="18"/>
      <c r="E8" s="12" t="s">
        <v>115</v>
      </c>
      <c r="F8" s="12"/>
      <c r="G8" s="12"/>
      <c r="H8" s="12"/>
      <c r="I8" s="12"/>
      <c r="J8" s="12"/>
      <c r="K8" s="12" t="s">
        <v>116</v>
      </c>
      <c r="L8" s="12"/>
      <c r="M8" s="12"/>
      <c r="N8" s="12"/>
    </row>
    <row r="9" customFormat="false" ht="31.5" hidden="false" customHeight="true" outlineLevel="0" collapsed="false">
      <c r="B9" s="9" t="s">
        <v>117</v>
      </c>
      <c r="C9" s="9"/>
      <c r="D9" s="9"/>
      <c r="E9" s="15" t="s">
        <v>118</v>
      </c>
      <c r="F9" s="15"/>
      <c r="G9" s="15"/>
      <c r="H9" s="15"/>
      <c r="I9" s="15"/>
      <c r="J9" s="15"/>
      <c r="K9" s="15" t="s">
        <v>119</v>
      </c>
      <c r="L9" s="15"/>
      <c r="M9" s="15"/>
      <c r="N9" s="15"/>
    </row>
    <row r="10" customFormat="false" ht="21.75" hidden="false" customHeight="true" outlineLevel="0" collapsed="false">
      <c r="B10" s="4" t="s">
        <v>120</v>
      </c>
      <c r="C10" s="4"/>
      <c r="D10" s="4"/>
      <c r="E10" s="4"/>
      <c r="F10" s="4"/>
      <c r="G10" s="4"/>
      <c r="H10" s="4"/>
      <c r="I10" s="4"/>
      <c r="J10" s="4"/>
      <c r="K10" s="4"/>
      <c r="L10" s="4"/>
      <c r="M10" s="4"/>
      <c r="N10" s="4"/>
    </row>
    <row r="11" customFormat="false" ht="17.25" hidden="false" customHeight="true" outlineLevel="0" collapsed="false">
      <c r="B11" s="10"/>
      <c r="C11" s="10" t="s">
        <v>121</v>
      </c>
      <c r="D11" s="10"/>
      <c r="E11" s="10" t="s">
        <v>122</v>
      </c>
      <c r="F11" s="10"/>
      <c r="G11" s="10" t="s">
        <v>123</v>
      </c>
      <c r="H11" s="10"/>
      <c r="I11" s="10" t="s">
        <v>124</v>
      </c>
      <c r="J11" s="10"/>
      <c r="K11" s="10" t="s">
        <v>125</v>
      </c>
      <c r="L11" s="10"/>
    </row>
    <row r="12" customFormat="false" ht="17.25" hidden="false" customHeight="true" outlineLevel="0" collapsed="false">
      <c r="B12" s="12" t="s">
        <v>126</v>
      </c>
      <c r="C12" s="36" t="n">
        <v>300</v>
      </c>
      <c r="D12" s="36"/>
      <c r="E12" s="36" t="n">
        <v>310</v>
      </c>
      <c r="F12" s="36"/>
      <c r="G12" s="13" t="n">
        <f aca="false">E12-C12</f>
        <v>10</v>
      </c>
      <c r="H12" s="13"/>
      <c r="I12" s="13" t="n">
        <f aca="false">G12^2</f>
        <v>100</v>
      </c>
      <c r="J12" s="13"/>
      <c r="K12" s="13" t="n">
        <f aca="false">ABS(G12)</f>
        <v>10</v>
      </c>
      <c r="L12" s="13"/>
    </row>
    <row r="13" customFormat="false" ht="17.25" hidden="false" customHeight="true" outlineLevel="0" collapsed="false">
      <c r="B13" s="15" t="s">
        <v>127</v>
      </c>
      <c r="C13" s="36" t="n">
        <v>250</v>
      </c>
      <c r="D13" s="36"/>
      <c r="E13" s="36" t="n">
        <v>240</v>
      </c>
      <c r="F13" s="36"/>
      <c r="G13" s="16" t="n">
        <f aca="false">E13-C13</f>
        <v>-10</v>
      </c>
      <c r="H13" s="16"/>
      <c r="I13" s="16" t="n">
        <f aca="false">G13^2</f>
        <v>100</v>
      </c>
      <c r="J13" s="16"/>
      <c r="K13" s="16" t="n">
        <f aca="false">ABS(G13)</f>
        <v>10</v>
      </c>
      <c r="L13" s="16"/>
    </row>
    <row r="14" customFormat="false" ht="17.25" hidden="false" customHeight="true" outlineLevel="0" collapsed="false">
      <c r="B14" s="12" t="s">
        <v>128</v>
      </c>
      <c r="C14" s="36" t="n">
        <v>400</v>
      </c>
      <c r="D14" s="36"/>
      <c r="E14" s="36" t="n">
        <v>340</v>
      </c>
      <c r="F14" s="36"/>
      <c r="G14" s="13" t="n">
        <f aca="false">E14-C14</f>
        <v>-60</v>
      </c>
      <c r="H14" s="13"/>
      <c r="I14" s="13" t="n">
        <f aca="false">G14^2</f>
        <v>3600</v>
      </c>
      <c r="J14" s="13"/>
      <c r="K14" s="13" t="n">
        <f aca="false">ABS(G14)</f>
        <v>60</v>
      </c>
      <c r="L14" s="13"/>
    </row>
    <row r="15" customFormat="false" ht="17.25" hidden="false" customHeight="true" outlineLevel="0" collapsed="false">
      <c r="B15" s="22" t="s">
        <v>129</v>
      </c>
      <c r="C15" s="37" t="n">
        <f aca="false">AVERAGE(I12:I14)</f>
        <v>1266.66666666667</v>
      </c>
      <c r="D15" s="38" t="s">
        <v>130</v>
      </c>
      <c r="E15" s="38"/>
      <c r="F15" s="38"/>
      <c r="G15" s="38"/>
      <c r="H15" s="38"/>
      <c r="I15" s="38"/>
      <c r="J15" s="38"/>
      <c r="K15" s="38"/>
      <c r="L15" s="38"/>
      <c r="M15" s="38"/>
      <c r="N15" s="38"/>
    </row>
    <row r="16" customFormat="false" ht="17.25" hidden="false" customHeight="true" outlineLevel="0" collapsed="false">
      <c r="B16" s="22" t="s">
        <v>131</v>
      </c>
      <c r="C16" s="37" t="n">
        <f aca="false">AVERAGE(K12:K14)</f>
        <v>26.6666666666667</v>
      </c>
      <c r="D16" s="38" t="s">
        <v>132</v>
      </c>
      <c r="E16" s="38"/>
      <c r="F16" s="38"/>
      <c r="G16" s="38"/>
      <c r="H16" s="38"/>
      <c r="I16" s="38"/>
      <c r="J16" s="38"/>
      <c r="K16" s="38"/>
      <c r="L16" s="38"/>
      <c r="M16" s="38"/>
      <c r="N16" s="38"/>
    </row>
    <row r="17" customFormat="false" ht="17.25" hidden="false" customHeight="true" outlineLevel="0" collapsed="false">
      <c r="B17" s="5" t="s">
        <v>133</v>
      </c>
      <c r="C17" s="5"/>
      <c r="D17" s="5"/>
      <c r="E17" s="5"/>
      <c r="F17" s="5"/>
      <c r="G17" s="5"/>
      <c r="H17" s="5"/>
      <c r="I17" s="5"/>
      <c r="J17" s="5"/>
      <c r="K17" s="5"/>
      <c r="L17" s="5"/>
      <c r="M17" s="5"/>
      <c r="N17" s="5"/>
    </row>
    <row r="19" customFormat="false" ht="21.75" hidden="false" customHeight="true" outlineLevel="0" collapsed="false">
      <c r="B19" s="4" t="s">
        <v>134</v>
      </c>
      <c r="C19" s="4"/>
      <c r="D19" s="4"/>
      <c r="E19" s="4"/>
      <c r="F19" s="4"/>
      <c r="G19" s="4"/>
      <c r="H19" s="4"/>
      <c r="I19" s="4"/>
      <c r="J19" s="4"/>
      <c r="K19" s="4"/>
      <c r="L19" s="4"/>
      <c r="M19" s="4"/>
      <c r="N19" s="4"/>
    </row>
    <row r="20" customFormat="false" ht="31.5" hidden="false" customHeight="true" outlineLevel="0" collapsed="false">
      <c r="B20" s="5" t="s">
        <v>135</v>
      </c>
      <c r="C20" s="5"/>
      <c r="D20" s="5"/>
      <c r="E20" s="5"/>
      <c r="F20" s="5"/>
      <c r="G20" s="5"/>
      <c r="H20" s="5"/>
      <c r="I20" s="5"/>
      <c r="J20" s="5"/>
      <c r="K20" s="5"/>
      <c r="L20" s="5"/>
      <c r="M20" s="5"/>
      <c r="N20" s="5"/>
    </row>
    <row r="21" customFormat="false" ht="17.25" hidden="false" customHeight="true" outlineLevel="0" collapsed="false">
      <c r="B21" s="10" t="s">
        <v>136</v>
      </c>
      <c r="C21" s="10"/>
      <c r="D21" s="10"/>
      <c r="E21" s="10" t="s">
        <v>137</v>
      </c>
      <c r="F21" s="10"/>
      <c r="G21" s="10"/>
      <c r="H21" s="10" t="s">
        <v>138</v>
      </c>
      <c r="I21" s="10"/>
      <c r="J21" s="10"/>
      <c r="K21" s="10" t="s">
        <v>139</v>
      </c>
      <c r="L21" s="10"/>
      <c r="M21" s="10"/>
      <c r="N21" s="10"/>
    </row>
    <row r="22" customFormat="false" ht="17.25" hidden="false" customHeight="true" outlineLevel="0" collapsed="false">
      <c r="B22" s="36" t="n">
        <v>0.99</v>
      </c>
      <c r="C22" s="36"/>
      <c r="D22" s="36"/>
      <c r="E22" s="39" t="n">
        <f aca="false">(1-B22)^2</f>
        <v>0.0001</v>
      </c>
      <c r="F22" s="39"/>
      <c r="G22" s="39"/>
      <c r="H22" s="40" t="n">
        <f aca="false">-LN(B22)</f>
        <v>0.0100503358535015</v>
      </c>
      <c r="I22" s="40"/>
      <c r="J22" s="40"/>
      <c r="K22" s="12" t="s">
        <v>140</v>
      </c>
      <c r="L22" s="12"/>
      <c r="M22" s="12"/>
      <c r="N22" s="12"/>
    </row>
    <row r="23" customFormat="false" ht="17.25" hidden="false" customHeight="true" outlineLevel="0" collapsed="false">
      <c r="B23" s="36" t="n">
        <v>0.9</v>
      </c>
      <c r="C23" s="36"/>
      <c r="D23" s="36"/>
      <c r="E23" s="41" t="n">
        <f aca="false">(1-B23)^2</f>
        <v>0.01</v>
      </c>
      <c r="F23" s="41"/>
      <c r="G23" s="41"/>
      <c r="H23" s="40" t="n">
        <f aca="false">-LN(B23)</f>
        <v>0.105360515657826</v>
      </c>
      <c r="I23" s="40"/>
      <c r="J23" s="40"/>
      <c r="K23" s="15" t="s">
        <v>141</v>
      </c>
      <c r="L23" s="15"/>
      <c r="M23" s="15"/>
      <c r="N23" s="15"/>
    </row>
    <row r="24" customFormat="false" ht="17.25" hidden="false" customHeight="true" outlineLevel="0" collapsed="false">
      <c r="B24" s="36" t="n">
        <v>0.5</v>
      </c>
      <c r="C24" s="36"/>
      <c r="D24" s="36"/>
      <c r="E24" s="39" t="n">
        <f aca="false">(1-B24)^2</f>
        <v>0.25</v>
      </c>
      <c r="F24" s="39"/>
      <c r="G24" s="39"/>
      <c r="H24" s="40" t="n">
        <f aca="false">-LN(B24)</f>
        <v>0.693147180559945</v>
      </c>
      <c r="I24" s="40"/>
      <c r="J24" s="40"/>
      <c r="K24" s="12" t="s">
        <v>142</v>
      </c>
      <c r="L24" s="12"/>
      <c r="M24" s="12"/>
      <c r="N24" s="12"/>
    </row>
    <row r="25" customFormat="false" ht="17.25" hidden="false" customHeight="true" outlineLevel="0" collapsed="false">
      <c r="B25" s="36" t="n">
        <v>0.1</v>
      </c>
      <c r="C25" s="36"/>
      <c r="D25" s="36"/>
      <c r="E25" s="41" t="n">
        <f aca="false">(1-B25)^2</f>
        <v>0.81</v>
      </c>
      <c r="F25" s="41"/>
      <c r="G25" s="41"/>
      <c r="H25" s="40" t="n">
        <f aca="false">-LN(B25)</f>
        <v>2.30258509299405</v>
      </c>
      <c r="I25" s="40"/>
      <c r="J25" s="40"/>
      <c r="K25" s="15" t="s">
        <v>143</v>
      </c>
      <c r="L25" s="15"/>
      <c r="M25" s="15"/>
      <c r="N25" s="15"/>
    </row>
    <row r="26" customFormat="false" ht="17.25" hidden="false" customHeight="true" outlineLevel="0" collapsed="false">
      <c r="B26" s="36" t="n">
        <v>0.01</v>
      </c>
      <c r="C26" s="36"/>
      <c r="D26" s="36"/>
      <c r="E26" s="39" t="n">
        <f aca="false">(1-B26)^2</f>
        <v>0.9801</v>
      </c>
      <c r="F26" s="39"/>
      <c r="G26" s="39"/>
      <c r="H26" s="40" t="n">
        <f aca="false">-LN(B26)</f>
        <v>4.60517018598809</v>
      </c>
      <c r="I26" s="40"/>
      <c r="J26" s="40"/>
      <c r="K26" s="12" t="s">
        <v>144</v>
      </c>
      <c r="L26" s="12"/>
      <c r="M26" s="12"/>
      <c r="N26" s="12"/>
    </row>
    <row r="27" customFormat="false" ht="18.75" hidden="false" customHeight="true" outlineLevel="0" collapsed="false">
      <c r="B27" s="33" t="s">
        <v>145</v>
      </c>
      <c r="C27" s="33"/>
      <c r="D27" s="33"/>
      <c r="E27" s="33"/>
      <c r="F27" s="33"/>
      <c r="G27" s="33"/>
      <c r="H27" s="33"/>
      <c r="I27" s="33"/>
      <c r="J27" s="33"/>
      <c r="K27" s="33"/>
      <c r="L27" s="33"/>
      <c r="M27" s="33"/>
      <c r="N27" s="33"/>
    </row>
    <row r="28" customFormat="false" ht="17.25" hidden="false" customHeight="true" outlineLevel="0" collapsed="false">
      <c r="B28" s="20" t="s">
        <v>146</v>
      </c>
      <c r="C28" s="20"/>
      <c r="D28" s="20"/>
      <c r="E28" s="20"/>
    </row>
    <row r="29" customFormat="false" ht="15" hidden="false" customHeight="false" outlineLevel="0" collapsed="false">
      <c r="B29" s="15"/>
      <c r="C29" s="21" t="s">
        <v>147</v>
      </c>
      <c r="D29" s="21" t="s">
        <v>148</v>
      </c>
      <c r="E29" s="21" t="s">
        <v>149</v>
      </c>
    </row>
    <row r="30" customFormat="false" ht="15" hidden="false" customHeight="false" outlineLevel="0" collapsed="false">
      <c r="B30" s="22"/>
      <c r="C30" s="27" t="n">
        <v>0.7</v>
      </c>
      <c r="D30" s="27" t="n">
        <v>0.2</v>
      </c>
      <c r="E30" s="27" t="n">
        <v>0.1</v>
      </c>
    </row>
    <row r="32" customFormat="false" ht="15.75" hidden="false" customHeight="true" outlineLevel="0" collapsed="false">
      <c r="B32" s="22" t="s">
        <v>150</v>
      </c>
      <c r="C32" s="31" t="n">
        <f aca="false">-LN(C30)</f>
        <v>0.356674943938732</v>
      </c>
    </row>
    <row r="33" customFormat="false" ht="18.75" hidden="false" customHeight="true" outlineLevel="0" collapsed="false">
      <c r="B33" s="33" t="s">
        <v>98</v>
      </c>
      <c r="C33" s="33"/>
      <c r="D33" s="33"/>
      <c r="E33" s="33"/>
      <c r="F33" s="33"/>
      <c r="G33" s="33"/>
      <c r="H33" s="33"/>
      <c r="I33" s="33"/>
      <c r="J33" s="33"/>
      <c r="K33" s="33"/>
      <c r="L33" s="33"/>
      <c r="M33" s="33"/>
      <c r="N33" s="33"/>
    </row>
    <row r="34" customFormat="false" ht="17.25" hidden="false" customHeight="true" outlineLevel="0" collapsed="false">
      <c r="B34" s="34" t="s">
        <v>151</v>
      </c>
      <c r="C34" s="34"/>
      <c r="D34" s="34"/>
      <c r="E34" s="34"/>
      <c r="F34" s="34"/>
      <c r="G34" s="34"/>
      <c r="H34" s="34"/>
      <c r="I34" s="34"/>
      <c r="J34" s="34"/>
      <c r="K34" s="34"/>
      <c r="L34" s="34"/>
      <c r="M34" s="34"/>
      <c r="N34" s="34"/>
    </row>
    <row r="35" customFormat="false" ht="17.25" hidden="false" customHeight="true" outlineLevel="0" collapsed="false">
      <c r="B35" s="35" t="s">
        <v>152</v>
      </c>
      <c r="C35" s="35"/>
      <c r="D35" s="35"/>
      <c r="E35" s="35"/>
      <c r="F35" s="35"/>
      <c r="G35" s="35"/>
      <c r="H35" s="35"/>
      <c r="I35" s="35"/>
      <c r="J35" s="35"/>
      <c r="K35" s="35"/>
      <c r="L35" s="35"/>
      <c r="M35" s="35"/>
      <c r="N35" s="35"/>
    </row>
    <row r="36" customFormat="false" ht="17.25" hidden="false" customHeight="true" outlineLevel="0" collapsed="false">
      <c r="B36" s="34" t="s">
        <v>153</v>
      </c>
      <c r="C36" s="34"/>
      <c r="D36" s="34"/>
      <c r="E36" s="34"/>
      <c r="F36" s="34"/>
      <c r="G36" s="34"/>
      <c r="H36" s="34"/>
      <c r="I36" s="34"/>
      <c r="J36" s="34"/>
      <c r="K36" s="34"/>
      <c r="L36" s="34"/>
      <c r="M36" s="34"/>
      <c r="N36" s="34"/>
    </row>
    <row r="37" customFormat="false" ht="17.25" hidden="false" customHeight="true" outlineLevel="0" collapsed="false">
      <c r="B37" s="35" t="s">
        <v>154</v>
      </c>
      <c r="C37" s="35"/>
      <c r="D37" s="35"/>
      <c r="E37" s="35"/>
      <c r="F37" s="35"/>
      <c r="G37" s="35"/>
      <c r="H37" s="35"/>
      <c r="I37" s="35"/>
      <c r="J37" s="35"/>
      <c r="K37" s="35"/>
      <c r="L37" s="35"/>
      <c r="M37" s="35"/>
      <c r="N37" s="35"/>
    </row>
  </sheetData>
  <mergeCells count="75">
    <mergeCell ref="B1:N1"/>
    <mergeCell ref="B2:N2"/>
    <mergeCell ref="B4:N4"/>
    <mergeCell ref="B5:D5"/>
    <mergeCell ref="E5:J5"/>
    <mergeCell ref="K5:N5"/>
    <mergeCell ref="B6:D6"/>
    <mergeCell ref="E6:J6"/>
    <mergeCell ref="K6:N6"/>
    <mergeCell ref="B7:D7"/>
    <mergeCell ref="E7:J7"/>
    <mergeCell ref="K7:N7"/>
    <mergeCell ref="B8:D8"/>
    <mergeCell ref="E8:J8"/>
    <mergeCell ref="K8:N8"/>
    <mergeCell ref="B9:D9"/>
    <mergeCell ref="E9:J9"/>
    <mergeCell ref="K9:N9"/>
    <mergeCell ref="B10:N10"/>
    <mergeCell ref="C11:D11"/>
    <mergeCell ref="E11:F11"/>
    <mergeCell ref="G11:H11"/>
    <mergeCell ref="I11:J11"/>
    <mergeCell ref="K11:L11"/>
    <mergeCell ref="C12:D12"/>
    <mergeCell ref="E12:F12"/>
    <mergeCell ref="G12:H12"/>
    <mergeCell ref="I12:J12"/>
    <mergeCell ref="K12:L12"/>
    <mergeCell ref="C13:D13"/>
    <mergeCell ref="E13:F13"/>
    <mergeCell ref="G13:H13"/>
    <mergeCell ref="I13:J13"/>
    <mergeCell ref="K13:L13"/>
    <mergeCell ref="C14:D14"/>
    <mergeCell ref="E14:F14"/>
    <mergeCell ref="G14:H14"/>
    <mergeCell ref="I14:J14"/>
    <mergeCell ref="K14:L14"/>
    <mergeCell ref="D15:N15"/>
    <mergeCell ref="D16:N16"/>
    <mergeCell ref="B17:N17"/>
    <mergeCell ref="B19:N19"/>
    <mergeCell ref="B20:N20"/>
    <mergeCell ref="B21:D21"/>
    <mergeCell ref="E21:G21"/>
    <mergeCell ref="H21:J21"/>
    <mergeCell ref="K21:N21"/>
    <mergeCell ref="B22:D22"/>
    <mergeCell ref="E22:G22"/>
    <mergeCell ref="H22:J22"/>
    <mergeCell ref="K22:N22"/>
    <mergeCell ref="B23:D23"/>
    <mergeCell ref="E23:G23"/>
    <mergeCell ref="H23:J23"/>
    <mergeCell ref="K23:N23"/>
    <mergeCell ref="B24:D24"/>
    <mergeCell ref="E24:G24"/>
    <mergeCell ref="H24:J24"/>
    <mergeCell ref="K24:N24"/>
    <mergeCell ref="B25:D25"/>
    <mergeCell ref="E25:G25"/>
    <mergeCell ref="H25:J25"/>
    <mergeCell ref="K25:N25"/>
    <mergeCell ref="B26:D26"/>
    <mergeCell ref="E26:G26"/>
    <mergeCell ref="H26:J26"/>
    <mergeCell ref="K26:N26"/>
    <mergeCell ref="B27:N27"/>
    <mergeCell ref="B28:E28"/>
    <mergeCell ref="B33:N33"/>
    <mergeCell ref="B34:N34"/>
    <mergeCell ref="B35:N35"/>
    <mergeCell ref="B36:N36"/>
    <mergeCell ref="B37:N3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true"/>
  </sheetPr>
  <dimension ref="B1:N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155</v>
      </c>
      <c r="C1" s="1"/>
      <c r="D1" s="1"/>
      <c r="E1" s="1"/>
      <c r="F1" s="1"/>
      <c r="G1" s="1"/>
      <c r="H1" s="1"/>
      <c r="I1" s="1"/>
      <c r="J1" s="1"/>
      <c r="K1" s="1"/>
      <c r="L1" s="1"/>
      <c r="M1" s="1"/>
      <c r="N1" s="1"/>
    </row>
    <row r="2" customFormat="false" ht="17.25" hidden="false" customHeight="true" outlineLevel="0" collapsed="false">
      <c r="B2" s="2" t="s">
        <v>156</v>
      </c>
      <c r="C2" s="2"/>
      <c r="D2" s="2"/>
      <c r="E2" s="2"/>
      <c r="F2" s="2"/>
      <c r="G2" s="2"/>
      <c r="H2" s="2"/>
      <c r="I2" s="2"/>
      <c r="J2" s="2"/>
      <c r="K2" s="2"/>
      <c r="L2" s="2"/>
      <c r="M2" s="2"/>
      <c r="N2" s="2"/>
    </row>
    <row r="4" customFormat="false" ht="20.25" hidden="false" customHeight="true" outlineLevel="0" collapsed="false">
      <c r="B4" s="42" t="s">
        <v>157</v>
      </c>
      <c r="C4" s="42"/>
      <c r="D4" s="42"/>
      <c r="E4" s="42"/>
      <c r="F4" s="42"/>
      <c r="G4" s="42"/>
      <c r="H4" s="42"/>
      <c r="I4" s="42"/>
      <c r="J4" s="42"/>
      <c r="K4" s="42"/>
      <c r="L4" s="42"/>
      <c r="M4" s="42"/>
      <c r="N4" s="42"/>
    </row>
    <row r="5" customFormat="false" ht="34.5" hidden="false" customHeight="true" outlineLevel="0" collapsed="false">
      <c r="B5" s="3" t="s">
        <v>158</v>
      </c>
      <c r="C5" s="3"/>
      <c r="D5" s="3"/>
      <c r="E5" s="3"/>
      <c r="F5" s="3"/>
      <c r="G5" s="3"/>
      <c r="H5" s="3"/>
      <c r="I5" s="3"/>
      <c r="J5" s="3"/>
      <c r="K5" s="3"/>
      <c r="L5" s="3"/>
      <c r="M5" s="3"/>
      <c r="N5" s="3"/>
    </row>
    <row r="6" customFormat="false" ht="21.75" hidden="false" customHeight="true" outlineLevel="0" collapsed="false">
      <c r="B6" s="4" t="s">
        <v>159</v>
      </c>
      <c r="C6" s="4"/>
      <c r="D6" s="4"/>
      <c r="E6" s="4"/>
      <c r="F6" s="4"/>
      <c r="G6" s="4"/>
      <c r="H6" s="4"/>
      <c r="I6" s="4"/>
      <c r="J6" s="4"/>
      <c r="K6" s="4"/>
      <c r="L6" s="4"/>
      <c r="M6" s="4"/>
      <c r="N6" s="4"/>
    </row>
    <row r="7" customFormat="false" ht="15.75" hidden="false" customHeight="true" outlineLevel="0" collapsed="false">
      <c r="B7" s="22" t="s">
        <v>74</v>
      </c>
      <c r="C7" s="23" t="n">
        <v>3</v>
      </c>
    </row>
    <row r="8" customFormat="false" ht="17.25" hidden="false" customHeight="true" outlineLevel="0" collapsed="false">
      <c r="B8" s="10" t="s">
        <v>160</v>
      </c>
      <c r="C8" s="10"/>
      <c r="D8" s="10" t="s">
        <v>161</v>
      </c>
      <c r="E8" s="10"/>
      <c r="F8" s="10" t="s">
        <v>162</v>
      </c>
      <c r="G8" s="10"/>
      <c r="H8" s="10"/>
      <c r="I8" s="10" t="s">
        <v>163</v>
      </c>
      <c r="J8" s="10"/>
      <c r="K8" s="10"/>
      <c r="L8" s="10"/>
      <c r="M8" s="10"/>
      <c r="N8" s="10"/>
    </row>
    <row r="9" customFormat="false" ht="17.25" hidden="false" customHeight="true" outlineLevel="0" collapsed="false">
      <c r="B9" s="36" t="n">
        <v>1</v>
      </c>
      <c r="C9" s="36"/>
      <c r="D9" s="43" t="n">
        <f aca="false">(C7+B9)^2</f>
        <v>16</v>
      </c>
      <c r="E9" s="43"/>
      <c r="F9" s="44" t="n">
        <f aca="false">(D9-C7^2)/B9</f>
        <v>7</v>
      </c>
      <c r="G9" s="44"/>
      <c r="H9" s="44"/>
      <c r="I9" s="12" t="str">
        <f aca="false">"("&amp;IF(ROUND(D9,3)&lt;0,"("&amp;ROUND(D9,3)&amp;")",ROUND(D9,3)&amp;"")&amp;" − "&amp;IF(ROUND(C7^2,3)&lt;0,"("&amp;ROUND(C7^2,3)&amp;")",ROUND(C7^2,3)&amp;"")&amp;") ÷ "&amp;B9&amp;" = "&amp;ROUND(F9,6)</f>
        <v>(16 − 9) ÷ 1 = 7</v>
      </c>
      <c r="J9" s="12"/>
      <c r="K9" s="12"/>
      <c r="L9" s="12"/>
      <c r="M9" s="12"/>
      <c r="N9" s="12"/>
    </row>
    <row r="10" customFormat="false" ht="17.25" hidden="false" customHeight="true" outlineLevel="0" collapsed="false">
      <c r="B10" s="36" t="n">
        <v>0.1</v>
      </c>
      <c r="C10" s="36"/>
      <c r="D10" s="45" t="n">
        <f aca="false">(C7+B10)^2</f>
        <v>9.61</v>
      </c>
      <c r="E10" s="45"/>
      <c r="F10" s="46" t="n">
        <f aca="false">(D10-C7^2)/B10</f>
        <v>6.10000000000001</v>
      </c>
      <c r="G10" s="46"/>
      <c r="H10" s="46"/>
      <c r="I10" s="15" t="str">
        <f aca="false">"("&amp;IF(ROUND(D10,3)&lt;0,"("&amp;ROUND(D10,3)&amp;")",ROUND(D10,3)&amp;"")&amp;" − "&amp;IF(ROUND(C7^2,3)&lt;0,"("&amp;ROUND(C7^2,3)&amp;")",ROUND(C7^2,3)&amp;"")&amp;") ÷ "&amp;B10&amp;" = "&amp;ROUND(F10,6)</f>
        <v>(9.61 − 9) ÷ 0.1 = 6.1</v>
      </c>
      <c r="J10" s="15"/>
      <c r="K10" s="15"/>
      <c r="L10" s="15"/>
      <c r="M10" s="15"/>
      <c r="N10" s="15"/>
    </row>
    <row r="11" customFormat="false" ht="17.25" hidden="false" customHeight="true" outlineLevel="0" collapsed="false">
      <c r="B11" s="36" t="n">
        <v>0.01</v>
      </c>
      <c r="C11" s="36"/>
      <c r="D11" s="43" t="n">
        <f aca="false">(C7+B11)^2</f>
        <v>9.0601</v>
      </c>
      <c r="E11" s="43"/>
      <c r="F11" s="44" t="n">
        <f aca="false">(D11-C7^2)/B11</f>
        <v>6.00999999999985</v>
      </c>
      <c r="G11" s="44"/>
      <c r="H11" s="44"/>
      <c r="I11" s="12" t="str">
        <f aca="false">"("&amp;IF(ROUND(D11,3)&lt;0,"("&amp;ROUND(D11,3)&amp;")",ROUND(D11,3)&amp;"")&amp;" − "&amp;IF(ROUND(C7^2,3)&lt;0,"("&amp;ROUND(C7^2,3)&amp;")",ROUND(C7^2,3)&amp;"")&amp;") ÷ "&amp;B11&amp;" = "&amp;ROUND(F11,6)</f>
        <v>(9.06 − 9) ÷ 0.01 = 6.01</v>
      </c>
      <c r="J11" s="12"/>
      <c r="K11" s="12"/>
      <c r="L11" s="12"/>
      <c r="M11" s="12"/>
      <c r="N11" s="12"/>
    </row>
    <row r="12" customFormat="false" ht="17.25" hidden="false" customHeight="true" outlineLevel="0" collapsed="false">
      <c r="B12" s="36" t="n">
        <v>0.001</v>
      </c>
      <c r="C12" s="36"/>
      <c r="D12" s="45" t="n">
        <f aca="false">(C7+B12)^2</f>
        <v>9.006001</v>
      </c>
      <c r="E12" s="45"/>
      <c r="F12" s="46" t="n">
        <f aca="false">(D12-C7^2)/B12</f>
        <v>6.00099999999948</v>
      </c>
      <c r="G12" s="46"/>
      <c r="H12" s="46"/>
      <c r="I12" s="15" t="str">
        <f aca="false">"("&amp;IF(ROUND(D12,3)&lt;0,"("&amp;ROUND(D12,3)&amp;")",ROUND(D12,3)&amp;"")&amp;" − "&amp;IF(ROUND(C7^2,3)&lt;0,"("&amp;ROUND(C7^2,3)&amp;")",ROUND(C7^2,3)&amp;"")&amp;") ÷ "&amp;B12&amp;" = "&amp;ROUND(F12,6)</f>
        <v>(9.006 − 9) ÷ 0.001 = 6.001</v>
      </c>
      <c r="J12" s="15"/>
      <c r="K12" s="15"/>
      <c r="L12" s="15"/>
      <c r="M12" s="15"/>
      <c r="N12" s="15"/>
    </row>
    <row r="13" customFormat="false" ht="17.25" hidden="false" customHeight="true" outlineLevel="0" collapsed="false">
      <c r="B13" s="22" t="s">
        <v>164</v>
      </c>
      <c r="C13" s="47" t="n">
        <f aca="false">2*C7</f>
        <v>6</v>
      </c>
      <c r="D13" s="38" t="s">
        <v>165</v>
      </c>
      <c r="E13" s="38"/>
      <c r="F13" s="38"/>
      <c r="G13" s="38"/>
      <c r="H13" s="38"/>
      <c r="I13" s="38"/>
      <c r="J13" s="38"/>
      <c r="K13" s="38"/>
      <c r="L13" s="38"/>
      <c r="M13" s="38"/>
      <c r="N13" s="38"/>
    </row>
    <row r="15" customFormat="false" ht="21.75" hidden="false" customHeight="true" outlineLevel="0" collapsed="false">
      <c r="B15" s="4" t="s">
        <v>166</v>
      </c>
      <c r="C15" s="4"/>
      <c r="D15" s="4"/>
      <c r="E15" s="4"/>
      <c r="F15" s="4"/>
      <c r="G15" s="4"/>
      <c r="H15" s="4"/>
      <c r="I15" s="4"/>
      <c r="J15" s="4"/>
      <c r="K15" s="4"/>
      <c r="L15" s="4"/>
      <c r="M15" s="4"/>
      <c r="N15" s="4"/>
    </row>
    <row r="16" customFormat="false" ht="15.75" hidden="false" customHeight="true" outlineLevel="0" collapsed="false">
      <c r="B16" s="22" t="s">
        <v>167</v>
      </c>
      <c r="C16" s="48" t="n">
        <v>0.7</v>
      </c>
    </row>
    <row r="17" customFormat="false" ht="15.75" hidden="false" customHeight="true" outlineLevel="0" collapsed="false">
      <c r="B17" s="22" t="s">
        <v>160</v>
      </c>
      <c r="C17" s="49" t="n">
        <v>1E-005</v>
      </c>
    </row>
    <row r="18" customFormat="false" ht="17.25" hidden="false" customHeight="true" outlineLevel="0" collapsed="false">
      <c r="B18" s="10" t="s">
        <v>168</v>
      </c>
      <c r="C18" s="10"/>
      <c r="D18" s="10" t="s">
        <v>169</v>
      </c>
      <c r="E18" s="10"/>
      <c r="F18" s="10"/>
      <c r="G18" s="10"/>
      <c r="H18" s="10" t="s">
        <v>170</v>
      </c>
      <c r="I18" s="10"/>
      <c r="J18" s="10" t="s">
        <v>171</v>
      </c>
      <c r="K18" s="10"/>
      <c r="L18" s="10" t="s">
        <v>172</v>
      </c>
      <c r="M18" s="10"/>
    </row>
    <row r="19" customFormat="false" ht="17.25" hidden="false" customHeight="true" outlineLevel="0" collapsed="false">
      <c r="B19" s="18" t="s">
        <v>173</v>
      </c>
      <c r="C19" s="18"/>
      <c r="D19" s="12" t="s">
        <v>174</v>
      </c>
      <c r="E19" s="12"/>
      <c r="F19" s="12"/>
      <c r="G19" s="12"/>
      <c r="H19" s="44" t="n">
        <f aca="false">2*C16</f>
        <v>1.4</v>
      </c>
      <c r="I19" s="44"/>
      <c r="J19" s="43" t="n">
        <f aca="false">((C16+C17)^2-(C16-C17)^2)/(2*C17)</f>
        <v>1.39999999999307</v>
      </c>
      <c r="K19" s="43"/>
      <c r="L19" s="12" t="str">
        <f aca="false">IF(ABS(H19-J19)&lt;0.000001,"✔","✘")</f>
        <v>✔</v>
      </c>
      <c r="M19" s="12"/>
    </row>
    <row r="20" customFormat="false" ht="17.25" hidden="false" customHeight="true" outlineLevel="0" collapsed="false">
      <c r="B20" s="9" t="s">
        <v>175</v>
      </c>
      <c r="C20" s="9"/>
      <c r="D20" s="15" t="s">
        <v>176</v>
      </c>
      <c r="E20" s="15"/>
      <c r="F20" s="15"/>
      <c r="G20" s="15"/>
      <c r="H20" s="46" t="n">
        <f aca="false">3*C16^2</f>
        <v>1.47</v>
      </c>
      <c r="I20" s="46"/>
      <c r="J20" s="45" t="n">
        <f aca="false">((C16+C17)^3-(C16-C17)^3)/(2*C17)</f>
        <v>1.47000000009223</v>
      </c>
      <c r="K20" s="45"/>
      <c r="L20" s="15" t="str">
        <f aca="false">IF(ABS(H20-J20)&lt;0.000001,"✔","✘")</f>
        <v>✔</v>
      </c>
      <c r="M20" s="15"/>
    </row>
    <row r="21" customFormat="false" ht="17.25" hidden="false" customHeight="true" outlineLevel="0" collapsed="false">
      <c r="B21" s="18" t="s">
        <v>177</v>
      </c>
      <c r="C21" s="18"/>
      <c r="D21" s="12" t="s">
        <v>177</v>
      </c>
      <c r="E21" s="12"/>
      <c r="F21" s="12"/>
      <c r="G21" s="12"/>
      <c r="H21" s="44" t="n">
        <f aca="false">EXP(C16)</f>
        <v>2.01375270747048</v>
      </c>
      <c r="I21" s="44"/>
      <c r="J21" s="43" t="n">
        <f aca="false">(EXP((C16+C17))-EXP((C16-C17)))/(2*C17)</f>
        <v>2.01375270749704</v>
      </c>
      <c r="K21" s="43"/>
      <c r="L21" s="12" t="str">
        <f aca="false">IF(ABS(H21-J21)&lt;0.000001,"✔","✘")</f>
        <v>✔</v>
      </c>
      <c r="M21" s="12"/>
    </row>
    <row r="22" customFormat="false" ht="17.25" hidden="false" customHeight="true" outlineLevel="0" collapsed="false">
      <c r="B22" s="9" t="s">
        <v>178</v>
      </c>
      <c r="C22" s="9"/>
      <c r="D22" s="15" t="s">
        <v>179</v>
      </c>
      <c r="E22" s="15"/>
      <c r="F22" s="15"/>
      <c r="G22" s="15"/>
      <c r="H22" s="46" t="n">
        <f aca="false">1/C16</f>
        <v>1.42857142857143</v>
      </c>
      <c r="I22" s="46"/>
      <c r="J22" s="45" t="n">
        <f aca="false">(LN((C16+C17))-LN((C16-C17)))/(2*C17)</f>
        <v>1.42857142866326</v>
      </c>
      <c r="K22" s="45"/>
      <c r="L22" s="15" t="str">
        <f aca="false">IF(ABS(H22-J22)&lt;0.000001,"✔","✘")</f>
        <v>✔</v>
      </c>
      <c r="M22" s="15"/>
    </row>
    <row r="23" customFormat="false" ht="17.25" hidden="false" customHeight="true" outlineLevel="0" collapsed="false">
      <c r="B23" s="18" t="s">
        <v>180</v>
      </c>
      <c r="C23" s="18"/>
      <c r="D23" s="12" t="s">
        <v>181</v>
      </c>
      <c r="E23" s="12"/>
      <c r="F23" s="12"/>
      <c r="G23" s="12"/>
      <c r="H23" s="44" t="n">
        <f aca="false">(1/(1+EXP(-C16)))*(1-1/(1+EXP(-C16)))</f>
        <v>0.221712873293109</v>
      </c>
      <c r="I23" s="44"/>
      <c r="J23" s="43" t="n">
        <f aca="false">(1/(1+EXP(-((C16+C17))))-1/(1+EXP(-((C16-C17)))))/(2*C17)</f>
        <v>0.221712873293978</v>
      </c>
      <c r="K23" s="43"/>
      <c r="L23" s="12" t="str">
        <f aca="false">IF(ABS(H23-J23)&lt;0.000001,"✔","✘")</f>
        <v>✔</v>
      </c>
      <c r="M23" s="12"/>
    </row>
    <row r="24" customFormat="false" ht="17.25" hidden="false" customHeight="true" outlineLevel="0" collapsed="false">
      <c r="B24" s="9" t="s">
        <v>182</v>
      </c>
      <c r="C24" s="9"/>
      <c r="D24" s="15" t="s">
        <v>183</v>
      </c>
      <c r="E24" s="15"/>
      <c r="F24" s="15"/>
      <c r="G24" s="15"/>
      <c r="H24" s="46" t="n">
        <f aca="false">1-TANH(C16)^2</f>
        <v>0.634739589982458</v>
      </c>
      <c r="I24" s="46"/>
      <c r="J24" s="45" t="n">
        <f aca="false">(TANH((C16+C17))-TANH((C16-C17)))/(2*C17)</f>
        <v>0.634739589977507</v>
      </c>
      <c r="K24" s="45"/>
      <c r="L24" s="15" t="str">
        <f aca="false">IF(ABS(H24-J24)&lt;0.000001,"✔","✘")</f>
        <v>✔</v>
      </c>
      <c r="M24" s="15"/>
    </row>
    <row r="25" customFormat="false" ht="17.25" hidden="false" customHeight="true" outlineLevel="0" collapsed="false">
      <c r="B25" s="18" t="s">
        <v>184</v>
      </c>
      <c r="C25" s="18"/>
      <c r="D25" s="12" t="s">
        <v>185</v>
      </c>
      <c r="E25" s="12"/>
      <c r="F25" s="12"/>
      <c r="G25" s="12"/>
      <c r="H25" s="44" t="n">
        <f aca="false">IF(C16&gt;0,1,0)</f>
        <v>1</v>
      </c>
      <c r="I25" s="44"/>
      <c r="J25" s="43" t="n">
        <f aca="false">(MAX(0,(C16+C17))-MAX(0,(C16-C17)))/(2*C17)</f>
        <v>0.999999999995449</v>
      </c>
      <c r="K25" s="43"/>
      <c r="L25" s="12" t="str">
        <f aca="false">IF(ABS(H25-J25)&lt;0.000001,"✔","✘")</f>
        <v>✔</v>
      </c>
      <c r="M25" s="12"/>
    </row>
    <row r="26" customFormat="false" ht="17.25" hidden="false" customHeight="true" outlineLevel="0" collapsed="false">
      <c r="B26" s="5" t="s">
        <v>186</v>
      </c>
      <c r="C26" s="5"/>
      <c r="D26" s="5"/>
      <c r="E26" s="5"/>
      <c r="F26" s="5"/>
      <c r="G26" s="5"/>
      <c r="H26" s="5"/>
      <c r="I26" s="5"/>
      <c r="J26" s="5"/>
      <c r="K26" s="5"/>
      <c r="L26" s="5"/>
      <c r="M26" s="5"/>
      <c r="N26" s="5"/>
    </row>
    <row r="27" customFormat="false" ht="21.75" hidden="false" customHeight="true" outlineLevel="0" collapsed="false">
      <c r="B27" s="4" t="s">
        <v>187</v>
      </c>
      <c r="C27" s="4"/>
      <c r="D27" s="4"/>
      <c r="E27" s="4"/>
      <c r="F27" s="4"/>
      <c r="G27" s="4"/>
      <c r="H27" s="4"/>
      <c r="I27" s="4"/>
      <c r="J27" s="4"/>
      <c r="K27" s="4"/>
      <c r="L27" s="4"/>
      <c r="M27" s="4"/>
      <c r="N27" s="4"/>
    </row>
    <row r="28" customFormat="false" ht="31.5" hidden="false" customHeight="true" outlineLevel="0" collapsed="false">
      <c r="B28" s="5" t="s">
        <v>188</v>
      </c>
      <c r="C28" s="5"/>
      <c r="D28" s="5"/>
      <c r="E28" s="5"/>
      <c r="F28" s="5"/>
      <c r="G28" s="5"/>
      <c r="H28" s="5"/>
      <c r="I28" s="5"/>
      <c r="J28" s="5"/>
      <c r="K28" s="5"/>
      <c r="L28" s="5"/>
      <c r="M28" s="5"/>
      <c r="N28" s="5"/>
    </row>
    <row r="29" customFormat="false" ht="15.75" hidden="false" customHeight="true" outlineLevel="0" collapsed="false">
      <c r="B29" s="22" t="s">
        <v>87</v>
      </c>
      <c r="C29" s="23" t="n">
        <v>1</v>
      </c>
    </row>
    <row r="30" customFormat="false" ht="15.75" hidden="false" customHeight="true" outlineLevel="0" collapsed="false">
      <c r="B30" s="22" t="s">
        <v>189</v>
      </c>
      <c r="C30" s="23" t="n">
        <v>1</v>
      </c>
    </row>
    <row r="31" customFormat="false" ht="15.75" hidden="false" customHeight="true" outlineLevel="0" collapsed="false">
      <c r="B31" s="22" t="s">
        <v>190</v>
      </c>
      <c r="C31" s="50" t="n">
        <f aca="false">2*C29+C30-5</f>
        <v>-2</v>
      </c>
    </row>
    <row r="32" customFormat="false" ht="15.75" hidden="false" customHeight="true" outlineLevel="0" collapsed="false">
      <c r="B32" s="22" t="s">
        <v>191</v>
      </c>
      <c r="C32" s="50" t="n">
        <f aca="false">C31^2</f>
        <v>4</v>
      </c>
    </row>
    <row r="33" customFormat="false" ht="17.25" hidden="false" customHeight="true" outlineLevel="0" collapsed="false">
      <c r="B33" s="22" t="s">
        <v>192</v>
      </c>
      <c r="C33" s="47" t="n">
        <f aca="false">2*C31*2</f>
        <v>-8</v>
      </c>
      <c r="D33" s="38" t="s">
        <v>193</v>
      </c>
      <c r="E33" s="38"/>
      <c r="F33" s="38"/>
      <c r="G33" s="38"/>
      <c r="H33" s="38"/>
      <c r="I33" s="38"/>
      <c r="J33" s="38"/>
      <c r="K33" s="38"/>
      <c r="L33" s="38"/>
      <c r="M33" s="38"/>
      <c r="N33" s="38"/>
    </row>
    <row r="34" customFormat="false" ht="15.75" hidden="false" customHeight="true" outlineLevel="0" collapsed="false">
      <c r="B34" s="22" t="s">
        <v>194</v>
      </c>
      <c r="C34" s="47" t="n">
        <f aca="false">2*C31*1</f>
        <v>-4</v>
      </c>
    </row>
    <row r="35" customFormat="false" ht="15.75" hidden="false" customHeight="true" outlineLevel="0" collapsed="false">
      <c r="B35" s="22" t="s">
        <v>195</v>
      </c>
      <c r="C35" s="51" t="n">
        <f aca="false">((2*(C29+C17)+C30-5)^2-(2*(C29-C17)+C30-5)^2)/(2*C17)</f>
        <v>-8.00000000005241</v>
      </c>
    </row>
    <row r="36" customFormat="false" ht="15.75" hidden="false" customHeight="true" outlineLevel="0" collapsed="false">
      <c r="B36" s="22" t="s">
        <v>196</v>
      </c>
      <c r="C36" s="51" t="n">
        <f aca="false">((2*C29+(C30+C17)-5)^2-(2*C29+(C30-C17)-5)^2)/(2*C17)</f>
        <v>-4.00000000002621</v>
      </c>
    </row>
    <row r="37" customFormat="false" ht="15.75" hidden="false" customHeight="true" outlineLevel="0" collapsed="false">
      <c r="B37" s="9" t="s">
        <v>197</v>
      </c>
      <c r="C37" s="26" t="str">
        <f aca="false">"∇f = [∂f/∂w, ∂f/∂b] = ["&amp;IF(ROUND(C33,3)&lt;0,"("&amp;ROUND(C33,3)&amp;")",ROUND(C33,3)&amp;"")&amp;", "&amp;IF(ROUND(C34,3)&lt;0,"("&amp;ROUND(C34,3)&amp;")",ROUND(C34,3)&amp;"")&amp;"]  → step direction −∇f = ["&amp;IF(ROUND(-C33,3)&lt;0,"("&amp;ROUND(-C33,3)&amp;")",ROUND(-C33,3)&amp;"")&amp;", "&amp;IF(ROUND(-C34,3)&lt;0,"("&amp;ROUND(-C34,3)&amp;")",ROUND(-C34,3)&amp;"")&amp;"]"</f>
        <v>∇f = [∂f/∂w, ∂f/∂b] = [(-8), (-4)]  → step direction −∇f = [8, 4]</v>
      </c>
      <c r="D37" s="26"/>
      <c r="E37" s="26"/>
      <c r="F37" s="26"/>
      <c r="G37" s="26"/>
      <c r="H37" s="26"/>
      <c r="I37" s="26"/>
      <c r="J37" s="26"/>
      <c r="K37" s="26"/>
      <c r="L37" s="26"/>
      <c r="M37" s="26"/>
      <c r="N37" s="26"/>
    </row>
    <row r="38" customFormat="false" ht="18.75" hidden="false" customHeight="true" outlineLevel="0" collapsed="false">
      <c r="B38" s="33" t="s">
        <v>98</v>
      </c>
      <c r="C38" s="33"/>
      <c r="D38" s="33"/>
      <c r="E38" s="33"/>
      <c r="F38" s="33"/>
      <c r="G38" s="33"/>
      <c r="H38" s="33"/>
      <c r="I38" s="33"/>
      <c r="J38" s="33"/>
      <c r="K38" s="33"/>
      <c r="L38" s="33"/>
      <c r="M38" s="33"/>
      <c r="N38" s="33"/>
    </row>
    <row r="39" customFormat="false" ht="17.25" hidden="false" customHeight="true" outlineLevel="0" collapsed="false">
      <c r="B39" s="34" t="s">
        <v>198</v>
      </c>
      <c r="C39" s="34"/>
      <c r="D39" s="34"/>
      <c r="E39" s="34"/>
      <c r="F39" s="34"/>
      <c r="G39" s="34"/>
      <c r="H39" s="34"/>
      <c r="I39" s="34"/>
      <c r="J39" s="34"/>
      <c r="K39" s="34"/>
      <c r="L39" s="34"/>
      <c r="M39" s="34"/>
      <c r="N39" s="34"/>
    </row>
    <row r="40" customFormat="false" ht="17.25" hidden="false" customHeight="true" outlineLevel="0" collapsed="false">
      <c r="B40" s="35" t="s">
        <v>199</v>
      </c>
      <c r="C40" s="35"/>
      <c r="D40" s="35"/>
      <c r="E40" s="35"/>
      <c r="F40" s="35"/>
      <c r="G40" s="35"/>
      <c r="H40" s="35"/>
      <c r="I40" s="35"/>
      <c r="J40" s="35"/>
      <c r="K40" s="35"/>
      <c r="L40" s="35"/>
      <c r="M40" s="35"/>
      <c r="N40" s="35"/>
    </row>
    <row r="41" customFormat="false" ht="17.25" hidden="false" customHeight="true" outlineLevel="0" collapsed="false">
      <c r="B41" s="34" t="s">
        <v>200</v>
      </c>
      <c r="C41" s="34"/>
      <c r="D41" s="34"/>
      <c r="E41" s="34"/>
      <c r="F41" s="34"/>
      <c r="G41" s="34"/>
      <c r="H41" s="34"/>
      <c r="I41" s="34"/>
      <c r="J41" s="34"/>
      <c r="K41" s="34"/>
      <c r="L41" s="34"/>
      <c r="M41" s="34"/>
      <c r="N41" s="34"/>
    </row>
    <row r="42" customFormat="false" ht="17.25" hidden="false" customHeight="true" outlineLevel="0" collapsed="false">
      <c r="B42" s="35" t="s">
        <v>201</v>
      </c>
      <c r="C42" s="35"/>
      <c r="D42" s="35"/>
      <c r="E42" s="35"/>
      <c r="F42" s="35"/>
      <c r="G42" s="35"/>
      <c r="H42" s="35"/>
      <c r="I42" s="35"/>
      <c r="J42" s="35"/>
      <c r="K42" s="35"/>
      <c r="L42" s="35"/>
      <c r="M42" s="35"/>
      <c r="N42" s="35"/>
    </row>
  </sheetData>
  <mergeCells count="77">
    <mergeCell ref="B1:N1"/>
    <mergeCell ref="B2:N2"/>
    <mergeCell ref="B4:N4"/>
    <mergeCell ref="B5:N5"/>
    <mergeCell ref="B6:N6"/>
    <mergeCell ref="B8:C8"/>
    <mergeCell ref="D8:E8"/>
    <mergeCell ref="F8:H8"/>
    <mergeCell ref="I8:N8"/>
    <mergeCell ref="B9:C9"/>
    <mergeCell ref="D9:E9"/>
    <mergeCell ref="F9:H9"/>
    <mergeCell ref="I9:N9"/>
    <mergeCell ref="B10:C10"/>
    <mergeCell ref="D10:E10"/>
    <mergeCell ref="F10:H10"/>
    <mergeCell ref="I10:N10"/>
    <mergeCell ref="B11:C11"/>
    <mergeCell ref="D11:E11"/>
    <mergeCell ref="F11:H11"/>
    <mergeCell ref="I11:N11"/>
    <mergeCell ref="B12:C12"/>
    <mergeCell ref="D12:E12"/>
    <mergeCell ref="F12:H12"/>
    <mergeCell ref="I12:N12"/>
    <mergeCell ref="D13:N13"/>
    <mergeCell ref="B15:N15"/>
    <mergeCell ref="B18:C18"/>
    <mergeCell ref="D18:G18"/>
    <mergeCell ref="H18:I18"/>
    <mergeCell ref="J18:K18"/>
    <mergeCell ref="L18:M18"/>
    <mergeCell ref="B19:C19"/>
    <mergeCell ref="D19:G19"/>
    <mergeCell ref="H19:I19"/>
    <mergeCell ref="J19:K19"/>
    <mergeCell ref="L19:M19"/>
    <mergeCell ref="B20:C20"/>
    <mergeCell ref="D20:G20"/>
    <mergeCell ref="H20:I20"/>
    <mergeCell ref="J20:K20"/>
    <mergeCell ref="L20:M20"/>
    <mergeCell ref="B21:C21"/>
    <mergeCell ref="D21:G21"/>
    <mergeCell ref="H21:I21"/>
    <mergeCell ref="J21:K21"/>
    <mergeCell ref="L21:M21"/>
    <mergeCell ref="B22:C22"/>
    <mergeCell ref="D22:G22"/>
    <mergeCell ref="H22:I22"/>
    <mergeCell ref="J22:K22"/>
    <mergeCell ref="L22:M22"/>
    <mergeCell ref="B23:C23"/>
    <mergeCell ref="D23:G23"/>
    <mergeCell ref="H23:I23"/>
    <mergeCell ref="J23:K23"/>
    <mergeCell ref="L23:M23"/>
    <mergeCell ref="B24:C24"/>
    <mergeCell ref="D24:G24"/>
    <mergeCell ref="H24:I24"/>
    <mergeCell ref="J24:K24"/>
    <mergeCell ref="L24:M24"/>
    <mergeCell ref="B25:C25"/>
    <mergeCell ref="D25:G25"/>
    <mergeCell ref="H25:I25"/>
    <mergeCell ref="J25:K25"/>
    <mergeCell ref="L25:M25"/>
    <mergeCell ref="B26:N26"/>
    <mergeCell ref="B27:N27"/>
    <mergeCell ref="B28:N28"/>
    <mergeCell ref="D33:N33"/>
    <mergeCell ref="C37:N37"/>
    <mergeCell ref="B38:N38"/>
    <mergeCell ref="B39:N39"/>
    <mergeCell ref="B40:N40"/>
    <mergeCell ref="B41:N41"/>
    <mergeCell ref="B42:N4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C2E6"/>
    <pageSetUpPr fitToPage="true"/>
  </sheetPr>
  <dimension ref="B1:N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202</v>
      </c>
      <c r="C1" s="1"/>
      <c r="D1" s="1"/>
      <c r="E1" s="1"/>
      <c r="F1" s="1"/>
      <c r="G1" s="1"/>
      <c r="H1" s="1"/>
      <c r="I1" s="1"/>
      <c r="J1" s="1"/>
      <c r="K1" s="1"/>
      <c r="L1" s="1"/>
      <c r="M1" s="1"/>
      <c r="N1" s="1"/>
    </row>
    <row r="2" customFormat="false" ht="17.25" hidden="false" customHeight="true" outlineLevel="0" collapsed="false">
      <c r="B2" s="2" t="s">
        <v>203</v>
      </c>
      <c r="C2" s="2"/>
      <c r="D2" s="2"/>
      <c r="E2" s="2"/>
      <c r="F2" s="2"/>
      <c r="G2" s="2"/>
      <c r="H2" s="2"/>
      <c r="I2" s="2"/>
      <c r="J2" s="2"/>
      <c r="K2" s="2"/>
      <c r="L2" s="2"/>
      <c r="M2" s="2"/>
      <c r="N2" s="2"/>
    </row>
    <row r="4" customFormat="false" ht="20.25" hidden="false" customHeight="true" outlineLevel="0" collapsed="false">
      <c r="B4" s="42" t="s">
        <v>204</v>
      </c>
      <c r="C4" s="42"/>
      <c r="D4" s="42"/>
      <c r="E4" s="42"/>
      <c r="F4" s="42"/>
      <c r="G4" s="42"/>
      <c r="H4" s="42"/>
      <c r="I4" s="42"/>
      <c r="J4" s="42"/>
      <c r="K4" s="42"/>
      <c r="L4" s="42"/>
      <c r="M4" s="42"/>
      <c r="N4" s="42"/>
    </row>
    <row r="5" customFormat="false" ht="18.75" hidden="false" customHeight="true" outlineLevel="0" collapsed="false">
      <c r="B5" s="3" t="s">
        <v>205</v>
      </c>
      <c r="C5" s="3"/>
      <c r="D5" s="3"/>
      <c r="E5" s="3"/>
      <c r="F5" s="3"/>
      <c r="G5" s="3"/>
      <c r="H5" s="3"/>
      <c r="I5" s="3"/>
      <c r="J5" s="3"/>
      <c r="K5" s="3"/>
      <c r="L5" s="3"/>
      <c r="M5" s="3"/>
      <c r="N5" s="3"/>
    </row>
    <row r="6" customFormat="false" ht="21.75" hidden="false" customHeight="true" outlineLevel="0" collapsed="false">
      <c r="B6" s="4" t="s">
        <v>206</v>
      </c>
      <c r="C6" s="4"/>
      <c r="D6" s="4"/>
      <c r="E6" s="4"/>
      <c r="F6" s="4"/>
      <c r="G6" s="4"/>
      <c r="H6" s="4"/>
      <c r="I6" s="4"/>
      <c r="J6" s="4"/>
      <c r="K6" s="4"/>
      <c r="L6" s="4"/>
      <c r="M6" s="4"/>
      <c r="N6" s="4"/>
    </row>
    <row r="7" customFormat="false" ht="17.25" hidden="false" customHeight="true" outlineLevel="0" collapsed="false">
      <c r="B7" s="52" t="s">
        <v>207</v>
      </c>
      <c r="C7" s="52"/>
      <c r="D7" s="52"/>
      <c r="E7" s="52"/>
      <c r="F7" s="52"/>
      <c r="G7" s="52"/>
      <c r="H7" s="52"/>
      <c r="I7" s="52"/>
      <c r="J7" s="52"/>
      <c r="K7" s="52"/>
      <c r="L7" s="52"/>
      <c r="M7" s="52"/>
      <c r="N7" s="52"/>
    </row>
    <row r="8" customFormat="false" ht="15.75" hidden="false" customHeight="true" outlineLevel="0" collapsed="false">
      <c r="B8" s="22" t="s">
        <v>208</v>
      </c>
      <c r="C8" s="23" t="n">
        <v>0</v>
      </c>
    </row>
    <row r="9" customFormat="false" ht="17.25" hidden="false" customHeight="true" outlineLevel="0" collapsed="false">
      <c r="B9" s="22" t="s">
        <v>209</v>
      </c>
      <c r="C9" s="27" t="n">
        <v>0.1</v>
      </c>
      <c r="D9" s="38" t="s">
        <v>210</v>
      </c>
      <c r="E9" s="38"/>
      <c r="F9" s="38"/>
      <c r="G9" s="38"/>
      <c r="H9" s="38"/>
      <c r="I9" s="38"/>
      <c r="J9" s="38"/>
      <c r="K9" s="38"/>
      <c r="L9" s="38"/>
      <c r="M9" s="38"/>
      <c r="N9" s="38"/>
    </row>
    <row r="10" customFormat="false" ht="17.25" hidden="false" customHeight="true" outlineLevel="0" collapsed="false">
      <c r="B10" s="22" t="s">
        <v>211</v>
      </c>
      <c r="C10" s="27" t="n">
        <v>0.4</v>
      </c>
      <c r="D10" s="38" t="s">
        <v>212</v>
      </c>
      <c r="E10" s="38"/>
      <c r="F10" s="38"/>
      <c r="G10" s="38"/>
      <c r="H10" s="38"/>
      <c r="I10" s="38"/>
      <c r="J10" s="38"/>
      <c r="K10" s="38"/>
      <c r="L10" s="38"/>
      <c r="M10" s="38"/>
      <c r="N10" s="38"/>
    </row>
    <row r="11" customFormat="false" ht="17.25" hidden="false" customHeight="true" outlineLevel="0" collapsed="false">
      <c r="B11" s="22" t="s">
        <v>213</v>
      </c>
      <c r="C11" s="27" t="n">
        <v>1.1</v>
      </c>
      <c r="D11" s="38" t="s">
        <v>214</v>
      </c>
      <c r="E11" s="38"/>
      <c r="F11" s="38"/>
      <c r="G11" s="38"/>
      <c r="H11" s="38"/>
      <c r="I11" s="38"/>
      <c r="J11" s="38"/>
      <c r="K11" s="38"/>
      <c r="L11" s="38"/>
      <c r="M11" s="38"/>
      <c r="N11" s="38"/>
    </row>
    <row r="12" customFormat="false" ht="30" hidden="false" customHeight="true" outlineLevel="0" collapsed="false">
      <c r="B12" s="21" t="s">
        <v>215</v>
      </c>
      <c r="C12" s="21" t="s">
        <v>216</v>
      </c>
      <c r="D12" s="21" t="s">
        <v>91</v>
      </c>
      <c r="E12" s="21" t="s">
        <v>217</v>
      </c>
      <c r="F12" s="21" t="s">
        <v>91</v>
      </c>
      <c r="G12" s="21" t="s">
        <v>218</v>
      </c>
      <c r="H12" s="21" t="s">
        <v>91</v>
      </c>
    </row>
    <row r="13" customFormat="false" ht="15" hidden="false" customHeight="false" outlineLevel="0" collapsed="false">
      <c r="B13" s="29" t="n">
        <v>0</v>
      </c>
      <c r="C13" s="30" t="n">
        <f aca="false">C8</f>
        <v>0</v>
      </c>
      <c r="D13" s="30" t="n">
        <f aca="false">(C13-3)^2</f>
        <v>9</v>
      </c>
      <c r="E13" s="30" t="n">
        <f aca="false">C8</f>
        <v>0</v>
      </c>
      <c r="F13" s="53" t="n">
        <f aca="false">(E13-3)^2</f>
        <v>9</v>
      </c>
      <c r="G13" s="30" t="n">
        <f aca="false">C8</f>
        <v>0</v>
      </c>
      <c r="H13" s="30" t="n">
        <f aca="false">(G13-3)^2</f>
        <v>9</v>
      </c>
    </row>
    <row r="14" customFormat="false" ht="15" hidden="false" customHeight="false" outlineLevel="0" collapsed="false">
      <c r="B14" s="29" t="n">
        <v>1</v>
      </c>
      <c r="C14" s="30" t="n">
        <f aca="false">C13-C9*2*(C13-3)</f>
        <v>0.6</v>
      </c>
      <c r="D14" s="30" t="n">
        <f aca="false">(C14-3)^2</f>
        <v>5.76</v>
      </c>
      <c r="E14" s="30" t="n">
        <f aca="false">E13-C10*2*(E13-3)</f>
        <v>2.4</v>
      </c>
      <c r="F14" s="53" t="n">
        <f aca="false">(E14-3)^2</f>
        <v>0.36</v>
      </c>
      <c r="G14" s="30" t="n">
        <f aca="false">G13-C11*2*(G13-3)</f>
        <v>6.6</v>
      </c>
      <c r="H14" s="30" t="n">
        <f aca="false">(G14-3)^2</f>
        <v>12.96</v>
      </c>
    </row>
    <row r="15" customFormat="false" ht="15" hidden="false" customHeight="false" outlineLevel="0" collapsed="false">
      <c r="B15" s="29" t="n">
        <v>2</v>
      </c>
      <c r="C15" s="30" t="n">
        <f aca="false">C14-C9*2*(C14-3)</f>
        <v>1.08</v>
      </c>
      <c r="D15" s="30" t="n">
        <f aca="false">(C15-3)^2</f>
        <v>3.6864</v>
      </c>
      <c r="E15" s="30" t="n">
        <f aca="false">E14-C10*2*(E14-3)</f>
        <v>2.88</v>
      </c>
      <c r="F15" s="53" t="n">
        <f aca="false">(E15-3)^2</f>
        <v>0.0144</v>
      </c>
      <c r="G15" s="30" t="n">
        <f aca="false">G14-C11*2*(G14-3)</f>
        <v>-1.32</v>
      </c>
      <c r="H15" s="30" t="n">
        <f aca="false">(G15-3)^2</f>
        <v>18.6624</v>
      </c>
    </row>
    <row r="16" customFormat="false" ht="15" hidden="false" customHeight="false" outlineLevel="0" collapsed="false">
      <c r="B16" s="29" t="n">
        <v>3</v>
      </c>
      <c r="C16" s="30" t="n">
        <f aca="false">C15-C9*2*(C15-3)</f>
        <v>1.464</v>
      </c>
      <c r="D16" s="30" t="n">
        <f aca="false">(C16-3)^2</f>
        <v>2.359296</v>
      </c>
      <c r="E16" s="30" t="n">
        <f aca="false">E15-C10*2*(E15-3)</f>
        <v>2.976</v>
      </c>
      <c r="F16" s="53" t="n">
        <f aca="false">(E16-3)^2</f>
        <v>0.000576000000000001</v>
      </c>
      <c r="G16" s="30" t="n">
        <f aca="false">G15-C11*2*(G15-3)</f>
        <v>8.184</v>
      </c>
      <c r="H16" s="30" t="n">
        <f aca="false">(G16-3)^2</f>
        <v>26.873856</v>
      </c>
    </row>
    <row r="17" customFormat="false" ht="15" hidden="false" customHeight="false" outlineLevel="0" collapsed="false">
      <c r="B17" s="29" t="n">
        <v>4</v>
      </c>
      <c r="C17" s="30" t="n">
        <f aca="false">C16-C9*2*(C16-3)</f>
        <v>1.7712</v>
      </c>
      <c r="D17" s="30" t="n">
        <f aca="false">(C17-3)^2</f>
        <v>1.50994944</v>
      </c>
      <c r="E17" s="30" t="n">
        <f aca="false">E16-C10*2*(E16-3)</f>
        <v>2.9952</v>
      </c>
      <c r="F17" s="53" t="n">
        <f aca="false">(E17-3)^2</f>
        <v>2.30399999999992E-005</v>
      </c>
      <c r="G17" s="30" t="n">
        <f aca="false">G16-C11*2*(G16-3)</f>
        <v>-3.2208</v>
      </c>
      <c r="H17" s="30" t="n">
        <f aca="false">(G17-3)^2</f>
        <v>38.69835264</v>
      </c>
    </row>
    <row r="18" customFormat="false" ht="15" hidden="false" customHeight="false" outlineLevel="0" collapsed="false">
      <c r="B18" s="29" t="n">
        <v>5</v>
      </c>
      <c r="C18" s="30" t="n">
        <f aca="false">C17-C9*2*(C17-3)</f>
        <v>2.01696</v>
      </c>
      <c r="D18" s="30" t="n">
        <f aca="false">(C18-3)^2</f>
        <v>0.9663676416</v>
      </c>
      <c r="E18" s="30" t="n">
        <f aca="false">E17-C10*2*(E17-3)</f>
        <v>2.99904</v>
      </c>
      <c r="F18" s="53" t="n">
        <f aca="false">(E18-3)^2</f>
        <v>9.21600000000138E-007</v>
      </c>
      <c r="G18" s="30" t="n">
        <f aca="false">G17-C11*2*(G17-3)</f>
        <v>10.46496</v>
      </c>
      <c r="H18" s="30" t="n">
        <f aca="false">(G18-3)^2</f>
        <v>55.7256278016001</v>
      </c>
    </row>
    <row r="19" customFormat="false" ht="15" hidden="false" customHeight="false" outlineLevel="0" collapsed="false">
      <c r="B19" s="29" t="n">
        <v>6</v>
      </c>
      <c r="C19" s="30" t="n">
        <f aca="false">C18-C9*2*(C18-3)</f>
        <v>2.213568</v>
      </c>
      <c r="D19" s="30" t="n">
        <f aca="false">(C19-3)^2</f>
        <v>0.618475290624</v>
      </c>
      <c r="E19" s="30" t="n">
        <f aca="false">E18-C10*2*(E18-3)</f>
        <v>2.999808</v>
      </c>
      <c r="F19" s="53" t="n">
        <f aca="false">(E19-3)^2</f>
        <v>3.68640000000737E-008</v>
      </c>
      <c r="G19" s="30" t="n">
        <f aca="false">G18-C11*2*(G18-3)</f>
        <v>-5.957952</v>
      </c>
      <c r="H19" s="30" t="n">
        <f aca="false">(G19-3)^2</f>
        <v>80.2449040343041</v>
      </c>
    </row>
    <row r="20" customFormat="false" ht="15" hidden="false" customHeight="false" outlineLevel="0" collapsed="false">
      <c r="B20" s="29" t="n">
        <v>7</v>
      </c>
      <c r="C20" s="30" t="n">
        <f aca="false">C19-C9*2*(C19-3)</f>
        <v>2.3708544</v>
      </c>
      <c r="D20" s="30" t="n">
        <f aca="false">(C20-3)^2</f>
        <v>0.39582418599936</v>
      </c>
      <c r="E20" s="30" t="n">
        <f aca="false">E19-C10*2*(E19-3)</f>
        <v>2.9999616</v>
      </c>
      <c r="F20" s="53" t="n">
        <f aca="false">(E20-3)^2</f>
        <v>1.47456000001659E-009</v>
      </c>
      <c r="G20" s="30" t="n">
        <f aca="false">G19-C11*2*(G19-3)</f>
        <v>13.7495424</v>
      </c>
      <c r="H20" s="30" t="n">
        <f aca="false">(G20-3)^2</f>
        <v>115.552661809398</v>
      </c>
    </row>
    <row r="21" customFormat="false" ht="15" hidden="false" customHeight="false" outlineLevel="0" collapsed="false">
      <c r="B21" s="29" t="n">
        <v>8</v>
      </c>
      <c r="C21" s="30" t="n">
        <f aca="false">C20-C9*2*(C20-3)</f>
        <v>2.49668352</v>
      </c>
      <c r="D21" s="30" t="n">
        <f aca="false">(C21-3)^2</f>
        <v>0.25332747903959</v>
      </c>
      <c r="E21" s="30" t="n">
        <f aca="false">E20-C10*2*(E20-3)</f>
        <v>2.99999232</v>
      </c>
      <c r="F21" s="53" t="n">
        <f aca="false">(E21-3)^2</f>
        <v>5.89823999992994E-011</v>
      </c>
      <c r="G21" s="30" t="n">
        <f aca="false">G20-C11*2*(G20-3)</f>
        <v>-9.89945088000001</v>
      </c>
      <c r="H21" s="30" t="n">
        <f aca="false">(G21-3)^2</f>
        <v>166.395833005533</v>
      </c>
    </row>
    <row r="22" customFormat="false" ht="15" hidden="false" customHeight="false" outlineLevel="0" collapsed="false">
      <c r="B22" s="29" t="n">
        <v>9</v>
      </c>
      <c r="C22" s="30" t="n">
        <f aca="false">C21-C9*2*(C21-3)</f>
        <v>2.597346816</v>
      </c>
      <c r="D22" s="30" t="n">
        <f aca="false">(C22-3)^2</f>
        <v>0.162129586585338</v>
      </c>
      <c r="E22" s="30" t="n">
        <f aca="false">E21-C10*2*(E21-3)</f>
        <v>2.999998464</v>
      </c>
      <c r="F22" s="53" t="n">
        <f aca="false">(E22-3)^2</f>
        <v>2.35929600024483E-012</v>
      </c>
      <c r="G22" s="30" t="n">
        <f aca="false">G21-C11*2*(G21-3)</f>
        <v>18.479341056</v>
      </c>
      <c r="H22" s="30" t="n">
        <f aca="false">(G22-3)^2</f>
        <v>239.609999527968</v>
      </c>
    </row>
    <row r="23" customFormat="false" ht="15" hidden="false" customHeight="false" outlineLevel="0" collapsed="false">
      <c r="B23" s="29" t="n">
        <v>10</v>
      </c>
      <c r="C23" s="30" t="n">
        <f aca="false">C22-C9*2*(C22-3)</f>
        <v>2.6778774528</v>
      </c>
      <c r="D23" s="30" t="n">
        <f aca="false">(C23-3)^2</f>
        <v>0.103762935414616</v>
      </c>
      <c r="E23" s="30" t="n">
        <f aca="false">E22-C10*2*(E22-3)</f>
        <v>2.9999996928</v>
      </c>
      <c r="F23" s="53" t="n">
        <f aca="false">(E23-3)^2</f>
        <v>9.43718400643627E-014</v>
      </c>
      <c r="G23" s="30" t="n">
        <f aca="false">G22-C11*2*(G22-3)</f>
        <v>-15.5752092672</v>
      </c>
      <c r="H23" s="30" t="n">
        <f aca="false">(G23-3)^2</f>
        <v>345.038399320274</v>
      </c>
    </row>
    <row r="24" customFormat="false" ht="15" hidden="false" customHeight="false" outlineLevel="0" collapsed="false">
      <c r="B24" s="29" t="n">
        <v>11</v>
      </c>
      <c r="C24" s="30" t="n">
        <f aca="false">C23-C9*2*(C23-3)</f>
        <v>2.74230196224</v>
      </c>
      <c r="D24" s="30" t="n">
        <f aca="false">(C24-3)^2</f>
        <v>0.0664082786653544</v>
      </c>
      <c r="E24" s="30" t="n">
        <f aca="false">E23-C10*2*(E23-3)</f>
        <v>2.99999993856</v>
      </c>
      <c r="F24" s="53" t="n">
        <f aca="false">(E24-3)^2</f>
        <v>3.77487362440238E-015</v>
      </c>
      <c r="G24" s="30" t="n">
        <f aca="false">G23-C11*2*(G23-3)</f>
        <v>25.29025112064</v>
      </c>
      <c r="H24" s="30" t="n">
        <f aca="false">(G24-3)^2</f>
        <v>496.855295021194</v>
      </c>
    </row>
    <row r="25" customFormat="false" ht="15" hidden="false" customHeight="false" outlineLevel="0" collapsed="false">
      <c r="B25" s="29" t="n">
        <v>12</v>
      </c>
      <c r="C25" s="30" t="n">
        <f aca="false">C24-C9*2*(C24-3)</f>
        <v>2.793841569792</v>
      </c>
      <c r="D25" s="30" t="n">
        <f aca="false">(C25-3)^2</f>
        <v>0.0425012983458269</v>
      </c>
      <c r="E25" s="30" t="n">
        <f aca="false">E24-C10*2*(E24-3)</f>
        <v>2.999999987712</v>
      </c>
      <c r="F25" s="53" t="n">
        <f aca="false">(E25-3)^2</f>
        <v>1.50994942793308E-016</v>
      </c>
      <c r="G25" s="30" t="n">
        <f aca="false">G24-C11*2*(G24-3)</f>
        <v>-23.748301344768</v>
      </c>
      <c r="H25" s="30" t="n">
        <f aca="false">(G25-3)^2</f>
        <v>715.47162483052</v>
      </c>
    </row>
    <row r="27" customFormat="false" ht="15.75" hidden="false" customHeight="true" outlineLevel="0" collapsed="false">
      <c r="B27" s="9" t="s">
        <v>219</v>
      </c>
      <c r="C27" s="26" t="str">
        <f aca="false">"w = 0 − "&amp;IF(ROUND(C10,3)&lt;0,"("&amp;ROUND(C10,3)&amp;")",ROUND(C10,3)&amp;"")&amp;" × 2 × (0 − 3) = "&amp;IF(ROUND(E14,3)&lt;0,"("&amp;ROUND(E14,3)&amp;")",ROUND(E14,3)&amp;"")</f>
        <v>w = 0 − 0.4 × 2 × (0 − 3) = 2.4</v>
      </c>
      <c r="D27" s="26"/>
      <c r="E27" s="26"/>
      <c r="F27" s="26"/>
      <c r="G27" s="26"/>
      <c r="H27" s="26"/>
      <c r="I27" s="26"/>
      <c r="J27" s="26"/>
      <c r="K27" s="26"/>
      <c r="L27" s="26"/>
      <c r="M27" s="26"/>
      <c r="N27" s="26"/>
    </row>
    <row r="45" customFormat="false" ht="31.5" hidden="false" customHeight="true" outlineLevel="0" collapsed="false">
      <c r="B45" s="5" t="s">
        <v>220</v>
      </c>
      <c r="C45" s="5"/>
      <c r="D45" s="5"/>
      <c r="E45" s="5"/>
      <c r="F45" s="5"/>
      <c r="G45" s="5"/>
      <c r="H45" s="5"/>
      <c r="I45" s="5"/>
      <c r="J45" s="5"/>
      <c r="K45" s="5"/>
      <c r="L45" s="5"/>
      <c r="M45" s="5"/>
      <c r="N45" s="5"/>
    </row>
    <row r="47" customFormat="false" ht="21.75" hidden="false" customHeight="true" outlineLevel="0" collapsed="false">
      <c r="B47" s="4" t="s">
        <v>221</v>
      </c>
      <c r="C47" s="4"/>
      <c r="D47" s="4"/>
      <c r="E47" s="4"/>
      <c r="F47" s="4"/>
      <c r="G47" s="4"/>
      <c r="H47" s="4"/>
      <c r="I47" s="4"/>
      <c r="J47" s="4"/>
      <c r="K47" s="4"/>
      <c r="L47" s="4"/>
      <c r="M47" s="4"/>
      <c r="N47" s="4"/>
    </row>
    <row r="48" customFormat="false" ht="17.25" hidden="false" customHeight="true" outlineLevel="0" collapsed="false">
      <c r="B48" s="5" t="s">
        <v>222</v>
      </c>
      <c r="C48" s="5"/>
      <c r="D48" s="5"/>
      <c r="E48" s="5"/>
      <c r="F48" s="5"/>
      <c r="G48" s="5"/>
      <c r="H48" s="5"/>
      <c r="I48" s="5"/>
      <c r="J48" s="5"/>
      <c r="K48" s="5"/>
      <c r="L48" s="5"/>
      <c r="M48" s="5"/>
      <c r="N48" s="5"/>
    </row>
    <row r="49" customFormat="false" ht="17.25" hidden="false" customHeight="true" outlineLevel="0" collapsed="false">
      <c r="B49" s="20" t="s">
        <v>223</v>
      </c>
      <c r="C49" s="20"/>
      <c r="D49" s="20"/>
    </row>
    <row r="50" customFormat="false" ht="15" hidden="false" customHeight="false" outlineLevel="0" collapsed="false">
      <c r="B50" s="15"/>
      <c r="C50" s="21" t="s">
        <v>74</v>
      </c>
      <c r="D50" s="21" t="s">
        <v>75</v>
      </c>
    </row>
    <row r="51" customFormat="false" ht="15" hidden="false" customHeight="false" outlineLevel="0" collapsed="false">
      <c r="B51" s="22" t="s">
        <v>224</v>
      </c>
      <c r="C51" s="23" t="n">
        <v>0</v>
      </c>
      <c r="D51" s="23" t="n">
        <v>1</v>
      </c>
    </row>
    <row r="52" customFormat="false" ht="15" hidden="false" customHeight="false" outlineLevel="0" collapsed="false">
      <c r="B52" s="22" t="s">
        <v>225</v>
      </c>
      <c r="C52" s="23" t="n">
        <v>1</v>
      </c>
      <c r="D52" s="23" t="n">
        <v>3</v>
      </c>
    </row>
    <row r="53" customFormat="false" ht="15" hidden="false" customHeight="false" outlineLevel="0" collapsed="false">
      <c r="B53" s="22" t="s">
        <v>226</v>
      </c>
      <c r="C53" s="23" t="n">
        <v>2</v>
      </c>
      <c r="D53" s="23" t="n">
        <v>5</v>
      </c>
    </row>
    <row r="54" customFormat="false" ht="15" hidden="false" customHeight="false" outlineLevel="0" collapsed="false">
      <c r="B54" s="22" t="s">
        <v>227</v>
      </c>
      <c r="C54" s="23" t="n">
        <v>3</v>
      </c>
      <c r="D54" s="23" t="n">
        <v>7</v>
      </c>
    </row>
    <row r="56" customFormat="false" ht="15.75" hidden="false" customHeight="true" outlineLevel="0" collapsed="false">
      <c r="B56" s="22" t="s">
        <v>228</v>
      </c>
      <c r="C56" s="28" t="n">
        <v>0.05</v>
      </c>
    </row>
    <row r="57" customFormat="false" ht="20.25" hidden="false" customHeight="true" outlineLevel="0" collapsed="false">
      <c r="B57" s="42" t="s">
        <v>229</v>
      </c>
      <c r="C57" s="42"/>
      <c r="D57" s="42"/>
      <c r="E57" s="42"/>
      <c r="F57" s="42"/>
      <c r="G57" s="42"/>
      <c r="H57" s="42"/>
      <c r="I57" s="42"/>
      <c r="J57" s="42"/>
      <c r="K57" s="42"/>
      <c r="L57" s="42"/>
      <c r="M57" s="42"/>
      <c r="N57" s="42"/>
    </row>
    <row r="58" customFormat="false" ht="30" hidden="false" customHeight="true" outlineLevel="0" collapsed="false">
      <c r="B58" s="21" t="s">
        <v>230</v>
      </c>
      <c r="C58" s="21" t="s">
        <v>87</v>
      </c>
      <c r="D58" s="21" t="s">
        <v>189</v>
      </c>
      <c r="E58" s="21" t="s">
        <v>231</v>
      </c>
      <c r="F58" s="21" t="s">
        <v>232</v>
      </c>
      <c r="G58" s="21" t="s">
        <v>233</v>
      </c>
    </row>
    <row r="59" customFormat="false" ht="15" hidden="false" customHeight="false" outlineLevel="0" collapsed="false">
      <c r="B59" s="29" t="n">
        <v>0</v>
      </c>
      <c r="C59" s="30" t="n">
        <v>0</v>
      </c>
      <c r="D59" s="30" t="n">
        <v>0</v>
      </c>
      <c r="E59" s="53" t="n">
        <f aca="false">SUMPRODUCT((C59*C51:C54+D59-D51:D54)^2)/4</f>
        <v>21</v>
      </c>
      <c r="F59" s="30" t="n">
        <f aca="false">2*SUMPRODUCT((C59*C51:C54+D59-D51:D54)*C51:C54)/4</f>
        <v>-17</v>
      </c>
      <c r="G59" s="30" t="n">
        <f aca="false">2*SUMPRODUCT(C59*C51:C54+D59-D51:D54)/4</f>
        <v>-8</v>
      </c>
    </row>
    <row r="60" customFormat="false" ht="15" hidden="false" customHeight="false" outlineLevel="0" collapsed="false">
      <c r="B60" s="29" t="n">
        <v>1</v>
      </c>
      <c r="C60" s="30" t="n">
        <f aca="false">C59-C56*F59</f>
        <v>0.85</v>
      </c>
      <c r="D60" s="30" t="n">
        <f aca="false">D59-C56*G59</f>
        <v>0.4</v>
      </c>
      <c r="E60" s="53" t="n">
        <f aca="false">SUMPRODUCT((C60*C51:C54+D60-D51:D54)^2)/4</f>
        <v>7.05875</v>
      </c>
      <c r="F60" s="30" t="n">
        <f aca="false">2*SUMPRODUCT((C60*C51:C54+D60-D51:D54)*C51:C54)/4</f>
        <v>-9.85</v>
      </c>
      <c r="G60" s="30" t="n">
        <f aca="false">2*SUMPRODUCT(C60*C51:C54+D60-D51:D54)/4</f>
        <v>-4.65</v>
      </c>
    </row>
    <row r="61" customFormat="false" ht="15" hidden="false" customHeight="false" outlineLevel="0" collapsed="false">
      <c r="B61" s="29" t="n">
        <v>2</v>
      </c>
      <c r="C61" s="30" t="n">
        <f aca="false">C60-C56*F60</f>
        <v>1.3425</v>
      </c>
      <c r="D61" s="30" t="n">
        <f aca="false">D60-C56*G60</f>
        <v>0.6325</v>
      </c>
      <c r="E61" s="53" t="n">
        <f aca="false">SUMPRODUCT((C61*C51:C54+D61-D51:D54)^2)/4</f>
        <v>2.373021875</v>
      </c>
      <c r="F61" s="30" t="n">
        <f aca="false">2*SUMPRODUCT((C61*C51:C54+D61-D51:D54)*C51:C54)/4</f>
        <v>-5.705</v>
      </c>
      <c r="G61" s="30" t="n">
        <f aca="false">2*SUMPRODUCT(C61*C51:C54+D61-D51:D54)/4</f>
        <v>-2.7075</v>
      </c>
    </row>
    <row r="62" customFormat="false" ht="15" hidden="false" customHeight="false" outlineLevel="0" collapsed="false">
      <c r="B62" s="29" t="n">
        <v>3</v>
      </c>
      <c r="C62" s="30" t="n">
        <f aca="false">C61-C56*F61</f>
        <v>1.62775</v>
      </c>
      <c r="D62" s="30" t="n">
        <f aca="false">D61-C56*G61</f>
        <v>0.767875</v>
      </c>
      <c r="E62" s="53" t="n">
        <f aca="false">SUMPRODUCT((C62*C51:C54+D62-D51:D54)^2)/4</f>
        <v>0.798102828125</v>
      </c>
      <c r="F62" s="30" t="n">
        <f aca="false">2*SUMPRODUCT((C62*C51:C54+D62-D51:D54)*C51:C54)/4</f>
        <v>-3.302125</v>
      </c>
      <c r="G62" s="30" t="n">
        <f aca="false">2*SUMPRODUCT(C62*C51:C54+D62-D51:D54)/4</f>
        <v>-1.581</v>
      </c>
    </row>
    <row r="63" customFormat="false" ht="15" hidden="false" customHeight="false" outlineLevel="0" collapsed="false">
      <c r="B63" s="29" t="n">
        <v>4</v>
      </c>
      <c r="C63" s="30" t="n">
        <f aca="false">C62-C56*F62</f>
        <v>1.79285625</v>
      </c>
      <c r="D63" s="30" t="n">
        <f aca="false">D62-C56*G62</f>
        <v>0.846925</v>
      </c>
      <c r="E63" s="53" t="n">
        <f aca="false">SUMPRODUCT((C63*C51:C54+D63-D51:D54)^2)/4</f>
        <v>0.268737410292969</v>
      </c>
      <c r="F63" s="30" t="n">
        <f aca="false">2*SUMPRODUCT((C63*C51:C54+D63-D51:D54)*C51:C54)/4</f>
        <v>-1.90923125</v>
      </c>
      <c r="G63" s="30" t="n">
        <f aca="false">2*SUMPRODUCT(C63*C51:C54+D63-D51:D54)/4</f>
        <v>-0.92758125</v>
      </c>
    </row>
    <row r="64" customFormat="false" ht="15" hidden="false" customHeight="false" outlineLevel="0" collapsed="false">
      <c r="B64" s="29" t="n">
        <v>5</v>
      </c>
      <c r="C64" s="30" t="n">
        <f aca="false">C63-C56*F63</f>
        <v>1.8883178125</v>
      </c>
      <c r="D64" s="30" t="n">
        <f aca="false">D63-C56*G63</f>
        <v>0.8933040625</v>
      </c>
      <c r="E64" s="53" t="n">
        <f aca="false">SUMPRODUCT((C64*C51:C54+D64-D51:D54)^2)/4</f>
        <v>0.0907873186878418</v>
      </c>
      <c r="F64" s="30" t="n">
        <f aca="false">2*SUMPRODUCT((C64*C51:C54+D64-D51:D54)*C51:C54)/4</f>
        <v>-1.101863125</v>
      </c>
      <c r="G64" s="30" t="n">
        <f aca="false">2*SUMPRODUCT(C64*C51:C54+D64-D51:D54)/4</f>
        <v>-0.5484384375</v>
      </c>
    </row>
    <row r="65" customFormat="false" ht="15" hidden="false" customHeight="false" outlineLevel="0" collapsed="false">
      <c r="B65" s="29" t="n">
        <v>6</v>
      </c>
      <c r="C65" s="30" t="n">
        <f aca="false">C64-C56*F64</f>
        <v>1.94341096875</v>
      </c>
      <c r="D65" s="30" t="n">
        <f aca="false">D64-C56*G64</f>
        <v>0.920725984375</v>
      </c>
      <c r="E65" s="53" t="n">
        <f aca="false">SUMPRODUCT((C65*C51:C54+D65-D51:D54)^2)/4</f>
        <v>0.0309506033982082</v>
      </c>
      <c r="F65" s="30" t="n">
        <f aca="false">2*SUMPRODUCT((C65*C51:C54+D65-D51:D54)*C51:C54)/4</f>
        <v>-0.633945265625</v>
      </c>
      <c r="G65" s="30" t="n">
        <f aca="false">2*SUMPRODUCT(C65*C51:C54+D65-D51:D54)/4</f>
        <v>-0.328315125</v>
      </c>
    </row>
    <row r="66" customFormat="false" ht="15" hidden="false" customHeight="false" outlineLevel="0" collapsed="false">
      <c r="B66" s="29" t="n">
        <v>7</v>
      </c>
      <c r="C66" s="30" t="n">
        <f aca="false">C65-C56*F65</f>
        <v>1.97510823203125</v>
      </c>
      <c r="D66" s="30" t="n">
        <f aca="false">D65-C56*G65</f>
        <v>0.937141740625</v>
      </c>
      <c r="E66" s="53" t="n">
        <f aca="false">SUMPRODUCT((C66*C51:C54+D66-D51:D54)^2)/4</f>
        <v>0.0108137207876361</v>
      </c>
      <c r="F66" s="30" t="n">
        <f aca="false">2*SUMPRODUCT((C66*C51:C54+D66-D51:D54)*C51:C54)/4</f>
        <v>-0.362817153906251</v>
      </c>
      <c r="G66" s="30" t="n">
        <f aca="false">2*SUMPRODUCT(C66*C51:C54+D66-D51:D54)/4</f>
        <v>-0.20039182265625</v>
      </c>
    </row>
    <row r="67" customFormat="false" ht="15" hidden="false" customHeight="false" outlineLevel="0" collapsed="false">
      <c r="B67" s="29" t="n">
        <v>8</v>
      </c>
      <c r="C67" s="30" t="n">
        <f aca="false">C66-C56*F66</f>
        <v>1.99324908972656</v>
      </c>
      <c r="D67" s="30" t="n">
        <f aca="false">D66-C56*G66</f>
        <v>0.947161331757813</v>
      </c>
      <c r="E67" s="53" t="n">
        <f aca="false">SUMPRODUCT((C67*C51:C54+D67-D51:D54)^2)/4</f>
        <v>0.00402156394974079</v>
      </c>
      <c r="F67" s="30" t="n">
        <f aca="false">2*SUMPRODUCT((C67*C51:C54+D67-D51:D54)*C51:C54)/4</f>
        <v>-0.205772376640625</v>
      </c>
      <c r="G67" s="30" t="n">
        <f aca="false">2*SUMPRODUCT(C67*C51:C54+D67-D51:D54)/4</f>
        <v>-0.125930067304687</v>
      </c>
    </row>
    <row r="68" customFormat="false" ht="15" hidden="false" customHeight="false" outlineLevel="0" collapsed="false">
      <c r="B68" s="29" t="n">
        <v>9</v>
      </c>
      <c r="C68" s="30" t="n">
        <f aca="false">C67-C56*F67</f>
        <v>2.00353770855859</v>
      </c>
      <c r="D68" s="30" t="n">
        <f aca="false">D67-C56*G67</f>
        <v>0.953457835123047</v>
      </c>
      <c r="E68" s="53" t="n">
        <f aca="false">SUMPRODUCT((C68*C51:C54+D68-D51:D54)^2)/4</f>
        <v>0.00171601910283085</v>
      </c>
      <c r="F68" s="30" t="n">
        <f aca="false">2*SUMPRODUCT((C68*C51:C54+D68-D51:D54)*C51:C54)/4</f>
        <v>-0.114862534720702</v>
      </c>
      <c r="G68" s="30" t="n">
        <f aca="false">2*SUMPRODUCT(C68*C51:C54+D68-D51:D54)/4</f>
        <v>-0.0824712040781245</v>
      </c>
    </row>
    <row r="69" customFormat="false" ht="15" hidden="false" customHeight="false" outlineLevel="0" collapsed="false">
      <c r="B69" s="29" t="n">
        <v>10</v>
      </c>
      <c r="C69" s="30" t="n">
        <f aca="false">C68-C56*F68</f>
        <v>2.00928083529463</v>
      </c>
      <c r="D69" s="30" t="n">
        <f aca="false">D68-C56*G68</f>
        <v>0.957581395326953</v>
      </c>
      <c r="E69" s="53" t="n">
        <f aca="false">SUMPRODUCT((C69*C51:C54+D69-D51:D54)^2)/4</f>
        <v>0.000919766435393744</v>
      </c>
      <c r="F69" s="30" t="n">
        <f aca="false">2*SUMPRODUCT((C69*C51:C54+D69-D51:D54)*C51:C54)/4</f>
        <v>-0.0622899669567358</v>
      </c>
      <c r="G69" s="30" t="n">
        <f aca="false">2*SUMPRODUCT(C69*C51:C54+D69-D51:D54)/4</f>
        <v>-0.056994703462206</v>
      </c>
    </row>
    <row r="70" customFormat="false" ht="15" hidden="false" customHeight="false" outlineLevel="0" collapsed="false">
      <c r="B70" s="29" t="n">
        <v>11</v>
      </c>
      <c r="C70" s="30" t="n">
        <f aca="false">C69-C56*F69</f>
        <v>2.01239533364247</v>
      </c>
      <c r="D70" s="30" t="n">
        <f aca="false">D69-C56*G69</f>
        <v>0.960431130500064</v>
      </c>
      <c r="E70" s="53" t="n">
        <f aca="false">SUMPRODUCT((C70*C51:C54+D70-D51:D54)^2)/4</f>
        <v>0.000632042451960451</v>
      </c>
      <c r="F70" s="30" t="n">
        <f aca="false">2*SUMPRODUCT((C70*C51:C54+D70-D51:D54)*C51:C54)/4</f>
        <v>-0.0319392730025485</v>
      </c>
      <c r="G70" s="30" t="n">
        <f aca="false">2*SUMPRODUCT(C70*C51:C54+D70-D51:D54)/4</f>
        <v>-0.0419517380724754</v>
      </c>
    </row>
    <row r="71" customFormat="false" ht="15" hidden="false" customHeight="false" outlineLevel="0" collapsed="false">
      <c r="B71" s="29" t="n">
        <v>12</v>
      </c>
      <c r="C71" s="30" t="n">
        <f aca="false">C70-C56*F70</f>
        <v>2.01399229729259</v>
      </c>
      <c r="D71" s="30" t="n">
        <f aca="false">D70-C56*G70</f>
        <v>0.962528717403687</v>
      </c>
      <c r="E71" s="53" t="n">
        <f aca="false">SUMPRODUCT((C71*C51:C54+D71-D51:D54)^2)/4</f>
        <v>0.000516414383680672</v>
      </c>
      <c r="F71" s="30" t="n">
        <f aca="false">2*SUMPRODUCT((C71*C51:C54+D71-D51:D54)*C51:C54)/4</f>
        <v>-0.0144677667407853</v>
      </c>
      <c r="G71" s="30" t="n">
        <f aca="false">2*SUMPRODUCT(C71*C51:C54+D71-D51:D54)/4</f>
        <v>-0.0329656733148456</v>
      </c>
    </row>
    <row r="72" customFormat="false" ht="15" hidden="false" customHeight="false" outlineLevel="0" collapsed="false">
      <c r="B72" s="29" t="n">
        <v>13</v>
      </c>
      <c r="C72" s="30" t="n">
        <f aca="false">C71-C56*F71</f>
        <v>2.01471568562963</v>
      </c>
      <c r="D72" s="30" t="n">
        <f aca="false">D71-C56*G71</f>
        <v>0.96417700106943</v>
      </c>
      <c r="E72" s="53" t="n">
        <f aca="false">SUMPRODUCT((C72*C51:C54+D72-D51:D54)^2)/4</f>
        <v>0.000459737193086446</v>
      </c>
      <c r="F72" s="30" t="n">
        <f aca="false">2*SUMPRODUCT((C72*C51:C54+D72-D51:D54)*C51:C54)/4</f>
        <v>-0.00445919738428424</v>
      </c>
      <c r="G72" s="30" t="n">
        <f aca="false">2*SUMPRODUCT(C72*C51:C54+D72-D51:D54)/4</f>
        <v>-0.0274989409722435</v>
      </c>
    </row>
    <row r="73" customFormat="false" ht="15" hidden="false" customHeight="false" outlineLevel="0" collapsed="false">
      <c r="B73" s="29" t="n">
        <v>14</v>
      </c>
      <c r="C73" s="30" t="n">
        <f aca="false">C72-C56*F72</f>
        <v>2.01493864549885</v>
      </c>
      <c r="D73" s="30" t="n">
        <f aca="false">D72-C56*G72</f>
        <v>0.965551948118042</v>
      </c>
      <c r="E73" s="53" t="n">
        <f aca="false">SUMPRODUCT((C73*C51:C54+D73-D51:D54)^2)/4</f>
        <v>0.000423917525581472</v>
      </c>
      <c r="F73" s="30" t="n">
        <f aca="false">2*SUMPRODUCT((C73*C51:C54+D73-D51:D54)*C51:C54)/4</f>
        <v>0.00122636284605226</v>
      </c>
      <c r="G73" s="30" t="n">
        <f aca="false">2*SUMPRODUCT(C73*C51:C54+D73-D51:D54)/4</f>
        <v>-0.0240801672673763</v>
      </c>
    </row>
    <row r="74" customFormat="false" ht="15" hidden="false" customHeight="false" outlineLevel="0" collapsed="false">
      <c r="B74" s="29" t="n">
        <v>15</v>
      </c>
      <c r="C74" s="30" t="n">
        <f aca="false">C73-C56*F73</f>
        <v>2.01487732735654</v>
      </c>
      <c r="D74" s="30" t="n">
        <f aca="false">D73-C56*G73</f>
        <v>0.966755956481411</v>
      </c>
      <c r="E74" s="53" t="n">
        <f aca="false">SUMPRODUCT((C74*C51:C54+D74-D51:D54)^2)/4</f>
        <v>0.00039609091768032</v>
      </c>
      <c r="F74" s="30" t="n">
        <f aca="false">2*SUMPRODUCT((C74*C51:C54+D74-D51:D54)*C51:C54)/4</f>
        <v>0.00440916094003896</v>
      </c>
      <c r="G74" s="30" t="n">
        <f aca="false">2*SUMPRODUCT(C74*C51:C54+D74-D51:D54)/4</f>
        <v>-0.0218561049675471</v>
      </c>
    </row>
    <row r="75" customFormat="false" ht="15" hidden="false" customHeight="false" outlineLevel="0" collapsed="false">
      <c r="B75" s="29" t="n">
        <v>16</v>
      </c>
      <c r="C75" s="30" t="n">
        <f aca="false">C74-C56*F74</f>
        <v>2.01465686930954</v>
      </c>
      <c r="D75" s="30" t="n">
        <f aca="false">D74-C56*G74</f>
        <v>0.967848761729788</v>
      </c>
      <c r="E75" s="53" t="n">
        <f aca="false">SUMPRODUCT((C75*C51:C54+D75-D51:D54)^2)/4</f>
        <v>0.000371875992758094</v>
      </c>
      <c r="F75" s="30" t="n">
        <f aca="false">2*SUMPRODUCT((C75*C51:C54+D75-D51:D54)*C51:C54)/4</f>
        <v>0.00614437035615834</v>
      </c>
      <c r="G75" s="30" t="n">
        <f aca="false">2*SUMPRODUCT(C75*C51:C54+D75-D51:D54)/4</f>
        <v>-0.0203318686117978</v>
      </c>
    </row>
    <row r="76" customFormat="false" ht="15" hidden="false" customHeight="false" outlineLevel="0" collapsed="false">
      <c r="B76" s="29" t="n">
        <v>17</v>
      </c>
      <c r="C76" s="30" t="n">
        <f aca="false">C75-C56*F75</f>
        <v>2.01434965079173</v>
      </c>
      <c r="D76" s="30" t="n">
        <f aca="false">D75-C56*G75</f>
        <v>0.968865355160378</v>
      </c>
      <c r="E76" s="53" t="n">
        <f aca="false">SUMPRODUCT((C76*C51:C54+D76-D51:D54)^2)/4</f>
        <v>0.000349745938826173</v>
      </c>
      <c r="F76" s="30" t="n">
        <f aca="false">2*SUMPRODUCT((C76*C51:C54+D76-D51:D54)*C51:C54)/4</f>
        <v>0.0070436210232705</v>
      </c>
      <c r="G76" s="30" t="n">
        <f aca="false">2*SUMPRODUCT(C76*C51:C54+D76-D51:D54)/4</f>
        <v>-0.0192203373040425</v>
      </c>
    </row>
    <row r="77" customFormat="false" ht="15" hidden="false" customHeight="false" outlineLevel="0" collapsed="false">
      <c r="B77" s="29" t="n">
        <v>18</v>
      </c>
      <c r="C77" s="30" t="n">
        <f aca="false">C76-C56*F76</f>
        <v>2.01399746974057</v>
      </c>
      <c r="D77" s="30" t="n">
        <f aca="false">D76-C56*G76</f>
        <v>0.96982637202558</v>
      </c>
      <c r="E77" s="53" t="n">
        <f aca="false">SUMPRODUCT((C77*C51:C54+D77-D51:D54)^2)/4</f>
        <v>0.000329136548516831</v>
      </c>
      <c r="F77" s="30" t="n">
        <f aca="false">2*SUMPRODUCT((C77*C51:C54+D77-D51:D54)*C51:C54)/4</f>
        <v>0.00746140426073594</v>
      </c>
      <c r="G77" s="30" t="n">
        <f aca="false">2*SUMPRODUCT(C77*C51:C54+D77-D51:D54)/4</f>
        <v>-0.0183548467271275</v>
      </c>
    </row>
    <row r="78" customFormat="false" ht="15" hidden="false" customHeight="false" outlineLevel="0" collapsed="false">
      <c r="B78" s="29" t="n">
        <v>19</v>
      </c>
      <c r="C78" s="30" t="n">
        <f aca="false">C77-C56*F77</f>
        <v>2.01362439952753</v>
      </c>
      <c r="D78" s="30" t="n">
        <f aca="false">D77-C56*G77</f>
        <v>0.970744114361936</v>
      </c>
      <c r="E78" s="53" t="n">
        <f aca="false">SUMPRODUCT((C78*C51:C54+D78-D51:D54)^2)/4</f>
        <v>0.000309810139773527</v>
      </c>
      <c r="F78" s="30" t="n">
        <f aca="false">2*SUMPRODUCT((C78*C51:C54+D78-D51:D54)*C51:C54)/4</f>
        <v>0.00760313977854654</v>
      </c>
      <c r="G78" s="30" t="n">
        <f aca="false">2*SUMPRODUCT(C78*C51:C54+D78-D51:D54)/4</f>
        <v>-0.0176385726935254</v>
      </c>
    </row>
    <row r="79" customFormat="false" ht="15" hidden="false" customHeight="false" outlineLevel="0" collapsed="false">
      <c r="B79" s="29" t="n">
        <v>20</v>
      </c>
      <c r="C79" s="30" t="n">
        <f aca="false">C78-C56*F78</f>
        <v>2.01324424253861</v>
      </c>
      <c r="D79" s="30" t="n">
        <f aca="false">D78-C56*G78</f>
        <v>0.971626042996613</v>
      </c>
      <c r="E79" s="53" t="n">
        <f aca="false">SUMPRODUCT((C79*C51:C54+D79-D51:D54)^2)/4</f>
        <v>0.00029164159250653</v>
      </c>
      <c r="F79" s="30" t="n">
        <f aca="false">2*SUMPRODUCT((C79*C51:C54+D79-D51:D54)*C51:C54)/4</f>
        <v>0.00758782676008329</v>
      </c>
      <c r="G79" s="30" t="n">
        <f aca="false">2*SUMPRODUCT(C79*C51:C54+D79-D51:D54)/4</f>
        <v>-0.0170151863909553</v>
      </c>
    </row>
    <row r="80" customFormat="false" ht="15" hidden="false" customHeight="false" outlineLevel="0" collapsed="false">
      <c r="B80" s="29" t="n">
        <v>21</v>
      </c>
      <c r="C80" s="30" t="n">
        <f aca="false">C79-C56*F79</f>
        <v>2.0128648512006</v>
      </c>
      <c r="D80" s="30" t="n">
        <f aca="false">D79-C56*G79</f>
        <v>0.972476802316161</v>
      </c>
      <c r="E80" s="53" t="n">
        <f aca="false">SUMPRODUCT((C80*C51:C54+D80-D51:D54)^2)/4</f>
        <v>0.000274546269889369</v>
      </c>
      <c r="F80" s="30" t="n">
        <f aca="false">2*SUMPRODUCT((C80*C51:C54+D80-D51:D54)*C51:C54)/4</f>
        <v>0.00748436535269548</v>
      </c>
      <c r="G80" s="30" t="n">
        <f aca="false">2*SUMPRODUCT(C80*C51:C54+D80-D51:D54)/4</f>
        <v>-0.016451841765873</v>
      </c>
    </row>
    <row r="81" customFormat="false" ht="15" hidden="false" customHeight="false" outlineLevel="0" collapsed="false">
      <c r="B81" s="29" t="n">
        <v>22</v>
      </c>
      <c r="C81" s="30" t="n">
        <f aca="false">C80-C56*F80</f>
        <v>2.01249063293297</v>
      </c>
      <c r="D81" s="30" t="n">
        <f aca="false">D80-C56*G80</f>
        <v>0.973299394404454</v>
      </c>
      <c r="E81" s="53" t="n">
        <f aca="false">SUMPRODUCT((C81*C51:C54+D81-D51:D54)^2)/4</f>
        <v>0.000258455637154651</v>
      </c>
      <c r="F81" s="30" t="n">
        <f aca="false">2*SUMPRODUCT((C81*C51:C54+D81-D51:D54)*C51:C54)/4</f>
        <v>0.00733261374413097</v>
      </c>
      <c r="G81" s="30" t="n">
        <f aca="false">2*SUMPRODUCT(C81*C51:C54+D81-D51:D54)/4</f>
        <v>-0.015929312392191</v>
      </c>
    </row>
    <row r="82" customFormat="false" ht="15" hidden="false" customHeight="false" outlineLevel="0" collapsed="false">
      <c r="B82" s="29" t="n">
        <v>23</v>
      </c>
      <c r="C82" s="30" t="n">
        <f aca="false">C81-C56*F81</f>
        <v>2.01212400224576</v>
      </c>
      <c r="D82" s="30" t="n">
        <f aca="false">D81-C56*G81</f>
        <v>0.974095860024064</v>
      </c>
      <c r="E82" s="53" t="n">
        <f aca="false">SUMPRODUCT((C82*C51:C54+D82-D51:D54)^2)/4</f>
        <v>0.000243308920757881</v>
      </c>
      <c r="F82" s="30" t="n">
        <f aca="false">2*SUMPRODUCT((C82*C51:C54+D82-D51:D54)*C51:C54)/4</f>
        <v>0.00715559579251379</v>
      </c>
      <c r="G82" s="30" t="n">
        <f aca="false">2*SUMPRODUCT(C82*C51:C54+D82-D51:D54)/4</f>
        <v>-0.0154362732145914</v>
      </c>
    </row>
    <row r="83" customFormat="false" ht="15" hidden="false" customHeight="false" outlineLevel="0" collapsed="false">
      <c r="B83" s="29" t="n">
        <v>24</v>
      </c>
      <c r="C83" s="30" t="n">
        <f aca="false">C82-C56*F82</f>
        <v>2.01176622245614</v>
      </c>
      <c r="D83" s="30" t="n">
        <f aca="false">D82-C56*G82</f>
        <v>0.974867673684793</v>
      </c>
      <c r="E83" s="53" t="n">
        <f aca="false">SUMPRODUCT((C83*C51:C54+D83-D51:D54)^2)/4</f>
        <v>0.000229050167324735</v>
      </c>
      <c r="F83" s="30" t="n">
        <f aca="false">2*SUMPRODUCT((C83*C51:C54+D83-D51:D54)*C51:C54)/4</f>
        <v>0.00696657824732405</v>
      </c>
      <c r="G83" s="30" t="n">
        <f aca="false">2*SUMPRODUCT(C83*C51:C54+D83-D51:D54)/4</f>
        <v>-0.0149659852620089</v>
      </c>
    </row>
    <row r="84" customFormat="false" ht="15" hidden="false" customHeight="false" outlineLevel="0" collapsed="false">
      <c r="B84" s="29" t="n">
        <v>25</v>
      </c>
      <c r="C84" s="30" t="n">
        <f aca="false">C83-C56*F83</f>
        <v>2.01141789354377</v>
      </c>
      <c r="D84" s="30" t="n">
        <f aca="false">D83-C56*G83</f>
        <v>0.975615972947894</v>
      </c>
      <c r="E84" s="53" t="n">
        <f aca="false">SUMPRODUCT((C84*C51:C54+D84-D51:D54)^2)/4</f>
        <v>0.000215627125548803</v>
      </c>
      <c r="F84" s="30" t="n">
        <f aca="false">2*SUMPRODUCT((C84*C51:C54+D84-D51:D54)*C51:C54)/4</f>
        <v>0.00677317365006491</v>
      </c>
      <c r="G84" s="30" t="n">
        <f aca="false">2*SUMPRODUCT(C84*C51:C54+D84-D51:D54)/4</f>
        <v>-0.0145143734729054</v>
      </c>
    </row>
    <row r="85" customFormat="false" ht="15" hidden="false" customHeight="false" outlineLevel="0" collapsed="false">
      <c r="B85" s="29" t="n">
        <v>26</v>
      </c>
      <c r="C85" s="30" t="n">
        <f aca="false">C84-C56*F84</f>
        <v>2.01107923486127</v>
      </c>
      <c r="D85" s="30" t="n">
        <f aca="false">D84-C56*G84</f>
        <v>0.976341691621539</v>
      </c>
      <c r="E85" s="53" t="n">
        <f aca="false">SUMPRODUCT((C85*C51:C54+D85-D51:D54)^2)/4</f>
        <v>0.000202990748383502</v>
      </c>
      <c r="F85" s="30" t="n">
        <f aca="false">2*SUMPRODUCT((C85*C51:C54+D85-D51:D54)*C51:C54)/4</f>
        <v>0.00657971889347753</v>
      </c>
      <c r="G85" s="30" t="n">
        <f aca="false">2*SUMPRODUCT(C85*C51:C54+D85-D51:D54)/4</f>
        <v>-0.0140789121731248</v>
      </c>
    </row>
    <row r="86" customFormat="false" ht="15" hidden="false" customHeight="false" outlineLevel="0" collapsed="false">
      <c r="B86" s="29" t="n">
        <v>27</v>
      </c>
      <c r="C86" s="30" t="n">
        <f aca="false">C85-C56*F85</f>
        <v>2.01075024891659</v>
      </c>
      <c r="D86" s="30" t="n">
        <f aca="false">D85-C56*G85</f>
        <v>0.977045637230195</v>
      </c>
      <c r="E86" s="53" t="n">
        <f aca="false">SUMPRODUCT((C86*C51:C54+D86-D51:D54)^2)/4</f>
        <v>0.000191094910866741</v>
      </c>
      <c r="F86" s="30" t="n">
        <f aca="false">2*SUMPRODUCT((C86*C51:C54+D86-D51:D54)*C51:C54)/4</f>
        <v>0.00638865410672618</v>
      </c>
      <c r="G86" s="30" t="n">
        <f aca="false">2*SUMPRODUCT(C86*C51:C54+D86-D51:D54)/4</f>
        <v>-0.013657978789835</v>
      </c>
    </row>
    <row r="87" customFormat="false" ht="15" hidden="false" customHeight="false" outlineLevel="0" collapsed="false">
      <c r="B87" s="29" t="n">
        <v>28</v>
      </c>
      <c r="C87" s="30" t="n">
        <f aca="false">C86-C56*F86</f>
        <v>2.01043081621126</v>
      </c>
      <c r="D87" s="30" t="n">
        <f aca="false">D86-C56*G86</f>
        <v>0.977728536169687</v>
      </c>
      <c r="E87" s="53" t="n">
        <f aca="false">SUMPRODUCT((C87*C51:C54+D87-D51:D54)^2)/4</f>
        <v>0.000179896207151548</v>
      </c>
      <c r="F87" s="30" t="n">
        <f aca="false">2*SUMPRODUCT((C87*C51:C54+D87-D51:D54)*C51:C54)/4</f>
        <v>0.00620132198784962</v>
      </c>
      <c r="G87" s="30" t="n">
        <f aca="false">2*SUMPRODUCT(C87*C51:C54+D87-D51:D54)/4</f>
        <v>-0.0132504790268594</v>
      </c>
    </row>
    <row r="88" customFormat="false" ht="15" hidden="false" customHeight="false" outlineLevel="0" collapsed="false">
      <c r="B88" s="29" t="n">
        <v>29</v>
      </c>
      <c r="C88" s="30" t="n">
        <f aca="false">C87-C56*F87</f>
        <v>2.01012075011186</v>
      </c>
      <c r="D88" s="30" t="n">
        <f aca="false">D87-C56*G87</f>
        <v>0.97839106012103</v>
      </c>
      <c r="E88" s="53" t="n">
        <f aca="false">SUMPRODUCT((C88*C51:C54+D88-D51:D54)^2)/4</f>
        <v>0.000169353780494673</v>
      </c>
      <c r="F88" s="30" t="n">
        <f aca="false">2*SUMPRODUCT((C88*C51:C54+D88-D51:D54)*C51:C54)/4</f>
        <v>0.00601843114613132</v>
      </c>
      <c r="G88" s="30" t="n">
        <f aca="false">2*SUMPRODUCT(C88*C51:C54+D88-D51:D54)/4</f>
        <v>-0.0128556294223509</v>
      </c>
    </row>
    <row r="90" customFormat="false" ht="15.75" hidden="false" customHeight="true" outlineLevel="0" collapsed="false">
      <c r="B90" s="9" t="s">
        <v>234</v>
      </c>
      <c r="C90" s="26" t="str">
        <f aca="false">"∂L/∂w = 2×((0−1)×0 + (0−3)×1 + (0−5)×2 + (0−7)×3) ÷ 4 = "&amp;IF(ROUND(F59,3)&lt;0,"("&amp;ROUND(F59,3)&amp;")",ROUND(F59,3)&amp;"")&amp;";  ∂L/∂b = 2×(−1 −3 −5 −7) ÷ 4 = "&amp;IF(ROUND(G59,3)&lt;0,"("&amp;ROUND(G59,3)&amp;")",ROUND(G59,3)&amp;"")</f>
        <v>∂L/∂w = 2×((0−1)×0 + (0−3)×1 + (0−5)×2 + (0−7)×3) ÷ 4 = (-17);  ∂L/∂b = 2×(−1 −3 −5 −7) ÷ 4 = (-8)</v>
      </c>
      <c r="D90" s="26"/>
      <c r="E90" s="26"/>
      <c r="F90" s="26"/>
      <c r="G90" s="26"/>
      <c r="H90" s="26"/>
      <c r="I90" s="26"/>
      <c r="J90" s="26"/>
      <c r="K90" s="26"/>
      <c r="L90" s="26"/>
      <c r="M90" s="26"/>
      <c r="N90" s="26"/>
    </row>
    <row r="91" customFormat="false" ht="17.25" hidden="false" customHeight="true" outlineLevel="0" collapsed="false">
      <c r="B91" s="5" t="s">
        <v>235</v>
      </c>
      <c r="C91" s="5"/>
      <c r="D91" s="5"/>
      <c r="E91" s="5"/>
      <c r="F91" s="5"/>
      <c r="G91" s="5"/>
      <c r="H91" s="5"/>
      <c r="I91" s="5"/>
      <c r="J91" s="5"/>
      <c r="K91" s="5"/>
      <c r="L91" s="5"/>
      <c r="M91" s="5"/>
      <c r="N91" s="5"/>
    </row>
    <row r="92" customFormat="false" ht="18.75" hidden="false" customHeight="true" outlineLevel="0" collapsed="false">
      <c r="B92" s="33" t="s">
        <v>98</v>
      </c>
      <c r="C92" s="33"/>
      <c r="D92" s="33"/>
      <c r="E92" s="33"/>
      <c r="F92" s="33"/>
      <c r="G92" s="33"/>
      <c r="H92" s="33"/>
      <c r="I92" s="33"/>
      <c r="J92" s="33"/>
      <c r="K92" s="33"/>
      <c r="L92" s="33"/>
      <c r="M92" s="33"/>
      <c r="N92" s="33"/>
    </row>
    <row r="93" customFormat="false" ht="17.25" hidden="false" customHeight="true" outlineLevel="0" collapsed="false">
      <c r="B93" s="34" t="s">
        <v>236</v>
      </c>
      <c r="C93" s="34"/>
      <c r="D93" s="34"/>
      <c r="E93" s="34"/>
      <c r="F93" s="34"/>
      <c r="G93" s="34"/>
      <c r="H93" s="34"/>
      <c r="I93" s="34"/>
      <c r="J93" s="34"/>
      <c r="K93" s="34"/>
      <c r="L93" s="34"/>
      <c r="M93" s="34"/>
      <c r="N93" s="34"/>
    </row>
    <row r="94" customFormat="false" ht="17.25" hidden="false" customHeight="true" outlineLevel="0" collapsed="false">
      <c r="B94" s="35" t="s">
        <v>237</v>
      </c>
      <c r="C94" s="35"/>
      <c r="D94" s="35"/>
      <c r="E94" s="35"/>
      <c r="F94" s="35"/>
      <c r="G94" s="35"/>
      <c r="H94" s="35"/>
      <c r="I94" s="35"/>
      <c r="J94" s="35"/>
      <c r="K94" s="35"/>
      <c r="L94" s="35"/>
      <c r="M94" s="35"/>
      <c r="N94" s="35"/>
    </row>
    <row r="95" customFormat="false" ht="17.25" hidden="false" customHeight="true" outlineLevel="0" collapsed="false">
      <c r="B95" s="34" t="s">
        <v>238</v>
      </c>
      <c r="C95" s="34"/>
      <c r="D95" s="34"/>
      <c r="E95" s="34"/>
      <c r="F95" s="34"/>
      <c r="G95" s="34"/>
      <c r="H95" s="34"/>
      <c r="I95" s="34"/>
      <c r="J95" s="34"/>
      <c r="K95" s="34"/>
      <c r="L95" s="34"/>
      <c r="M95" s="34"/>
      <c r="N95" s="34"/>
    </row>
    <row r="96" customFormat="false" ht="17.25" hidden="false" customHeight="true" outlineLevel="0" collapsed="false">
      <c r="B96" s="35" t="s">
        <v>239</v>
      </c>
      <c r="C96" s="35"/>
      <c r="D96" s="35"/>
      <c r="E96" s="35"/>
      <c r="F96" s="35"/>
      <c r="G96" s="35"/>
      <c r="H96" s="35"/>
      <c r="I96" s="35"/>
      <c r="J96" s="35"/>
      <c r="K96" s="35"/>
      <c r="L96" s="35"/>
      <c r="M96" s="35"/>
      <c r="N96" s="35"/>
    </row>
  </sheetData>
  <mergeCells count="22">
    <mergeCell ref="B1:N1"/>
    <mergeCell ref="B2:N2"/>
    <mergeCell ref="B4:N4"/>
    <mergeCell ref="B5:N5"/>
    <mergeCell ref="B6:N6"/>
    <mergeCell ref="B7:N7"/>
    <mergeCell ref="D9:N9"/>
    <mergeCell ref="D10:N10"/>
    <mergeCell ref="D11:N11"/>
    <mergeCell ref="C27:N27"/>
    <mergeCell ref="B45:N45"/>
    <mergeCell ref="B47:N47"/>
    <mergeCell ref="B48:N48"/>
    <mergeCell ref="B49:D49"/>
    <mergeCell ref="B57:N57"/>
    <mergeCell ref="C90:N90"/>
    <mergeCell ref="B91:N91"/>
    <mergeCell ref="B92:N92"/>
    <mergeCell ref="B93:N93"/>
    <mergeCell ref="B94:N94"/>
    <mergeCell ref="B95:N95"/>
    <mergeCell ref="B96:N9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C2E6"/>
    <pageSetUpPr fitToPage="true"/>
  </sheetPr>
  <dimension ref="B1:N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240</v>
      </c>
      <c r="C1" s="1"/>
      <c r="D1" s="1"/>
      <c r="E1" s="1"/>
      <c r="F1" s="1"/>
      <c r="G1" s="1"/>
      <c r="H1" s="1"/>
      <c r="I1" s="1"/>
      <c r="J1" s="1"/>
      <c r="K1" s="1"/>
      <c r="L1" s="1"/>
      <c r="M1" s="1"/>
      <c r="N1" s="1"/>
    </row>
    <row r="2" customFormat="false" ht="17.25" hidden="false" customHeight="true" outlineLevel="0" collapsed="false">
      <c r="B2" s="2" t="s">
        <v>241</v>
      </c>
      <c r="C2" s="2"/>
      <c r="D2" s="2"/>
      <c r="E2" s="2"/>
      <c r="F2" s="2"/>
      <c r="G2" s="2"/>
      <c r="H2" s="2"/>
      <c r="I2" s="2"/>
      <c r="J2" s="2"/>
      <c r="K2" s="2"/>
      <c r="L2" s="2"/>
      <c r="M2" s="2"/>
      <c r="N2" s="2"/>
    </row>
    <row r="4" customFormat="false" ht="20.25" hidden="false" customHeight="true" outlineLevel="0" collapsed="false">
      <c r="B4" s="42" t="s">
        <v>242</v>
      </c>
      <c r="C4" s="42"/>
      <c r="D4" s="42"/>
      <c r="E4" s="42"/>
      <c r="F4" s="42"/>
      <c r="G4" s="42"/>
      <c r="H4" s="42"/>
      <c r="I4" s="42"/>
      <c r="J4" s="42"/>
      <c r="K4" s="42"/>
      <c r="L4" s="42"/>
      <c r="M4" s="42"/>
      <c r="N4" s="42"/>
    </row>
    <row r="5" customFormat="false" ht="34.5" hidden="false" customHeight="true" outlineLevel="0" collapsed="false">
      <c r="B5" s="3" t="s">
        <v>243</v>
      </c>
      <c r="C5" s="3"/>
      <c r="D5" s="3"/>
      <c r="E5" s="3"/>
      <c r="F5" s="3"/>
      <c r="G5" s="3"/>
      <c r="H5" s="3"/>
      <c r="I5" s="3"/>
      <c r="J5" s="3"/>
      <c r="K5" s="3"/>
      <c r="L5" s="3"/>
      <c r="M5" s="3"/>
      <c r="N5" s="3"/>
    </row>
    <row r="6" customFormat="false" ht="17.25" hidden="false" customHeight="true" outlineLevel="0" collapsed="false">
      <c r="B6" s="19" t="s">
        <v>244</v>
      </c>
      <c r="C6" s="19"/>
      <c r="D6" s="19"/>
      <c r="E6" s="19"/>
      <c r="F6" s="19"/>
      <c r="G6" s="19"/>
      <c r="H6" s="19"/>
      <c r="I6" s="19"/>
      <c r="J6" s="19"/>
      <c r="K6" s="19"/>
      <c r="L6" s="19"/>
      <c r="M6" s="19"/>
      <c r="N6" s="19"/>
    </row>
    <row r="7" customFormat="false" ht="21.75" hidden="false" customHeight="true" outlineLevel="0" collapsed="false">
      <c r="B7" s="4" t="s">
        <v>245</v>
      </c>
      <c r="C7" s="4"/>
      <c r="D7" s="4"/>
      <c r="E7" s="4"/>
      <c r="F7" s="4"/>
      <c r="G7" s="4"/>
      <c r="H7" s="4"/>
      <c r="I7" s="4"/>
      <c r="J7" s="4"/>
      <c r="K7" s="4"/>
      <c r="L7" s="4"/>
      <c r="M7" s="4"/>
      <c r="N7" s="4"/>
    </row>
    <row r="8" customFormat="false" ht="15.75" hidden="false" customHeight="true" outlineLevel="0" collapsed="false">
      <c r="B8" s="22" t="s">
        <v>74</v>
      </c>
      <c r="C8" s="23" t="n">
        <v>2</v>
      </c>
    </row>
    <row r="9" customFormat="false" ht="17.25" hidden="false" customHeight="true" outlineLevel="0" collapsed="false">
      <c r="B9" s="22" t="s">
        <v>246</v>
      </c>
      <c r="C9" s="50" t="n">
        <f aca="false">3*C8+1</f>
        <v>7</v>
      </c>
      <c r="D9" s="38" t="s">
        <v>247</v>
      </c>
      <c r="E9" s="38"/>
      <c r="F9" s="38"/>
      <c r="G9" s="38"/>
      <c r="H9" s="38"/>
      <c r="I9" s="38"/>
      <c r="J9" s="38"/>
      <c r="K9" s="38"/>
      <c r="L9" s="38"/>
      <c r="M9" s="38"/>
      <c r="N9" s="38"/>
    </row>
    <row r="10" customFormat="false" ht="17.25" hidden="false" customHeight="true" outlineLevel="0" collapsed="false">
      <c r="B10" s="22" t="s">
        <v>248</v>
      </c>
      <c r="C10" s="50" t="n">
        <f aca="false">C9^2</f>
        <v>49</v>
      </c>
      <c r="D10" s="38" t="s">
        <v>249</v>
      </c>
      <c r="E10" s="38"/>
      <c r="F10" s="38"/>
      <c r="G10" s="38"/>
      <c r="H10" s="38"/>
      <c r="I10" s="38"/>
      <c r="J10" s="38"/>
      <c r="K10" s="38"/>
      <c r="L10" s="38"/>
      <c r="M10" s="38"/>
      <c r="N10" s="38"/>
    </row>
    <row r="11" customFormat="false" ht="15.75" hidden="false" customHeight="true" outlineLevel="0" collapsed="false">
      <c r="B11" s="22" t="s">
        <v>250</v>
      </c>
      <c r="C11" s="50" t="n">
        <f aca="false">2*C9</f>
        <v>14</v>
      </c>
    </row>
    <row r="12" customFormat="false" ht="15.75" hidden="false" customHeight="true" outlineLevel="0" collapsed="false">
      <c r="B12" s="22" t="s">
        <v>251</v>
      </c>
      <c r="C12" s="50" t="n">
        <f aca="false">3</f>
        <v>3</v>
      </c>
    </row>
    <row r="13" customFormat="false" ht="15.75" hidden="false" customHeight="true" outlineLevel="0" collapsed="false">
      <c r="B13" s="22" t="s">
        <v>252</v>
      </c>
      <c r="C13" s="47" t="n">
        <f aca="false">C11*C12</f>
        <v>42</v>
      </c>
    </row>
    <row r="14" customFormat="false" ht="17.25" hidden="false" customHeight="true" outlineLevel="0" collapsed="false">
      <c r="B14" s="22" t="s">
        <v>253</v>
      </c>
      <c r="C14" s="51" t="n">
        <f aca="false">((3*(C8+0.00001)+1)^2-(3*(C8-0.00001)+1)^2)/0.00002</f>
        <v>42.0000000008969</v>
      </c>
      <c r="D14" s="38" t="s">
        <v>254</v>
      </c>
      <c r="E14" s="38"/>
      <c r="F14" s="38"/>
      <c r="G14" s="38"/>
      <c r="H14" s="38"/>
      <c r="I14" s="38"/>
      <c r="J14" s="38"/>
      <c r="K14" s="38"/>
      <c r="L14" s="38"/>
      <c r="M14" s="38"/>
      <c r="N14" s="38"/>
    </row>
    <row r="15" customFormat="false" ht="15.75" hidden="false" customHeight="true" outlineLevel="0" collapsed="false">
      <c r="B15" s="9" t="s">
        <v>13</v>
      </c>
      <c r="C15" s="26" t="str">
        <f aca="false">"dy/dx = 2u × 3 = 2×"&amp;IF(ROUND(C9,3)&lt;0,"("&amp;ROUND(C9,3)&amp;")",ROUND(C9,3)&amp;"")&amp;" × 3 = "&amp;IF(ROUND(C13,3)&lt;0,"("&amp;ROUND(C13,3)&amp;")",ROUND(C13,3)&amp;"")</f>
        <v>dy/dx = 2u × 3 = 2×7 × 3 = 42</v>
      </c>
      <c r="D15" s="26"/>
      <c r="E15" s="26"/>
      <c r="F15" s="26"/>
      <c r="G15" s="26"/>
      <c r="H15" s="26"/>
      <c r="I15" s="26"/>
      <c r="J15" s="26"/>
      <c r="K15" s="26"/>
      <c r="L15" s="26"/>
      <c r="M15" s="26"/>
      <c r="N15" s="26"/>
    </row>
    <row r="17" customFormat="false" ht="21.75" hidden="false" customHeight="true" outlineLevel="0" collapsed="false">
      <c r="B17" s="4" t="s">
        <v>255</v>
      </c>
      <c r="C17" s="4"/>
      <c r="D17" s="4"/>
      <c r="E17" s="4"/>
      <c r="F17" s="4"/>
      <c r="G17" s="4"/>
      <c r="H17" s="4"/>
      <c r="I17" s="4"/>
      <c r="J17" s="4"/>
      <c r="K17" s="4"/>
      <c r="L17" s="4"/>
      <c r="M17" s="4"/>
      <c r="N17" s="4"/>
    </row>
    <row r="18" customFormat="false" ht="31.5" hidden="false" customHeight="true" outlineLevel="0" collapsed="false">
      <c r="B18" s="5" t="s">
        <v>256</v>
      </c>
      <c r="C18" s="5"/>
      <c r="D18" s="5"/>
      <c r="E18" s="5"/>
      <c r="F18" s="5"/>
      <c r="G18" s="5"/>
      <c r="H18" s="5"/>
      <c r="I18" s="5"/>
      <c r="J18" s="5"/>
      <c r="K18" s="5"/>
      <c r="L18" s="5"/>
      <c r="M18" s="5"/>
      <c r="N18" s="5"/>
    </row>
    <row r="19" customFormat="false" ht="15.75" hidden="false" customHeight="true" outlineLevel="0" collapsed="false">
      <c r="B19" s="22" t="s">
        <v>257</v>
      </c>
      <c r="C19" s="23" t="n">
        <v>2</v>
      </c>
    </row>
    <row r="20" customFormat="false" ht="15.75" hidden="false" customHeight="true" outlineLevel="0" collapsed="false">
      <c r="B20" s="22" t="s">
        <v>189</v>
      </c>
      <c r="C20" s="23" t="n">
        <v>-3</v>
      </c>
    </row>
    <row r="21" customFormat="false" ht="15.75" hidden="false" customHeight="true" outlineLevel="0" collapsed="false">
      <c r="B21" s="22" t="s">
        <v>258</v>
      </c>
      <c r="C21" s="23" t="n">
        <v>10</v>
      </c>
    </row>
    <row r="22" customFormat="false" ht="30" hidden="false" customHeight="true" outlineLevel="0" collapsed="false">
      <c r="B22" s="21" t="s">
        <v>259</v>
      </c>
      <c r="C22" s="21" t="s">
        <v>260</v>
      </c>
      <c r="D22" s="54" t="s">
        <v>261</v>
      </c>
      <c r="E22" s="54"/>
      <c r="F22" s="54"/>
      <c r="G22" s="54"/>
      <c r="H22" s="54"/>
    </row>
    <row r="23" customFormat="false" ht="15.75" hidden="false" customHeight="true" outlineLevel="0" collapsed="false">
      <c r="B23" s="22" t="s">
        <v>262</v>
      </c>
      <c r="C23" s="50" t="n">
        <f aca="false">C19*C20</f>
        <v>-6</v>
      </c>
      <c r="D23" s="12" t="s">
        <v>263</v>
      </c>
      <c r="E23" s="12"/>
      <c r="F23" s="12"/>
      <c r="G23" s="12"/>
      <c r="H23" s="12"/>
    </row>
    <row r="24" customFormat="false" ht="15.75" hidden="false" customHeight="true" outlineLevel="0" collapsed="false">
      <c r="B24" s="22" t="s">
        <v>264</v>
      </c>
      <c r="C24" s="50" t="n">
        <f aca="false">C23+C21</f>
        <v>4</v>
      </c>
      <c r="D24" s="12" t="s">
        <v>265</v>
      </c>
      <c r="E24" s="12"/>
      <c r="F24" s="12"/>
      <c r="G24" s="12"/>
      <c r="H24" s="12"/>
    </row>
    <row r="25" customFormat="false" ht="15.75" hidden="false" customHeight="true" outlineLevel="0" collapsed="false">
      <c r="B25" s="22" t="s">
        <v>266</v>
      </c>
      <c r="C25" s="50" t="n">
        <f aca="false">C24^2</f>
        <v>16</v>
      </c>
      <c r="D25" s="12" t="s">
        <v>267</v>
      </c>
      <c r="E25" s="12"/>
      <c r="F25" s="12"/>
      <c r="G25" s="12"/>
      <c r="H25" s="12"/>
    </row>
    <row r="27" customFormat="false" ht="30" hidden="false" customHeight="true" outlineLevel="0" collapsed="false">
      <c r="B27" s="21" t="s">
        <v>197</v>
      </c>
      <c r="C27" s="21" t="s">
        <v>268</v>
      </c>
      <c r="D27" s="21" t="s">
        <v>269</v>
      </c>
      <c r="E27" s="21" t="s">
        <v>270</v>
      </c>
      <c r="F27" s="54" t="s">
        <v>271</v>
      </c>
      <c r="G27" s="54"/>
      <c r="H27" s="54"/>
      <c r="I27" s="54"/>
      <c r="J27" s="54"/>
      <c r="K27" s="54"/>
    </row>
    <row r="28" customFormat="false" ht="15.75" hidden="false" customHeight="true" outlineLevel="0" collapsed="false">
      <c r="B28" s="22" t="s">
        <v>272</v>
      </c>
      <c r="C28" s="50" t="n">
        <f aca="false">2*C24</f>
        <v>8</v>
      </c>
      <c r="D28" s="50" t="n">
        <f aca="false">1</f>
        <v>1</v>
      </c>
      <c r="E28" s="47" t="n">
        <f aca="false">C28*D28</f>
        <v>8</v>
      </c>
      <c r="F28" s="12" t="s">
        <v>273</v>
      </c>
      <c r="G28" s="12"/>
      <c r="H28" s="12"/>
      <c r="I28" s="12"/>
      <c r="J28" s="12"/>
      <c r="K28" s="12"/>
    </row>
    <row r="29" customFormat="false" ht="15.75" hidden="false" customHeight="true" outlineLevel="0" collapsed="false">
      <c r="B29" s="22" t="s">
        <v>274</v>
      </c>
      <c r="C29" s="50" t="n">
        <f aca="false">1</f>
        <v>1</v>
      </c>
      <c r="D29" s="50" t="n">
        <f aca="false">E28</f>
        <v>8</v>
      </c>
      <c r="E29" s="47" t="n">
        <f aca="false">C29*D29</f>
        <v>8</v>
      </c>
      <c r="F29" s="12" t="s">
        <v>275</v>
      </c>
      <c r="G29" s="12"/>
      <c r="H29" s="12"/>
      <c r="I29" s="12"/>
      <c r="J29" s="12"/>
      <c r="K29" s="12"/>
    </row>
    <row r="30" customFormat="false" ht="15.75" hidden="false" customHeight="true" outlineLevel="0" collapsed="false">
      <c r="B30" s="22" t="s">
        <v>276</v>
      </c>
      <c r="C30" s="50" t="n">
        <f aca="false">1</f>
        <v>1</v>
      </c>
      <c r="D30" s="50" t="n">
        <f aca="false">E28</f>
        <v>8</v>
      </c>
      <c r="E30" s="47" t="n">
        <f aca="false">C30*D30</f>
        <v>8</v>
      </c>
      <c r="F30" s="12" t="s">
        <v>277</v>
      </c>
      <c r="G30" s="12"/>
      <c r="H30" s="12"/>
      <c r="I30" s="12"/>
      <c r="J30" s="12"/>
      <c r="K30" s="12"/>
    </row>
    <row r="31" customFormat="false" ht="15.75" hidden="false" customHeight="true" outlineLevel="0" collapsed="false">
      <c r="B31" s="22" t="s">
        <v>278</v>
      </c>
      <c r="C31" s="50" t="n">
        <f aca="false">C20</f>
        <v>-3</v>
      </c>
      <c r="D31" s="50" t="n">
        <f aca="false">E29</f>
        <v>8</v>
      </c>
      <c r="E31" s="47" t="n">
        <f aca="false">C31*D31</f>
        <v>-24</v>
      </c>
      <c r="F31" s="12" t="s">
        <v>279</v>
      </c>
      <c r="G31" s="12"/>
      <c r="H31" s="12"/>
      <c r="I31" s="12"/>
      <c r="J31" s="12"/>
      <c r="K31" s="12"/>
    </row>
    <row r="32" customFormat="false" ht="15.75" hidden="false" customHeight="true" outlineLevel="0" collapsed="false">
      <c r="B32" s="22" t="s">
        <v>280</v>
      </c>
      <c r="C32" s="50" t="n">
        <f aca="false">C19</f>
        <v>2</v>
      </c>
      <c r="D32" s="50" t="n">
        <f aca="false">E29</f>
        <v>8</v>
      </c>
      <c r="E32" s="47" t="n">
        <f aca="false">C32*D32</f>
        <v>16</v>
      </c>
      <c r="F32" s="12" t="s">
        <v>281</v>
      </c>
      <c r="G32" s="12"/>
      <c r="H32" s="12"/>
      <c r="I32" s="12"/>
      <c r="J32" s="12"/>
      <c r="K32" s="12"/>
    </row>
    <row r="34" customFormat="false" ht="15.75" hidden="false" customHeight="true" outlineLevel="0" collapsed="false">
      <c r="B34" s="22" t="s">
        <v>282</v>
      </c>
      <c r="C34" s="51" t="n">
        <f aca="false">(((C19+0.00001)*C20+C21)^2-((C19-0.00001)*C20+C21)^2)/0.00002</f>
        <v>-24.0000000004237</v>
      </c>
    </row>
    <row r="35" customFormat="false" ht="15.75" hidden="false" customHeight="true" outlineLevel="0" collapsed="false">
      <c r="B35" s="22" t="s">
        <v>283</v>
      </c>
      <c r="C35" s="51" t="n">
        <f aca="false">((C19*(C20+0.00001)+C21)^2-(C19*(C20-0.00001)+C21)^2)/0.00002</f>
        <v>16.0000000001048</v>
      </c>
    </row>
    <row r="36" customFormat="false" ht="31.5" hidden="false" customHeight="true" outlineLevel="0" collapsed="false">
      <c r="B36" s="5" t="s">
        <v>284</v>
      </c>
      <c r="C36" s="5"/>
      <c r="D36" s="5"/>
      <c r="E36" s="5"/>
      <c r="F36" s="5"/>
      <c r="G36" s="5"/>
      <c r="H36" s="5"/>
      <c r="I36" s="5"/>
      <c r="J36" s="5"/>
      <c r="K36" s="5"/>
      <c r="L36" s="5"/>
      <c r="M36" s="5"/>
      <c r="N36" s="5"/>
    </row>
    <row r="37" customFormat="false" ht="18.75" hidden="false" customHeight="true" outlineLevel="0" collapsed="false">
      <c r="B37" s="33" t="s">
        <v>98</v>
      </c>
      <c r="C37" s="33"/>
      <c r="D37" s="33"/>
      <c r="E37" s="33"/>
      <c r="F37" s="33"/>
      <c r="G37" s="33"/>
      <c r="H37" s="33"/>
      <c r="I37" s="33"/>
      <c r="J37" s="33"/>
      <c r="K37" s="33"/>
      <c r="L37" s="33"/>
      <c r="M37" s="33"/>
      <c r="N37" s="33"/>
    </row>
    <row r="38" customFormat="false" ht="17.25" hidden="false" customHeight="true" outlineLevel="0" collapsed="false">
      <c r="B38" s="34" t="s">
        <v>285</v>
      </c>
      <c r="C38" s="34"/>
      <c r="D38" s="34"/>
      <c r="E38" s="34"/>
      <c r="F38" s="34"/>
      <c r="G38" s="34"/>
      <c r="H38" s="34"/>
      <c r="I38" s="34"/>
      <c r="J38" s="34"/>
      <c r="K38" s="34"/>
      <c r="L38" s="34"/>
      <c r="M38" s="34"/>
      <c r="N38" s="34"/>
    </row>
    <row r="39" customFormat="false" ht="17.25" hidden="false" customHeight="true" outlineLevel="0" collapsed="false">
      <c r="B39" s="35" t="s">
        <v>286</v>
      </c>
      <c r="C39" s="35"/>
      <c r="D39" s="35"/>
      <c r="E39" s="35"/>
      <c r="F39" s="35"/>
      <c r="G39" s="35"/>
      <c r="H39" s="35"/>
      <c r="I39" s="35"/>
      <c r="J39" s="35"/>
      <c r="K39" s="35"/>
      <c r="L39" s="35"/>
      <c r="M39" s="35"/>
      <c r="N39" s="35"/>
    </row>
    <row r="40" customFormat="false" ht="17.25" hidden="false" customHeight="true" outlineLevel="0" collapsed="false">
      <c r="B40" s="34" t="s">
        <v>287</v>
      </c>
      <c r="C40" s="34"/>
      <c r="D40" s="34"/>
      <c r="E40" s="34"/>
      <c r="F40" s="34"/>
      <c r="G40" s="34"/>
      <c r="H40" s="34"/>
      <c r="I40" s="34"/>
      <c r="J40" s="34"/>
      <c r="K40" s="34"/>
      <c r="L40" s="34"/>
      <c r="M40" s="34"/>
      <c r="N40" s="34"/>
    </row>
    <row r="41" customFormat="false" ht="17.25" hidden="false" customHeight="true" outlineLevel="0" collapsed="false">
      <c r="B41" s="35" t="s">
        <v>288</v>
      </c>
      <c r="C41" s="35"/>
      <c r="D41" s="35"/>
      <c r="E41" s="35"/>
      <c r="F41" s="35"/>
      <c r="G41" s="35"/>
      <c r="H41" s="35"/>
      <c r="I41" s="35"/>
      <c r="J41" s="35"/>
      <c r="K41" s="35"/>
      <c r="L41" s="35"/>
      <c r="M41" s="35"/>
      <c r="N41" s="35"/>
    </row>
  </sheetData>
  <mergeCells count="28">
    <mergeCell ref="B1:N1"/>
    <mergeCell ref="B2:N2"/>
    <mergeCell ref="B4:N4"/>
    <mergeCell ref="B5:N5"/>
    <mergeCell ref="B6:N6"/>
    <mergeCell ref="B7:N7"/>
    <mergeCell ref="D9:N9"/>
    <mergeCell ref="D10:N10"/>
    <mergeCell ref="D14:N14"/>
    <mergeCell ref="C15:N15"/>
    <mergeCell ref="B17:N17"/>
    <mergeCell ref="B18:N18"/>
    <mergeCell ref="D22:H22"/>
    <mergeCell ref="D23:H23"/>
    <mergeCell ref="D24:H24"/>
    <mergeCell ref="D25:H25"/>
    <mergeCell ref="F27:K27"/>
    <mergeCell ref="F28:K28"/>
    <mergeCell ref="F29:K29"/>
    <mergeCell ref="F30:K30"/>
    <mergeCell ref="F31:K31"/>
    <mergeCell ref="F32:K32"/>
    <mergeCell ref="B36:N36"/>
    <mergeCell ref="B37:N37"/>
    <mergeCell ref="B38:N38"/>
    <mergeCell ref="B39:N39"/>
    <mergeCell ref="B40:N40"/>
    <mergeCell ref="B41:N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C2E6"/>
    <pageSetUpPr fitToPage="true"/>
  </sheetPr>
  <dimension ref="B1:N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289</v>
      </c>
      <c r="C1" s="1"/>
      <c r="D1" s="1"/>
      <c r="E1" s="1"/>
      <c r="F1" s="1"/>
      <c r="G1" s="1"/>
      <c r="H1" s="1"/>
      <c r="I1" s="1"/>
      <c r="J1" s="1"/>
      <c r="K1" s="1"/>
      <c r="L1" s="1"/>
      <c r="M1" s="1"/>
      <c r="N1" s="1"/>
    </row>
    <row r="2" customFormat="false" ht="17.25" hidden="false" customHeight="true" outlineLevel="0" collapsed="false">
      <c r="B2" s="2" t="s">
        <v>290</v>
      </c>
      <c r="C2" s="2"/>
      <c r="D2" s="2"/>
      <c r="E2" s="2"/>
      <c r="F2" s="2"/>
      <c r="G2" s="2"/>
      <c r="H2" s="2"/>
      <c r="I2" s="2"/>
      <c r="J2" s="2"/>
      <c r="K2" s="2"/>
      <c r="L2" s="2"/>
      <c r="M2" s="2"/>
      <c r="N2" s="2"/>
    </row>
    <row r="4" customFormat="false" ht="20.25" hidden="false" customHeight="true" outlineLevel="0" collapsed="false">
      <c r="B4" s="42" t="s">
        <v>291</v>
      </c>
      <c r="C4" s="42"/>
      <c r="D4" s="42"/>
      <c r="E4" s="42"/>
      <c r="F4" s="42"/>
      <c r="G4" s="42"/>
      <c r="H4" s="42"/>
      <c r="I4" s="42"/>
      <c r="J4" s="42"/>
      <c r="K4" s="42"/>
      <c r="L4" s="42"/>
      <c r="M4" s="42"/>
      <c r="N4" s="42"/>
    </row>
    <row r="5" customFormat="false" ht="34.5" hidden="false" customHeight="true" outlineLevel="0" collapsed="false">
      <c r="B5" s="3" t="s">
        <v>292</v>
      </c>
      <c r="C5" s="3"/>
      <c r="D5" s="3"/>
      <c r="E5" s="3"/>
      <c r="F5" s="3"/>
      <c r="G5" s="3"/>
      <c r="H5" s="3"/>
      <c r="I5" s="3"/>
      <c r="J5" s="3"/>
      <c r="K5" s="3"/>
      <c r="L5" s="3"/>
      <c r="M5" s="3"/>
      <c r="N5" s="3"/>
    </row>
    <row r="6" customFormat="false" ht="21.75" hidden="false" customHeight="true" outlineLevel="0" collapsed="false">
      <c r="B6" s="4" t="s">
        <v>293</v>
      </c>
      <c r="C6" s="4"/>
      <c r="D6" s="4"/>
      <c r="E6" s="4"/>
      <c r="F6" s="4"/>
      <c r="G6" s="4"/>
      <c r="H6" s="4"/>
      <c r="I6" s="4"/>
      <c r="J6" s="4"/>
      <c r="K6" s="4"/>
      <c r="L6" s="4"/>
      <c r="M6" s="4"/>
      <c r="N6" s="4"/>
    </row>
    <row r="7" customFormat="false" ht="15.75" hidden="false" customHeight="true" outlineLevel="0" collapsed="false">
      <c r="B7" s="22" t="s">
        <v>294</v>
      </c>
      <c r="C7" s="23" t="n">
        <v>1.5</v>
      </c>
    </row>
    <row r="8" customFormat="false" ht="15.75" hidden="false" customHeight="true" outlineLevel="0" collapsed="false">
      <c r="B8" s="22" t="s">
        <v>295</v>
      </c>
      <c r="C8" s="23" t="n">
        <v>1</v>
      </c>
    </row>
    <row r="9" customFormat="false" ht="15.75" hidden="false" customHeight="true" outlineLevel="0" collapsed="false">
      <c r="B9" s="22" t="s">
        <v>296</v>
      </c>
      <c r="C9" s="48" t="n">
        <v>0.8</v>
      </c>
    </row>
    <row r="10" customFormat="false" ht="15.75" hidden="false" customHeight="true" outlineLevel="0" collapsed="false">
      <c r="B10" s="22" t="s">
        <v>297</v>
      </c>
      <c r="C10" s="48" t="n">
        <v>-0.5</v>
      </c>
    </row>
    <row r="11" customFormat="false" ht="15.75" hidden="false" customHeight="true" outlineLevel="0" collapsed="false">
      <c r="B11" s="22" t="s">
        <v>85</v>
      </c>
      <c r="C11" s="23" t="n">
        <v>1</v>
      </c>
    </row>
    <row r="12" customFormat="false" ht="18.75" hidden="false" customHeight="true" outlineLevel="0" collapsed="false">
      <c r="B12" s="33" t="s">
        <v>55</v>
      </c>
      <c r="C12" s="33"/>
      <c r="D12" s="33"/>
      <c r="E12" s="33"/>
      <c r="F12" s="33"/>
      <c r="G12" s="33"/>
      <c r="H12" s="33"/>
      <c r="I12" s="33"/>
      <c r="J12" s="33"/>
      <c r="K12" s="33"/>
      <c r="L12" s="33"/>
      <c r="M12" s="33"/>
      <c r="N12" s="33"/>
    </row>
    <row r="13" customFormat="false" ht="15.75" hidden="false" customHeight="true" outlineLevel="0" collapsed="false">
      <c r="B13" s="22" t="s">
        <v>298</v>
      </c>
      <c r="C13" s="25" t="n">
        <f aca="false">C9*C7+C10</f>
        <v>0.7</v>
      </c>
    </row>
    <row r="14" customFormat="false" ht="15.75" hidden="false" customHeight="true" outlineLevel="0" collapsed="false">
      <c r="B14" s="22" t="s">
        <v>299</v>
      </c>
      <c r="C14" s="25" t="n">
        <f aca="false">1/(1+EXP(-C13))</f>
        <v>0.668187772168166</v>
      </c>
    </row>
    <row r="15" customFormat="false" ht="15.75" hidden="false" customHeight="true" outlineLevel="0" collapsed="false">
      <c r="B15" s="22" t="s">
        <v>300</v>
      </c>
      <c r="C15" s="55" t="n">
        <f aca="false">(C14-C8)^2</f>
        <v>0.110099354538725</v>
      </c>
    </row>
    <row r="16" customFormat="false" ht="15.75" hidden="false" customHeight="true" outlineLevel="0" collapsed="false">
      <c r="B16" s="9" t="s">
        <v>301</v>
      </c>
      <c r="C16" s="26" t="str">
        <f aca="false">"z = "&amp;IF(ROUND(C9,3)&lt;0,"("&amp;ROUND(C9,3)&amp;")",ROUND(C9,3)&amp;"")&amp;"×"&amp;IF(ROUND(C7,3)&lt;0,"("&amp;ROUND(C7,3)&amp;")",ROUND(C7,3)&amp;"")&amp;" + ("&amp;IF(ROUND(C10,3)&lt;0,"("&amp;ROUND(C10,3)&amp;")",ROUND(C10,3)&amp;"")&amp;") = "&amp;IF(ROUND(C13,3)&lt;0,"("&amp;ROUND(C13,3)&amp;")",ROUND(C13,3)&amp;"")&amp;";  p = σ("&amp;IF(ROUND(C13,3)&lt;0,"("&amp;ROUND(C13,3)&amp;")",ROUND(C13,3)&amp;"")&amp;") = "&amp;IF(ROUND(C14,3)&lt;0,"("&amp;ROUND(C14,3)&amp;")",ROUND(C14,3)&amp;"")&amp;";  L = ("&amp;IF(ROUND(C14,3)&lt;0,"("&amp;ROUND(C14,3)&amp;")",ROUND(C14,3)&amp;"")&amp;" − "&amp;IF(ROUND(C8,3)&lt;0,"("&amp;ROUND(C8,3)&amp;")",ROUND(C8,3)&amp;"")&amp;")² = "&amp;IF(ROUND(C15,3)&lt;0,"("&amp;ROUND(C15,3)&amp;")",ROUND(C15,3)&amp;"")</f>
        <v>z = 0.8×1.5 + ((-0.5)) = 0.7;  p = σ(0.7) = 0.668;  L = (0.668 − 1)² = 0.11</v>
      </c>
      <c r="D16" s="26"/>
      <c r="E16" s="26"/>
      <c r="F16" s="26"/>
      <c r="G16" s="26"/>
      <c r="H16" s="26"/>
      <c r="I16" s="26"/>
      <c r="J16" s="26"/>
      <c r="K16" s="26"/>
      <c r="L16" s="26"/>
      <c r="M16" s="26"/>
      <c r="N16" s="26"/>
    </row>
    <row r="17" customFormat="false" ht="18.75" hidden="false" customHeight="true" outlineLevel="0" collapsed="false">
      <c r="B17" s="33" t="s">
        <v>302</v>
      </c>
      <c r="C17" s="33"/>
      <c r="D17" s="33"/>
      <c r="E17" s="33"/>
      <c r="F17" s="33"/>
      <c r="G17" s="33"/>
      <c r="H17" s="33"/>
      <c r="I17" s="33"/>
      <c r="J17" s="33"/>
      <c r="K17" s="33"/>
      <c r="L17" s="33"/>
      <c r="M17" s="33"/>
      <c r="N17" s="33"/>
    </row>
    <row r="18" customFormat="false" ht="17.25" hidden="false" customHeight="true" outlineLevel="0" collapsed="false">
      <c r="B18" s="22" t="s">
        <v>303</v>
      </c>
      <c r="C18" s="25" t="n">
        <f aca="false">2*(C14-C8)</f>
        <v>-0.663624455663668</v>
      </c>
      <c r="D18" s="38" t="s">
        <v>304</v>
      </c>
      <c r="E18" s="38"/>
      <c r="F18" s="38"/>
      <c r="G18" s="38"/>
      <c r="H18" s="38"/>
      <c r="I18" s="38"/>
      <c r="J18" s="38"/>
      <c r="K18" s="38"/>
      <c r="L18" s="38"/>
      <c r="M18" s="38"/>
      <c r="N18" s="38"/>
    </row>
    <row r="19" customFormat="false" ht="17.25" hidden="false" customHeight="true" outlineLevel="0" collapsed="false">
      <c r="B19" s="22" t="s">
        <v>305</v>
      </c>
      <c r="C19" s="25" t="n">
        <f aca="false">C14*(1-C14)</f>
        <v>0.221712873293109</v>
      </c>
      <c r="D19" s="38" t="s">
        <v>306</v>
      </c>
      <c r="E19" s="38"/>
      <c r="F19" s="38"/>
      <c r="G19" s="38"/>
      <c r="H19" s="38"/>
      <c r="I19" s="38"/>
      <c r="J19" s="38"/>
      <c r="K19" s="38"/>
      <c r="L19" s="38"/>
      <c r="M19" s="38"/>
      <c r="N19" s="38"/>
    </row>
    <row r="20" customFormat="false" ht="17.25" hidden="false" customHeight="true" outlineLevel="0" collapsed="false">
      <c r="B20" s="22" t="s">
        <v>307</v>
      </c>
      <c r="C20" s="25" t="n">
        <f aca="false">C18*C19</f>
        <v>-0.147134084852767</v>
      </c>
      <c r="D20" s="38" t="s">
        <v>308</v>
      </c>
      <c r="E20" s="38"/>
      <c r="F20" s="38"/>
      <c r="G20" s="38"/>
      <c r="H20" s="38"/>
      <c r="I20" s="38"/>
      <c r="J20" s="38"/>
      <c r="K20" s="38"/>
      <c r="L20" s="38"/>
      <c r="M20" s="38"/>
      <c r="N20" s="38"/>
    </row>
    <row r="21" customFormat="false" ht="17.25" hidden="false" customHeight="true" outlineLevel="0" collapsed="false">
      <c r="B21" s="22" t="s">
        <v>309</v>
      </c>
      <c r="C21" s="55" t="n">
        <f aca="false">C20*C7</f>
        <v>-0.220701127279151</v>
      </c>
      <c r="D21" s="38" t="s">
        <v>310</v>
      </c>
      <c r="E21" s="38"/>
      <c r="F21" s="38"/>
      <c r="G21" s="38"/>
      <c r="H21" s="38"/>
      <c r="I21" s="38"/>
      <c r="J21" s="38"/>
      <c r="K21" s="38"/>
      <c r="L21" s="38"/>
      <c r="M21" s="38"/>
      <c r="N21" s="38"/>
    </row>
    <row r="22" customFormat="false" ht="15.75" hidden="false" customHeight="true" outlineLevel="0" collapsed="false">
      <c r="B22" s="22" t="s">
        <v>311</v>
      </c>
      <c r="C22" s="55" t="n">
        <f aca="false">C20</f>
        <v>-0.147134084852767</v>
      </c>
    </row>
    <row r="23" customFormat="false" ht="15.75" hidden="false" customHeight="true" outlineLevel="0" collapsed="false">
      <c r="B23" s="9" t="s">
        <v>312</v>
      </c>
      <c r="C23" s="26" t="str">
        <f aca="false">"dL/dw = "&amp;IF(ROUND(C18,3)&lt;0,"("&amp;ROUND(C18,3)&amp;")",ROUND(C18,3)&amp;"")&amp;" × "&amp;IF(ROUND(C19,3)&lt;0,"("&amp;ROUND(C19,3)&amp;")",ROUND(C19,3)&amp;"")&amp;" × "&amp;IF(ROUND(C7,3)&lt;0,"("&amp;ROUND(C7,3)&amp;")",ROUND(C7,3)&amp;"")&amp;" = "&amp;IF(ROUND(C21,3)&lt;0,"("&amp;ROUND(C21,3)&amp;")",ROUND(C21,3)&amp;"")</f>
        <v>dL/dw = (-0.664) × 0.222 × 1.5 = (-0.221)</v>
      </c>
      <c r="D23" s="26"/>
      <c r="E23" s="26"/>
      <c r="F23" s="26"/>
      <c r="G23" s="26"/>
      <c r="H23" s="26"/>
      <c r="I23" s="26"/>
      <c r="J23" s="26"/>
      <c r="K23" s="26"/>
      <c r="L23" s="26"/>
      <c r="M23" s="26"/>
      <c r="N23" s="26"/>
    </row>
    <row r="24" customFormat="false" ht="18.75" hidden="false" customHeight="true" outlineLevel="0" collapsed="false">
      <c r="B24" s="33" t="s">
        <v>313</v>
      </c>
      <c r="C24" s="33"/>
      <c r="D24" s="33"/>
      <c r="E24" s="33"/>
      <c r="F24" s="33"/>
      <c r="G24" s="33"/>
      <c r="H24" s="33"/>
      <c r="I24" s="33"/>
      <c r="J24" s="33"/>
      <c r="K24" s="33"/>
      <c r="L24" s="33"/>
      <c r="M24" s="33"/>
      <c r="N24" s="33"/>
    </row>
    <row r="25" customFormat="false" ht="15.75" hidden="false" customHeight="true" outlineLevel="0" collapsed="false">
      <c r="B25" s="22" t="s">
        <v>314</v>
      </c>
      <c r="C25" s="49" t="n">
        <v>0.0001</v>
      </c>
    </row>
    <row r="26" customFormat="false" ht="15.75" hidden="false" customHeight="true" outlineLevel="0" collapsed="false">
      <c r="B26" s="22" t="s">
        <v>315</v>
      </c>
      <c r="C26" s="56" t="n">
        <f aca="false">(((1/(1+EXP(-((C9+C25)*C7+C10))))-C8)^2-((1/(1+EXP(-((C9-C25)*C7+C10))))-C8)^2)/(2*C25)</f>
        <v>-0.220701127564005</v>
      </c>
    </row>
    <row r="27" customFormat="false" ht="15.75" hidden="false" customHeight="true" outlineLevel="0" collapsed="false">
      <c r="B27" s="22" t="s">
        <v>283</v>
      </c>
      <c r="C27" s="56" t="n">
        <f aca="false">(((1/(1+EXP(-(C9*C7+(C10+C25)))))-C8)^2-((1/(1+EXP(-(C9*C7+(C10-C25)))))-C8)^2)/(2*C25)</f>
        <v>-0.147134084936898</v>
      </c>
    </row>
    <row r="28" customFormat="false" ht="15.75" hidden="false" customHeight="true" outlineLevel="0" collapsed="false">
      <c r="B28" s="22" t="s">
        <v>316</v>
      </c>
      <c r="C28" s="57" t="str">
        <f aca="false">IF(AND(ABS(C26-C21)&lt;0.000001,ABS(C27-C22)&lt;0.000001),"✔ backprop matches the numeric slope","✘")</f>
        <v>✔ backprop matches the numeric slope</v>
      </c>
    </row>
    <row r="29" customFormat="false" ht="18.75" hidden="false" customHeight="true" outlineLevel="0" collapsed="false">
      <c r="B29" s="33" t="s">
        <v>317</v>
      </c>
      <c r="C29" s="33"/>
      <c r="D29" s="33"/>
      <c r="E29" s="33"/>
      <c r="F29" s="33"/>
      <c r="G29" s="33"/>
      <c r="H29" s="33"/>
      <c r="I29" s="33"/>
      <c r="J29" s="33"/>
      <c r="K29" s="33"/>
      <c r="L29" s="33"/>
      <c r="M29" s="33"/>
      <c r="N29" s="33"/>
    </row>
    <row r="30" customFormat="false" ht="15.75" hidden="false" customHeight="true" outlineLevel="0" collapsed="false">
      <c r="B30" s="22" t="s">
        <v>318</v>
      </c>
      <c r="C30" s="25" t="n">
        <f aca="false">C9-C11*C21</f>
        <v>1.02070112727915</v>
      </c>
    </row>
    <row r="31" customFormat="false" ht="15.75" hidden="false" customHeight="true" outlineLevel="0" collapsed="false">
      <c r="B31" s="22" t="s">
        <v>319</v>
      </c>
      <c r="C31" s="25" t="n">
        <f aca="false">C10-C11*C22</f>
        <v>-0.352865915147233</v>
      </c>
    </row>
    <row r="32" customFormat="false" ht="17.25" hidden="false" customHeight="true" outlineLevel="0" collapsed="false">
      <c r="B32" s="22" t="s">
        <v>320</v>
      </c>
      <c r="C32" s="55" t="n">
        <f aca="false">((1/(1+EXP(-(C30*C7+C31))))-C8)^2</f>
        <v>0.0554030643251256</v>
      </c>
      <c r="D32" s="38" t="s">
        <v>321</v>
      </c>
      <c r="E32" s="38"/>
      <c r="F32" s="38"/>
      <c r="G32" s="38"/>
      <c r="H32" s="38"/>
      <c r="I32" s="38"/>
      <c r="J32" s="38"/>
      <c r="K32" s="38"/>
      <c r="L32" s="38"/>
      <c r="M32" s="38"/>
      <c r="N32" s="38"/>
    </row>
    <row r="33" customFormat="false" ht="31.5" hidden="false" customHeight="true" outlineLevel="0" collapsed="false">
      <c r="B33" s="5" t="s">
        <v>322</v>
      </c>
      <c r="C33" s="5"/>
      <c r="D33" s="5"/>
      <c r="E33" s="5"/>
      <c r="F33" s="5"/>
      <c r="G33" s="5"/>
      <c r="H33" s="5"/>
      <c r="I33" s="5"/>
      <c r="J33" s="5"/>
      <c r="K33" s="5"/>
      <c r="L33" s="5"/>
      <c r="M33" s="5"/>
      <c r="N33" s="5"/>
    </row>
    <row r="35" customFormat="false" ht="21.75" hidden="false" customHeight="true" outlineLevel="0" collapsed="false">
      <c r="B35" s="4" t="s">
        <v>323</v>
      </c>
      <c r="C35" s="4"/>
      <c r="D35" s="4"/>
      <c r="E35" s="4"/>
      <c r="F35" s="4"/>
      <c r="G35" s="4"/>
      <c r="H35" s="4"/>
      <c r="I35" s="4"/>
      <c r="J35" s="4"/>
      <c r="K35" s="4"/>
      <c r="L35" s="4"/>
      <c r="M35" s="4"/>
      <c r="N35" s="4"/>
    </row>
    <row r="36" customFormat="false" ht="30" hidden="false" customHeight="true" outlineLevel="0" collapsed="false">
      <c r="B36" s="21" t="s">
        <v>215</v>
      </c>
      <c r="C36" s="21" t="s">
        <v>87</v>
      </c>
      <c r="D36" s="21" t="s">
        <v>189</v>
      </c>
      <c r="E36" s="21" t="s">
        <v>324</v>
      </c>
      <c r="F36" s="21" t="s">
        <v>91</v>
      </c>
      <c r="G36" s="21" t="s">
        <v>325</v>
      </c>
      <c r="H36" s="21" t="s">
        <v>280</v>
      </c>
    </row>
    <row r="37" customFormat="false" ht="15" hidden="false" customHeight="false" outlineLevel="0" collapsed="false">
      <c r="B37" s="29" t="n">
        <v>0</v>
      </c>
      <c r="C37" s="30" t="n">
        <f aca="false">C9</f>
        <v>0.8</v>
      </c>
      <c r="D37" s="30" t="n">
        <f aca="false">C10</f>
        <v>-0.5</v>
      </c>
      <c r="E37" s="30" t="n">
        <f aca="false">1/(1+EXP(-(C37*C7+D37)))</f>
        <v>0.668187772168166</v>
      </c>
      <c r="F37" s="53" t="n">
        <f aca="false">(E37-C8)^2</f>
        <v>0.110099354538725</v>
      </c>
      <c r="G37" s="30" t="n">
        <f aca="false">2*(E37-C8)*E37*(1-E37)*C7</f>
        <v>-0.220701127279151</v>
      </c>
      <c r="H37" s="30" t="n">
        <f aca="false">2*(E37-C8)*E37*(1-E37)</f>
        <v>-0.147134084852767</v>
      </c>
    </row>
    <row r="38" customFormat="false" ht="15" hidden="false" customHeight="false" outlineLevel="0" collapsed="false">
      <c r="B38" s="29" t="n">
        <v>1</v>
      </c>
      <c r="C38" s="30" t="n">
        <f aca="false">C37-C11*G37</f>
        <v>1.02070112727915</v>
      </c>
      <c r="D38" s="30" t="n">
        <f aca="false">D37-C11*H37</f>
        <v>-0.352865915147233</v>
      </c>
      <c r="E38" s="30" t="n">
        <f aca="false">1/(1+EXP(-(C38*C7+D38)))</f>
        <v>0.764621444636251</v>
      </c>
      <c r="F38" s="53" t="n">
        <f aca="false">(E38-C8)^2</f>
        <v>0.0554030643251256</v>
      </c>
      <c r="G38" s="30" t="n">
        <f aca="false">2*(E38-C8)*E38*(1-E38)*C7</f>
        <v>-0.127087113244658</v>
      </c>
      <c r="H38" s="30" t="n">
        <f aca="false">2*(E38-C8)*E38*(1-E38)</f>
        <v>-0.0847247421631054</v>
      </c>
    </row>
    <row r="39" customFormat="false" ht="15" hidden="false" customHeight="false" outlineLevel="0" collapsed="false">
      <c r="B39" s="29" t="n">
        <v>2</v>
      </c>
      <c r="C39" s="30" t="n">
        <f aca="false">C38-C11*G38</f>
        <v>1.14778824052381</v>
      </c>
      <c r="D39" s="30" t="n">
        <f aca="false">D38-C11*H38</f>
        <v>-0.268141172984127</v>
      </c>
      <c r="E39" s="30" t="n">
        <f aca="false">1/(1+EXP(-(C39*C7+D39)))</f>
        <v>0.810542828041219</v>
      </c>
      <c r="F39" s="53" t="n">
        <f aca="false">(E39-C8)^2</f>
        <v>0.035894020006619</v>
      </c>
      <c r="G39" s="30" t="n">
        <f aca="false">2*(E39-C8)*E39*(1-E39)*C7</f>
        <v>-0.0872809214577992</v>
      </c>
      <c r="H39" s="30" t="n">
        <f aca="false">2*(E39-C8)*E39*(1-E39)</f>
        <v>-0.0581872809718661</v>
      </c>
    </row>
    <row r="40" customFormat="false" ht="15" hidden="false" customHeight="false" outlineLevel="0" collapsed="false">
      <c r="B40" s="29" t="n">
        <v>3</v>
      </c>
      <c r="C40" s="30" t="n">
        <f aca="false">C39-C11*G39</f>
        <v>1.23506916198161</v>
      </c>
      <c r="D40" s="30" t="n">
        <f aca="false">D39-C11*H39</f>
        <v>-0.209953892012261</v>
      </c>
      <c r="E40" s="30" t="n">
        <f aca="false">1/(1+EXP(-(C40*C7+D40)))</f>
        <v>0.83789518066081</v>
      </c>
      <c r="F40" s="53" t="n">
        <f aca="false">(E40-C8)^2</f>
        <v>0.0262779724529913</v>
      </c>
      <c r="G40" s="30" t="n">
        <f aca="false">2*(E40-C8)*E40*(1-E40)*C7</f>
        <v>-0.0660545594276968</v>
      </c>
      <c r="H40" s="30" t="n">
        <f aca="false">2*(E40-C8)*E40*(1-E40)</f>
        <v>-0.0440363729517979</v>
      </c>
    </row>
    <row r="41" customFormat="false" ht="15" hidden="false" customHeight="false" outlineLevel="0" collapsed="false">
      <c r="B41" s="29" t="n">
        <v>4</v>
      </c>
      <c r="C41" s="30" t="n">
        <f aca="false">C40-C11*G40</f>
        <v>1.30112372140931</v>
      </c>
      <c r="D41" s="30" t="n">
        <f aca="false">D40-C11*H40</f>
        <v>-0.165917519060463</v>
      </c>
      <c r="E41" s="30" t="n">
        <f aca="false">1/(1+EXP(-(C41*C7+D41)))</f>
        <v>0.856407644570805</v>
      </c>
      <c r="F41" s="53" t="n">
        <f aca="false">(E41-C8)^2</f>
        <v>0.0206187645377044</v>
      </c>
      <c r="G41" s="30" t="n">
        <f aca="false">2*(E41-C8)*E41*(1-E41)*C7</f>
        <v>-0.0529742027150863</v>
      </c>
      <c r="H41" s="30" t="n">
        <f aca="false">2*(E41-C8)*E41*(1-E41)</f>
        <v>-0.0353161351433909</v>
      </c>
    </row>
    <row r="42" customFormat="false" ht="15" hidden="false" customHeight="false" outlineLevel="0" collapsed="false">
      <c r="B42" s="29" t="n">
        <v>5</v>
      </c>
      <c r="C42" s="30" t="n">
        <f aca="false">C41-C11*G41</f>
        <v>1.35409792412439</v>
      </c>
      <c r="D42" s="30" t="n">
        <f aca="false">D41-C11*H41</f>
        <v>-0.130601383917073</v>
      </c>
      <c r="E42" s="30" t="n">
        <f aca="false">1/(1+EXP(-(C42*C7+D42)))</f>
        <v>0.869953253268567</v>
      </c>
      <c r="F42" s="53" t="n">
        <f aca="false">(E42-C8)^2</f>
        <v>0.0169121563354294</v>
      </c>
      <c r="G42" s="30" t="n">
        <f aca="false">2*(E42-C8)*E42*(1-E42)*C7</f>
        <v>-0.0441383562713802</v>
      </c>
      <c r="H42" s="30" t="n">
        <f aca="false">2*(E42-C8)*E42*(1-E42)</f>
        <v>-0.0294255708475868</v>
      </c>
    </row>
    <row r="43" customFormat="false" ht="15" hidden="false" customHeight="false" outlineLevel="0" collapsed="false">
      <c r="B43" s="29" t="n">
        <v>6</v>
      </c>
      <c r="C43" s="30" t="n">
        <f aca="false">C42-C11*G42</f>
        <v>1.39823628039577</v>
      </c>
      <c r="D43" s="30" t="n">
        <f aca="false">D42-C11*H42</f>
        <v>-0.101175813069486</v>
      </c>
      <c r="E43" s="30" t="n">
        <f aca="false">1/(1+EXP(-(C43*C7+D43)))</f>
        <v>0.880395272071632</v>
      </c>
      <c r="F43" s="53" t="n">
        <f aca="false">(E43-C8)^2</f>
        <v>0.014305290942819</v>
      </c>
      <c r="G43" s="30" t="n">
        <f aca="false">2*(E43-C8)*E43*(1-E43)*C7</f>
        <v>-0.037782931535001</v>
      </c>
      <c r="H43" s="30" t="n">
        <f aca="false">2*(E43-C8)*E43*(1-E43)</f>
        <v>-0.025188621023334</v>
      </c>
    </row>
    <row r="44" customFormat="false" ht="15" hidden="false" customHeight="false" outlineLevel="0" collapsed="false">
      <c r="B44" s="29" t="n">
        <v>7</v>
      </c>
      <c r="C44" s="30" t="n">
        <f aca="false">C43-C11*G43</f>
        <v>1.43601921193077</v>
      </c>
      <c r="D44" s="30" t="n">
        <f aca="false">D43-C11*H43</f>
        <v>-0.0759871920461517</v>
      </c>
      <c r="E44" s="30" t="n">
        <f aca="false">1/(1+EXP(-(C44*C7+D44)))</f>
        <v>0.888750550306502</v>
      </c>
      <c r="F44" s="53" t="n">
        <f aca="false">(E44-C8)^2</f>
        <v>0.0123764400571061</v>
      </c>
      <c r="G44" s="30" t="n">
        <f aca="false">2*(E44-C8)*E44*(1-E44)*C7</f>
        <v>-0.0329987037347655</v>
      </c>
      <c r="H44" s="30" t="n">
        <f aca="false">2*(E44-C8)*E44*(1-E44)</f>
        <v>-0.021999135823177</v>
      </c>
    </row>
    <row r="45" customFormat="false" ht="15" hidden="false" customHeight="false" outlineLevel="0" collapsed="false">
      <c r="B45" s="29" t="n">
        <v>8</v>
      </c>
      <c r="C45" s="30" t="n">
        <f aca="false">C44-C11*G44</f>
        <v>1.46901791566554</v>
      </c>
      <c r="D45" s="30" t="n">
        <f aca="false">D44-C11*H44</f>
        <v>-0.0539880562229747</v>
      </c>
      <c r="E45" s="30" t="n">
        <f aca="false">1/(1+EXP(-(C45*C7+D45)))</f>
        <v>0.89562567323451</v>
      </c>
      <c r="F45" s="53" t="n">
        <f aca="false">(E45-C8)^2</f>
        <v>0.0108940000877493</v>
      </c>
      <c r="G45" s="30" t="n">
        <f aca="false">2*(E45-C8)*E45*(1-E45)*C7</f>
        <v>-0.0292708384884219</v>
      </c>
      <c r="H45" s="30" t="n">
        <f aca="false">2*(E45-C8)*E45*(1-E45)</f>
        <v>-0.0195138923256146</v>
      </c>
    </row>
    <row r="46" customFormat="false" ht="15" hidden="false" customHeight="false" outlineLevel="0" collapsed="false">
      <c r="B46" s="29" t="n">
        <v>9</v>
      </c>
      <c r="C46" s="30" t="n">
        <f aca="false">C45-C11*G45</f>
        <v>1.49828875415396</v>
      </c>
      <c r="D46" s="30" t="n">
        <f aca="false">D45-C11*H45</f>
        <v>-0.0344741638973601</v>
      </c>
      <c r="E46" s="30" t="n">
        <f aca="false">1/(1+EXP(-(C46*C7+D46)))</f>
        <v>0.901407209435035</v>
      </c>
      <c r="F46" s="53" t="n">
        <f aca="false">(E46-C8)^2</f>
        <v>0.00972053835138709</v>
      </c>
      <c r="G46" s="30" t="n">
        <f aca="false">2*(E46-C8)*E46*(1-E46)*C7</f>
        <v>-0.0262864900485902</v>
      </c>
      <c r="H46" s="30" t="n">
        <f aca="false">2*(E46-C8)*E46*(1-E46)</f>
        <v>-0.0175243266990601</v>
      </c>
    </row>
    <row r="47" customFormat="false" ht="15" hidden="false" customHeight="false" outlineLevel="0" collapsed="false">
      <c r="B47" s="29" t="n">
        <v>10</v>
      </c>
      <c r="C47" s="30" t="n">
        <f aca="false">C46-C11*G46</f>
        <v>1.52457524420255</v>
      </c>
      <c r="D47" s="30" t="n">
        <f aca="false">D46-C11*H46</f>
        <v>-0.0169498371982999</v>
      </c>
      <c r="E47" s="30" t="n">
        <f aca="false">1/(1+EXP(-(C47*C7+D47)))</f>
        <v>0.906354406273106</v>
      </c>
      <c r="F47" s="53" t="n">
        <f aca="false">(E47-C8)^2</f>
        <v>0.00876949722446252</v>
      </c>
      <c r="G47" s="30" t="n">
        <f aca="false">2*(E47-C8)*E47*(1-E47)*C7</f>
        <v>-0.0238448173505741</v>
      </c>
      <c r="H47" s="30" t="n">
        <f aca="false">2*(E47-C8)*E47*(1-E47)</f>
        <v>-0.0158965449003828</v>
      </c>
    </row>
    <row r="48" customFormat="false" ht="15" hidden="false" customHeight="false" outlineLevel="0" collapsed="false">
      <c r="B48" s="29" t="n">
        <v>11</v>
      </c>
      <c r="C48" s="30" t="n">
        <f aca="false">C47-C11*G47</f>
        <v>1.54842006155312</v>
      </c>
      <c r="D48" s="30" t="n">
        <f aca="false">D47-C11*H47</f>
        <v>-0.00105329229791716</v>
      </c>
      <c r="E48" s="30" t="n">
        <f aca="false">1/(1+EXP(-(C48*C7+D48)))</f>
        <v>0.910648324761321</v>
      </c>
      <c r="F48" s="53" t="n">
        <f aca="false">(E48-C8)^2</f>
        <v>0.00798372186795835</v>
      </c>
      <c r="G48" s="30" t="n">
        <f aca="false">2*(E48-C8)*E48*(1-E48)*C7</f>
        <v>-0.0218110888332498</v>
      </c>
      <c r="H48" s="30" t="n">
        <f aca="false">2*(E48-C8)*E48*(1-E48)</f>
        <v>-0.0145407258888332</v>
      </c>
    </row>
    <row r="49" customFormat="false" ht="15" hidden="false" customHeight="false" outlineLevel="0" collapsed="false">
      <c r="B49" s="29" t="n">
        <v>12</v>
      </c>
      <c r="C49" s="30" t="n">
        <f aca="false">C48-C11*G48</f>
        <v>1.57023115038637</v>
      </c>
      <c r="D49" s="30" t="n">
        <f aca="false">D48-C11*H48</f>
        <v>0.013487433590916</v>
      </c>
      <c r="E49" s="30" t="n">
        <f aca="false">1/(1+EXP(-(C49*C7+D49)))</f>
        <v>0.914419670201121</v>
      </c>
      <c r="F49" s="53" t="n">
        <f aca="false">(E49-C8)^2</f>
        <v>0.00732399284848485</v>
      </c>
      <c r="G49" s="30" t="n">
        <f aca="false">2*(E49-C8)*E49*(1-E49)*C7</f>
        <v>-0.0200916093752007</v>
      </c>
      <c r="H49" s="30" t="n">
        <f aca="false">2*(E49-C8)*E49*(1-E49)</f>
        <v>-0.0133944062501338</v>
      </c>
    </row>
    <row r="50" customFormat="false" ht="15" hidden="false" customHeight="false" outlineLevel="0" collapsed="false">
      <c r="B50" s="29" t="n">
        <v>13</v>
      </c>
      <c r="C50" s="30" t="n">
        <f aca="false">C49-C11*G49</f>
        <v>1.59032275976157</v>
      </c>
      <c r="D50" s="30" t="n">
        <f aca="false">D49-C11*H49</f>
        <v>0.0268818398410498</v>
      </c>
      <c r="E50" s="30" t="n">
        <f aca="false">1/(1+EXP(-(C50*C7+D50)))</f>
        <v>0.917765423785081</v>
      </c>
      <c r="F50" s="53" t="n">
        <f aca="false">(E50-C8)^2</f>
        <v>0.00676252552524733</v>
      </c>
      <c r="G50" s="30" t="n">
        <f aca="false">2*(E50-C8)*E50*(1-E50)*C7</f>
        <v>-0.0186192363136081</v>
      </c>
      <c r="H50" s="30" t="n">
        <f aca="false">2*(E50-C8)*E50*(1-E50)</f>
        <v>-0.0124128242090721</v>
      </c>
    </row>
    <row r="51" customFormat="false" ht="15" hidden="false" customHeight="false" outlineLevel="0" collapsed="false">
      <c r="B51" s="29" t="n">
        <v>14</v>
      </c>
      <c r="C51" s="30" t="n">
        <f aca="false">C50-C11*G50</f>
        <v>1.60894199607518</v>
      </c>
      <c r="D51" s="30" t="n">
        <f aca="false">D50-C11*H50</f>
        <v>0.0392946640501219</v>
      </c>
      <c r="E51" s="30" t="n">
        <f aca="false">1/(1+EXP(-(C51*C7+D51)))</f>
        <v>0.920759231280404</v>
      </c>
      <c r="F51" s="53" t="n">
        <f aca="false">(E51-C8)^2</f>
        <v>0.00627909942727257</v>
      </c>
      <c r="G51" s="30" t="n">
        <f aca="false">2*(E51-C8)*E51*(1-E51)*C7</f>
        <v>-0.0173446162853661</v>
      </c>
      <c r="H51" s="30" t="n">
        <f aca="false">2*(E51-C8)*E51*(1-E51)</f>
        <v>-0.0115630775235774</v>
      </c>
    </row>
    <row r="53" customFormat="false" ht="17.25" hidden="false" customHeight="true" outlineLevel="0" collapsed="false">
      <c r="B53" s="5" t="s">
        <v>326</v>
      </c>
      <c r="C53" s="5"/>
      <c r="D53" s="5"/>
      <c r="E53" s="5"/>
      <c r="F53" s="5"/>
      <c r="G53" s="5"/>
      <c r="H53" s="5"/>
      <c r="I53" s="5"/>
      <c r="J53" s="5"/>
      <c r="K53" s="5"/>
      <c r="L53" s="5"/>
      <c r="M53" s="5"/>
      <c r="N53" s="5"/>
    </row>
    <row r="54" customFormat="false" ht="18.75" hidden="false" customHeight="true" outlineLevel="0" collapsed="false">
      <c r="B54" s="33" t="s">
        <v>98</v>
      </c>
      <c r="C54" s="33"/>
      <c r="D54" s="33"/>
      <c r="E54" s="33"/>
      <c r="F54" s="33"/>
      <c r="G54" s="33"/>
      <c r="H54" s="33"/>
      <c r="I54" s="33"/>
      <c r="J54" s="33"/>
      <c r="K54" s="33"/>
      <c r="L54" s="33"/>
      <c r="M54" s="33"/>
      <c r="N54" s="33"/>
    </row>
    <row r="55" customFormat="false" ht="17.25" hidden="false" customHeight="true" outlineLevel="0" collapsed="false">
      <c r="B55" s="34" t="s">
        <v>327</v>
      </c>
      <c r="C55" s="34"/>
      <c r="D55" s="34"/>
      <c r="E55" s="34"/>
      <c r="F55" s="34"/>
      <c r="G55" s="34"/>
      <c r="H55" s="34"/>
      <c r="I55" s="34"/>
      <c r="J55" s="34"/>
      <c r="K55" s="34"/>
      <c r="L55" s="34"/>
      <c r="M55" s="34"/>
      <c r="N55" s="34"/>
    </row>
    <row r="56" customFormat="false" ht="17.25" hidden="false" customHeight="true" outlineLevel="0" collapsed="false">
      <c r="B56" s="35" t="s">
        <v>328</v>
      </c>
      <c r="C56" s="35"/>
      <c r="D56" s="35"/>
      <c r="E56" s="35"/>
      <c r="F56" s="35"/>
      <c r="G56" s="35"/>
      <c r="H56" s="35"/>
      <c r="I56" s="35"/>
      <c r="J56" s="35"/>
      <c r="K56" s="35"/>
      <c r="L56" s="35"/>
      <c r="M56" s="35"/>
      <c r="N56" s="35"/>
    </row>
    <row r="57" customFormat="false" ht="17.25" hidden="false" customHeight="true" outlineLevel="0" collapsed="false">
      <c r="B57" s="34" t="s">
        <v>329</v>
      </c>
      <c r="C57" s="34"/>
      <c r="D57" s="34"/>
      <c r="E57" s="34"/>
      <c r="F57" s="34"/>
      <c r="G57" s="34"/>
      <c r="H57" s="34"/>
      <c r="I57" s="34"/>
      <c r="J57" s="34"/>
      <c r="K57" s="34"/>
      <c r="L57" s="34"/>
      <c r="M57" s="34"/>
      <c r="N57" s="34"/>
    </row>
    <row r="58" customFormat="false" ht="17.25" hidden="false" customHeight="true" outlineLevel="0" collapsed="false">
      <c r="B58" s="35" t="s">
        <v>330</v>
      </c>
      <c r="C58" s="35"/>
      <c r="D58" s="35"/>
      <c r="E58" s="35"/>
      <c r="F58" s="35"/>
      <c r="G58" s="35"/>
      <c r="H58" s="35"/>
      <c r="I58" s="35"/>
      <c r="J58" s="35"/>
      <c r="K58" s="35"/>
      <c r="L58" s="35"/>
      <c r="M58" s="35"/>
      <c r="N58" s="35"/>
    </row>
  </sheetData>
  <mergeCells count="24">
    <mergeCell ref="B1:N1"/>
    <mergeCell ref="B2:N2"/>
    <mergeCell ref="B4:N4"/>
    <mergeCell ref="B5:N5"/>
    <mergeCell ref="B6:N6"/>
    <mergeCell ref="B12:N12"/>
    <mergeCell ref="C16:N16"/>
    <mergeCell ref="B17:N17"/>
    <mergeCell ref="D18:N18"/>
    <mergeCell ref="D19:N19"/>
    <mergeCell ref="D20:N20"/>
    <mergeCell ref="D21:N21"/>
    <mergeCell ref="C23:N23"/>
    <mergeCell ref="B24:N24"/>
    <mergeCell ref="B29:N29"/>
    <mergeCell ref="D32:N32"/>
    <mergeCell ref="B33:N33"/>
    <mergeCell ref="B35:N35"/>
    <mergeCell ref="B53:N53"/>
    <mergeCell ref="B54:N54"/>
    <mergeCell ref="B55:N55"/>
    <mergeCell ref="B56:N56"/>
    <mergeCell ref="B57:N57"/>
    <mergeCell ref="B58:N5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C2E6"/>
    <pageSetUpPr fitToPage="true"/>
  </sheetPr>
  <dimension ref="B1:N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331</v>
      </c>
      <c r="C1" s="1"/>
      <c r="D1" s="1"/>
      <c r="E1" s="1"/>
      <c r="F1" s="1"/>
      <c r="G1" s="1"/>
      <c r="H1" s="1"/>
      <c r="I1" s="1"/>
      <c r="J1" s="1"/>
      <c r="K1" s="1"/>
      <c r="L1" s="1"/>
      <c r="M1" s="1"/>
      <c r="N1" s="1"/>
    </row>
    <row r="2" customFormat="false" ht="17.25" hidden="false" customHeight="true" outlineLevel="0" collapsed="false">
      <c r="B2" s="2" t="s">
        <v>332</v>
      </c>
      <c r="C2" s="2"/>
      <c r="D2" s="2"/>
      <c r="E2" s="2"/>
      <c r="F2" s="2"/>
      <c r="G2" s="2"/>
      <c r="H2" s="2"/>
      <c r="I2" s="2"/>
      <c r="J2" s="2"/>
      <c r="K2" s="2"/>
      <c r="L2" s="2"/>
      <c r="M2" s="2"/>
      <c r="N2" s="2"/>
    </row>
    <row r="4" customFormat="false" ht="20.25" hidden="false" customHeight="true" outlineLevel="0" collapsed="false">
      <c r="B4" s="42" t="s">
        <v>333</v>
      </c>
      <c r="C4" s="42"/>
      <c r="D4" s="42"/>
      <c r="E4" s="42"/>
      <c r="F4" s="42"/>
      <c r="G4" s="42"/>
      <c r="H4" s="42"/>
      <c r="I4" s="42"/>
      <c r="J4" s="42"/>
      <c r="K4" s="42"/>
      <c r="L4" s="42"/>
      <c r="M4" s="42"/>
      <c r="N4" s="42"/>
    </row>
    <row r="5" customFormat="false" ht="34.5" hidden="false" customHeight="true" outlineLevel="0" collapsed="false">
      <c r="B5" s="3" t="s">
        <v>334</v>
      </c>
      <c r="C5" s="3"/>
      <c r="D5" s="3"/>
      <c r="E5" s="3"/>
      <c r="F5" s="3"/>
      <c r="G5" s="3"/>
      <c r="H5" s="3"/>
      <c r="I5" s="3"/>
      <c r="J5" s="3"/>
      <c r="K5" s="3"/>
      <c r="L5" s="3"/>
      <c r="M5" s="3"/>
      <c r="N5" s="3"/>
    </row>
    <row r="6" customFormat="false" ht="21.75" hidden="false" customHeight="true" outlineLevel="0" collapsed="false">
      <c r="B6" s="4" t="s">
        <v>335</v>
      </c>
      <c r="C6" s="4"/>
      <c r="D6" s="4"/>
      <c r="E6" s="4"/>
      <c r="F6" s="4"/>
      <c r="G6" s="4"/>
      <c r="H6" s="4"/>
      <c r="I6" s="4"/>
      <c r="J6" s="4"/>
      <c r="K6" s="4"/>
      <c r="L6" s="4"/>
      <c r="M6" s="4"/>
      <c r="N6" s="4"/>
    </row>
    <row r="7" customFormat="false" ht="17.25" hidden="false" customHeight="true" outlineLevel="0" collapsed="false">
      <c r="B7" s="20" t="s">
        <v>336</v>
      </c>
      <c r="C7" s="20"/>
      <c r="D7" s="20"/>
      <c r="E7" s="20"/>
      <c r="G7" s="20" t="s">
        <v>337</v>
      </c>
      <c r="H7" s="20"/>
      <c r="I7" s="20"/>
      <c r="J7" s="20"/>
    </row>
    <row r="8" customFormat="false" ht="15" hidden="false" customHeight="false" outlineLevel="0" collapsed="false">
      <c r="B8" s="15"/>
      <c r="C8" s="21" t="s">
        <v>338</v>
      </c>
      <c r="D8" s="21" t="s">
        <v>148</v>
      </c>
      <c r="E8" s="21" t="s">
        <v>149</v>
      </c>
      <c r="G8" s="15"/>
      <c r="H8" s="21" t="s">
        <v>338</v>
      </c>
      <c r="I8" s="21" t="s">
        <v>148</v>
      </c>
      <c r="J8" s="21" t="s">
        <v>149</v>
      </c>
    </row>
    <row r="9" customFormat="false" ht="15" hidden="false" customHeight="false" outlineLevel="0" collapsed="false">
      <c r="B9" s="22"/>
      <c r="C9" s="23" t="n">
        <v>2</v>
      </c>
      <c r="D9" s="23" t="n">
        <v>1</v>
      </c>
      <c r="E9" s="23" t="n">
        <v>0.1</v>
      </c>
      <c r="G9" s="22"/>
      <c r="H9" s="58" t="n">
        <v>1</v>
      </c>
      <c r="I9" s="58" t="n">
        <v>0</v>
      </c>
      <c r="J9" s="58" t="n">
        <v>0</v>
      </c>
    </row>
    <row r="11" customFormat="false" ht="17.25" hidden="false" customHeight="true" outlineLevel="0" collapsed="false">
      <c r="B11" s="20" t="s">
        <v>339</v>
      </c>
      <c r="C11" s="20"/>
      <c r="D11" s="20"/>
      <c r="E11" s="20"/>
    </row>
    <row r="12" customFormat="false" ht="15" hidden="false" customHeight="false" outlineLevel="0" collapsed="false">
      <c r="B12" s="15"/>
      <c r="C12" s="21" t="s">
        <v>338</v>
      </c>
      <c r="D12" s="21" t="s">
        <v>148</v>
      </c>
      <c r="E12" s="21" t="s">
        <v>149</v>
      </c>
    </row>
    <row r="13" customFormat="false" ht="15" hidden="false" customHeight="false" outlineLevel="0" collapsed="false">
      <c r="B13" s="22"/>
      <c r="C13" s="59" t="n">
        <f aca="false">EXP(C9)/(EXP(C9)+EXP(D9)+EXP(E9))</f>
        <v>0.659001138885968</v>
      </c>
      <c r="D13" s="59" t="n">
        <f aca="false">EXP(D9)/(EXP(C9)+EXP(D9)+EXP(E9))</f>
        <v>0.242432970704714</v>
      </c>
      <c r="E13" s="59" t="n">
        <f aca="false">EXP(E9)/(EXP(C9)+EXP(D9)+EXP(E9))</f>
        <v>0.0985658904093182</v>
      </c>
    </row>
    <row r="15" customFormat="false" ht="15.75" hidden="false" customHeight="true" outlineLevel="0" collapsed="false">
      <c r="B15" s="22" t="s">
        <v>340</v>
      </c>
      <c r="C15" s="25" t="n">
        <f aca="false">-LN(C13)</f>
        <v>0.417030016277834</v>
      </c>
    </row>
    <row r="16" customFormat="false" ht="17.25" hidden="false" customHeight="true" outlineLevel="0" collapsed="false">
      <c r="B16" s="20" t="s">
        <v>341</v>
      </c>
      <c r="C16" s="20"/>
      <c r="D16" s="20"/>
      <c r="E16" s="20"/>
    </row>
    <row r="17" customFormat="false" ht="15" hidden="false" customHeight="false" outlineLevel="0" collapsed="false">
      <c r="B17" s="15"/>
      <c r="C17" s="21" t="s">
        <v>338</v>
      </c>
      <c r="D17" s="21" t="s">
        <v>148</v>
      </c>
      <c r="E17" s="21" t="s">
        <v>149</v>
      </c>
    </row>
    <row r="18" customFormat="false" ht="15" hidden="false" customHeight="false" outlineLevel="0" collapsed="false">
      <c r="B18" s="22"/>
      <c r="C18" s="55" t="n">
        <f aca="false">C13-H9</f>
        <v>-0.340998861114032</v>
      </c>
      <c r="D18" s="55" t="n">
        <f aca="false">D13-I9</f>
        <v>0.242432970704714</v>
      </c>
      <c r="E18" s="55" t="n">
        <f aca="false">E13-J9</f>
        <v>0.0985658904093182</v>
      </c>
    </row>
    <row r="20" customFormat="false" ht="15.75" hidden="false" customHeight="true" outlineLevel="0" collapsed="false">
      <c r="B20" s="22" t="s">
        <v>160</v>
      </c>
      <c r="C20" s="49" t="n">
        <v>0.0001</v>
      </c>
    </row>
    <row r="21" customFormat="false" ht="17.25" hidden="false" customHeight="true" outlineLevel="0" collapsed="false">
      <c r="B21" s="20" t="s">
        <v>342</v>
      </c>
      <c r="C21" s="20"/>
      <c r="D21" s="20"/>
      <c r="E21" s="20"/>
    </row>
    <row r="22" customFormat="false" ht="15" hidden="false" customHeight="false" outlineLevel="0" collapsed="false">
      <c r="B22" s="15"/>
      <c r="C22" s="21" t="s">
        <v>338</v>
      </c>
      <c r="D22" s="21" t="s">
        <v>148</v>
      </c>
      <c r="E22" s="21" t="s">
        <v>149</v>
      </c>
    </row>
    <row r="23" customFormat="false" ht="15" hidden="false" customHeight="false" outlineLevel="0" collapsed="false">
      <c r="B23" s="22"/>
      <c r="C23" s="59" t="n">
        <f aca="false">(-LN(EXP((C9+C20))/(EXP((C9+C20))+EXP(D9)+EXP(E9)))--LN(EXP((C9-C20))/(EXP((C9-C20))+EXP(D9)+EXP(E9))))/(2*C20)</f>
        <v>-0.340998861233233</v>
      </c>
      <c r="D23" s="59" t="n">
        <f aca="false">(-LN(EXP(C9)/(EXP(C9)+EXP((D9+C20))+EXP(E9)))--LN(EXP(C9)/(EXP(C9)+EXP((D9-C20))+EXP(E9))))/(2*C20)</f>
        <v>0.242432970862516</v>
      </c>
      <c r="E23" s="59" t="n">
        <f aca="false">(-LN(EXP(C9)/(EXP(C9)+EXP(D9)+EXP((E9+C20))))--LN(EXP(C9)/(EXP(C9)+EXP(D9)+EXP((E9-C20)))))/(2*C20)</f>
        <v>0.0985658905278131</v>
      </c>
    </row>
    <row r="25" customFormat="false" ht="15.75" hidden="false" customHeight="true" outlineLevel="0" collapsed="false">
      <c r="B25" s="9" t="s">
        <v>343</v>
      </c>
      <c r="C25" s="26" t="str">
        <f aca="false">"cat: "&amp;IF(ROUND(C13,3)&lt;0,"("&amp;ROUND(C13,3)&amp;")",ROUND(C13,3)&amp;"")&amp;" − 1 = "&amp;IF(ROUND(C18,3)&lt;0,"("&amp;ROUND(C18,3)&amp;")",ROUND(C18,3)&amp;"")&amp;" (raise its score);  dog: "&amp;IF(ROUND(D13,3)&lt;0,"("&amp;ROUND(D13,3)&amp;")",ROUND(D13,3)&amp;"")&amp;" − 0 = "&amp;IF(ROUND(D18,3)&lt;0,"("&amp;ROUND(D18,3)&amp;")",ROUND(D18,3)&amp;"")&amp;" (lower it);  bird: "&amp;IF(ROUND(E18,3)&lt;0,"("&amp;ROUND(E18,3)&amp;")",ROUND(E18,3)&amp;"")</f>
        <v>cat: 0.659 − 1 = (-0.341) (raise its score);  dog: 0.242 − 0 = 0.242 (lower it);  bird: 0.099</v>
      </c>
      <c r="D25" s="26"/>
      <c r="E25" s="26"/>
      <c r="F25" s="26"/>
      <c r="G25" s="26"/>
      <c r="H25" s="26"/>
      <c r="I25" s="26"/>
      <c r="J25" s="26"/>
      <c r="K25" s="26"/>
      <c r="L25" s="26"/>
      <c r="M25" s="26"/>
      <c r="N25" s="26"/>
    </row>
    <row r="26" customFormat="false" ht="31.5" hidden="false" customHeight="true" outlineLevel="0" collapsed="false">
      <c r="B26" s="5" t="s">
        <v>344</v>
      </c>
      <c r="C26" s="5"/>
      <c r="D26" s="5"/>
      <c r="E26" s="5"/>
      <c r="F26" s="5"/>
      <c r="G26" s="5"/>
      <c r="H26" s="5"/>
      <c r="I26" s="5"/>
      <c r="J26" s="5"/>
      <c r="K26" s="5"/>
      <c r="L26" s="5"/>
      <c r="M26" s="5"/>
      <c r="N26" s="5"/>
    </row>
    <row r="28" customFormat="false" ht="21.75" hidden="false" customHeight="true" outlineLevel="0" collapsed="false">
      <c r="B28" s="4" t="s">
        <v>345</v>
      </c>
      <c r="C28" s="4"/>
      <c r="D28" s="4"/>
      <c r="E28" s="4"/>
      <c r="F28" s="4"/>
      <c r="G28" s="4"/>
      <c r="H28" s="4"/>
      <c r="I28" s="4"/>
      <c r="J28" s="4"/>
      <c r="K28" s="4"/>
      <c r="L28" s="4"/>
      <c r="M28" s="4"/>
      <c r="N28" s="4"/>
    </row>
    <row r="29" customFormat="false" ht="17.25" hidden="false" customHeight="true" outlineLevel="0" collapsed="false">
      <c r="B29" s="10" t="s">
        <v>346</v>
      </c>
      <c r="C29" s="10" t="s">
        <v>347</v>
      </c>
      <c r="D29" s="10"/>
      <c r="E29" s="10"/>
      <c r="F29" s="10"/>
      <c r="G29" s="10"/>
      <c r="H29" s="10"/>
      <c r="I29" s="10"/>
      <c r="J29" s="10"/>
      <c r="K29" s="10"/>
      <c r="L29" s="10"/>
      <c r="M29" s="10"/>
      <c r="N29" s="10"/>
    </row>
    <row r="30" customFormat="false" ht="17.25" hidden="false" customHeight="true" outlineLevel="0" collapsed="false">
      <c r="B30" s="12" t="s">
        <v>54</v>
      </c>
      <c r="C30" s="12" t="s">
        <v>348</v>
      </c>
      <c r="D30" s="12"/>
      <c r="E30" s="12"/>
      <c r="F30" s="12"/>
      <c r="G30" s="12"/>
      <c r="H30" s="12"/>
      <c r="I30" s="12"/>
      <c r="J30" s="12"/>
      <c r="K30" s="12"/>
      <c r="L30" s="12"/>
      <c r="M30" s="12"/>
      <c r="N30" s="12"/>
    </row>
    <row r="31" customFormat="false" ht="17.25" hidden="false" customHeight="true" outlineLevel="0" collapsed="false">
      <c r="B31" s="15" t="s">
        <v>58</v>
      </c>
      <c r="C31" s="15" t="s">
        <v>349</v>
      </c>
      <c r="D31" s="15"/>
      <c r="E31" s="15"/>
      <c r="F31" s="15"/>
      <c r="G31" s="15"/>
      <c r="H31" s="15"/>
      <c r="I31" s="15"/>
      <c r="J31" s="15"/>
      <c r="K31" s="15"/>
      <c r="L31" s="15"/>
      <c r="M31" s="15"/>
      <c r="N31" s="15"/>
    </row>
    <row r="32" customFormat="false" ht="17.25" hidden="false" customHeight="true" outlineLevel="0" collapsed="false">
      <c r="B32" s="12" t="s">
        <v>62</v>
      </c>
      <c r="C32" s="12" t="s">
        <v>350</v>
      </c>
      <c r="D32" s="12"/>
      <c r="E32" s="12"/>
      <c r="F32" s="12"/>
      <c r="G32" s="12"/>
      <c r="H32" s="12"/>
      <c r="I32" s="12"/>
      <c r="J32" s="12"/>
      <c r="K32" s="12"/>
      <c r="L32" s="12"/>
      <c r="M32" s="12"/>
      <c r="N32" s="12"/>
    </row>
    <row r="33" customFormat="false" ht="17.25" hidden="false" customHeight="true" outlineLevel="0" collapsed="false">
      <c r="B33" s="15" t="s">
        <v>66</v>
      </c>
      <c r="C33" s="15" t="s">
        <v>351</v>
      </c>
      <c r="D33" s="15"/>
      <c r="E33" s="15"/>
      <c r="F33" s="15"/>
      <c r="G33" s="15"/>
      <c r="H33" s="15"/>
      <c r="I33" s="15"/>
      <c r="J33" s="15"/>
      <c r="K33" s="15"/>
      <c r="L33" s="15"/>
      <c r="M33" s="15"/>
      <c r="N33" s="15"/>
    </row>
    <row r="34" customFormat="false" ht="18.75" hidden="false" customHeight="true" outlineLevel="0" collapsed="false">
      <c r="B34" s="33" t="s">
        <v>352</v>
      </c>
      <c r="C34" s="33"/>
      <c r="D34" s="33"/>
      <c r="E34" s="33"/>
      <c r="F34" s="33"/>
      <c r="G34" s="33"/>
      <c r="H34" s="33"/>
      <c r="I34" s="33"/>
      <c r="J34" s="33"/>
      <c r="K34" s="33"/>
      <c r="L34" s="33"/>
      <c r="M34" s="33"/>
      <c r="N34" s="33"/>
    </row>
    <row r="35" customFormat="false" ht="15.75" hidden="false" customHeight="true" outlineLevel="0" collapsed="false">
      <c r="B35" s="22" t="s">
        <v>353</v>
      </c>
      <c r="C35" s="23" t="n">
        <v>0.3</v>
      </c>
    </row>
    <row r="36" customFormat="false" ht="15.75" hidden="false" customHeight="true" outlineLevel="0" collapsed="false">
      <c r="B36" s="22" t="s">
        <v>295</v>
      </c>
      <c r="C36" s="58" t="n">
        <v>1</v>
      </c>
    </row>
    <row r="37" customFormat="false" ht="15.75" hidden="false" customHeight="true" outlineLevel="0" collapsed="false">
      <c r="B37" s="22" t="s">
        <v>299</v>
      </c>
      <c r="C37" s="25" t="n">
        <f aca="false">(1/(1+EXP(-(C35))))</f>
        <v>0.574442516811659</v>
      </c>
    </row>
    <row r="38" customFormat="false" ht="15.75" hidden="false" customHeight="true" outlineLevel="0" collapsed="false">
      <c r="B38" s="22" t="s">
        <v>354</v>
      </c>
      <c r="C38" s="55" t="n">
        <f aca="false">C37-C36</f>
        <v>-0.425557483188341</v>
      </c>
    </row>
    <row r="39" customFormat="false" ht="15.75" hidden="false" customHeight="true" outlineLevel="0" collapsed="false">
      <c r="B39" s="22" t="s">
        <v>355</v>
      </c>
      <c r="C39" s="56" t="n">
        <f aca="false">((-(C36*LN((1/(1+EXP(-(C35+C20)))))+(1-C36)*LN(1-(1/(1+EXP(-(C35+C20)))))))-(-(C36*LN((1/(1+EXP(-(C35-C20)))))+(1-C36)*LN(1-(1/(1+EXP(-(C35-C20))))))))/(2*C20)</f>
        <v>-0.425557483249017</v>
      </c>
    </row>
    <row r="40" customFormat="false" ht="31.5" hidden="false" customHeight="true" outlineLevel="0" collapsed="false">
      <c r="B40" s="5" t="s">
        <v>356</v>
      </c>
      <c r="C40" s="5"/>
      <c r="D40" s="5"/>
      <c r="E40" s="5"/>
      <c r="F40" s="5"/>
      <c r="G40" s="5"/>
      <c r="H40" s="5"/>
      <c r="I40" s="5"/>
      <c r="J40" s="5"/>
      <c r="K40" s="5"/>
      <c r="L40" s="5"/>
      <c r="M40" s="5"/>
      <c r="N40" s="5"/>
    </row>
    <row r="41" customFormat="false" ht="18.75" hidden="false" customHeight="true" outlineLevel="0" collapsed="false">
      <c r="B41" s="33" t="s">
        <v>98</v>
      </c>
      <c r="C41" s="33"/>
      <c r="D41" s="33"/>
      <c r="E41" s="33"/>
      <c r="F41" s="33"/>
      <c r="G41" s="33"/>
      <c r="H41" s="33"/>
      <c r="I41" s="33"/>
      <c r="J41" s="33"/>
      <c r="K41" s="33"/>
      <c r="L41" s="33"/>
      <c r="M41" s="33"/>
      <c r="N41" s="33"/>
    </row>
    <row r="42" customFormat="false" ht="17.25" hidden="false" customHeight="true" outlineLevel="0" collapsed="false">
      <c r="B42" s="34" t="s">
        <v>357</v>
      </c>
      <c r="C42" s="34"/>
      <c r="D42" s="34"/>
      <c r="E42" s="34"/>
      <c r="F42" s="34"/>
      <c r="G42" s="34"/>
      <c r="H42" s="34"/>
      <c r="I42" s="34"/>
      <c r="J42" s="34"/>
      <c r="K42" s="34"/>
      <c r="L42" s="34"/>
      <c r="M42" s="34"/>
      <c r="N42" s="34"/>
    </row>
    <row r="43" customFormat="false" ht="17.25" hidden="false" customHeight="true" outlineLevel="0" collapsed="false">
      <c r="B43" s="35" t="s">
        <v>358</v>
      </c>
      <c r="C43" s="35"/>
      <c r="D43" s="35"/>
      <c r="E43" s="35"/>
      <c r="F43" s="35"/>
      <c r="G43" s="35"/>
      <c r="H43" s="35"/>
      <c r="I43" s="35"/>
      <c r="J43" s="35"/>
      <c r="K43" s="35"/>
      <c r="L43" s="35"/>
      <c r="M43" s="35"/>
      <c r="N43" s="35"/>
    </row>
    <row r="44" customFormat="false" ht="17.25" hidden="false" customHeight="true" outlineLevel="0" collapsed="false">
      <c r="B44" s="34" t="s">
        <v>359</v>
      </c>
      <c r="C44" s="34"/>
      <c r="D44" s="34"/>
      <c r="E44" s="34"/>
      <c r="F44" s="34"/>
      <c r="G44" s="34"/>
      <c r="H44" s="34"/>
      <c r="I44" s="34"/>
      <c r="J44" s="34"/>
      <c r="K44" s="34"/>
      <c r="L44" s="34"/>
      <c r="M44" s="34"/>
      <c r="N44" s="34"/>
    </row>
    <row r="45" customFormat="false" ht="17.25" hidden="false" customHeight="true" outlineLevel="0" collapsed="false">
      <c r="B45" s="35" t="s">
        <v>360</v>
      </c>
      <c r="C45" s="35"/>
      <c r="D45" s="35"/>
      <c r="E45" s="35"/>
      <c r="F45" s="35"/>
      <c r="G45" s="35"/>
      <c r="H45" s="35"/>
      <c r="I45" s="35"/>
      <c r="J45" s="35"/>
      <c r="K45" s="35"/>
      <c r="L45" s="35"/>
      <c r="M45" s="35"/>
      <c r="N45" s="35"/>
    </row>
  </sheetData>
  <mergeCells count="25">
    <mergeCell ref="B1:N1"/>
    <mergeCell ref="B2:N2"/>
    <mergeCell ref="B4:N4"/>
    <mergeCell ref="B5:N5"/>
    <mergeCell ref="B6:N6"/>
    <mergeCell ref="B7:E7"/>
    <mergeCell ref="G7:J7"/>
    <mergeCell ref="B11:E11"/>
    <mergeCell ref="B16:E16"/>
    <mergeCell ref="B21:E21"/>
    <mergeCell ref="C25:N25"/>
    <mergeCell ref="B26:N26"/>
    <mergeCell ref="B28:N28"/>
    <mergeCell ref="C29:N29"/>
    <mergeCell ref="C30:N30"/>
    <mergeCell ref="C31:N31"/>
    <mergeCell ref="C32:N32"/>
    <mergeCell ref="C33:N33"/>
    <mergeCell ref="B34:N34"/>
    <mergeCell ref="B40:N40"/>
    <mergeCell ref="B41:N41"/>
    <mergeCell ref="B42:N42"/>
    <mergeCell ref="B43:N43"/>
    <mergeCell ref="B44:N44"/>
    <mergeCell ref="B45:N4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true"/>
  </sheetPr>
  <dimension ref="B1:N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361</v>
      </c>
      <c r="C1" s="1"/>
      <c r="D1" s="1"/>
      <c r="E1" s="1"/>
      <c r="F1" s="1"/>
      <c r="G1" s="1"/>
      <c r="H1" s="1"/>
      <c r="I1" s="1"/>
      <c r="J1" s="1"/>
      <c r="K1" s="1"/>
      <c r="L1" s="1"/>
      <c r="M1" s="1"/>
      <c r="N1" s="1"/>
    </row>
    <row r="2" customFormat="false" ht="17.25" hidden="false" customHeight="true" outlineLevel="0" collapsed="false">
      <c r="B2" s="2" t="s">
        <v>362</v>
      </c>
      <c r="C2" s="2"/>
      <c r="D2" s="2"/>
      <c r="E2" s="2"/>
      <c r="F2" s="2"/>
      <c r="G2" s="2"/>
      <c r="H2" s="2"/>
      <c r="I2" s="2"/>
      <c r="J2" s="2"/>
      <c r="K2" s="2"/>
      <c r="L2" s="2"/>
      <c r="M2" s="2"/>
      <c r="N2" s="2"/>
    </row>
    <row r="4" customFormat="false" ht="34.5" hidden="false" customHeight="true" outlineLevel="0" collapsed="false">
      <c r="B4" s="3" t="s">
        <v>363</v>
      </c>
      <c r="C4" s="3"/>
      <c r="D4" s="3"/>
      <c r="E4" s="3"/>
      <c r="F4" s="3"/>
      <c r="G4" s="3"/>
      <c r="H4" s="3"/>
      <c r="I4" s="3"/>
      <c r="J4" s="3"/>
      <c r="K4" s="3"/>
      <c r="L4" s="3"/>
      <c r="M4" s="3"/>
      <c r="N4" s="3"/>
    </row>
    <row r="5" customFormat="false" ht="17.25" hidden="false" customHeight="true" outlineLevel="0" collapsed="false">
      <c r="B5" s="60" t="s">
        <v>364</v>
      </c>
      <c r="C5" s="60"/>
      <c r="D5" s="60"/>
      <c r="E5" s="60"/>
      <c r="F5" s="60"/>
      <c r="G5" s="60"/>
      <c r="H5" s="60"/>
      <c r="I5" s="60"/>
      <c r="J5" s="60"/>
      <c r="K5" s="60"/>
      <c r="L5" s="60"/>
      <c r="M5" s="60"/>
      <c r="N5" s="60"/>
    </row>
    <row r="6" customFormat="false" ht="21.75" hidden="false" customHeight="true" outlineLevel="0" collapsed="false">
      <c r="B6" s="4" t="s">
        <v>365</v>
      </c>
      <c r="C6" s="4"/>
      <c r="D6" s="4"/>
      <c r="E6" s="4"/>
      <c r="F6" s="4"/>
      <c r="G6" s="4"/>
      <c r="H6" s="4"/>
      <c r="I6" s="4"/>
      <c r="J6" s="4"/>
      <c r="K6" s="4"/>
      <c r="L6" s="4"/>
      <c r="M6" s="4"/>
      <c r="N6" s="4"/>
    </row>
    <row r="7" customFormat="false" ht="17.25" hidden="false" customHeight="true" outlineLevel="0" collapsed="false">
      <c r="B7" s="20" t="s">
        <v>294</v>
      </c>
      <c r="C7" s="20"/>
      <c r="D7" s="20"/>
    </row>
    <row r="8" customFormat="false" ht="15" hidden="false" customHeight="false" outlineLevel="0" collapsed="false">
      <c r="B8" s="15"/>
      <c r="C8" s="21" t="s">
        <v>366</v>
      </c>
      <c r="D8" s="21" t="s">
        <v>367</v>
      </c>
    </row>
    <row r="9" customFormat="false" ht="15" hidden="false" customHeight="false" outlineLevel="0" collapsed="false">
      <c r="B9" s="22"/>
      <c r="C9" s="23" t="n">
        <v>1</v>
      </c>
      <c r="D9" s="23" t="n">
        <v>0.5</v>
      </c>
    </row>
    <row r="11" customFormat="false" ht="15.75" hidden="false" customHeight="true" outlineLevel="0" collapsed="false">
      <c r="B11" s="22" t="s">
        <v>295</v>
      </c>
      <c r="C11" s="58" t="n">
        <v>1</v>
      </c>
    </row>
    <row r="12" customFormat="false" ht="15.75" hidden="false" customHeight="true" outlineLevel="0" collapsed="false">
      <c r="B12" s="22" t="s">
        <v>85</v>
      </c>
      <c r="C12" s="23" t="n">
        <v>0.5</v>
      </c>
    </row>
    <row r="13" customFormat="false" ht="17.25" hidden="false" customHeight="true" outlineLevel="0" collapsed="false">
      <c r="B13" s="20" t="s">
        <v>368</v>
      </c>
      <c r="C13" s="20"/>
      <c r="D13" s="20"/>
      <c r="F13" s="20" t="s">
        <v>369</v>
      </c>
      <c r="G13" s="20"/>
      <c r="H13" s="20"/>
      <c r="J13" s="20" t="s">
        <v>370</v>
      </c>
      <c r="K13" s="20"/>
      <c r="L13" s="20"/>
    </row>
    <row r="14" customFormat="false" ht="15" hidden="false" customHeight="false" outlineLevel="0" collapsed="false">
      <c r="B14" s="15"/>
      <c r="C14" s="21" t="s">
        <v>371</v>
      </c>
      <c r="D14" s="21" t="s">
        <v>372</v>
      </c>
      <c r="F14" s="15"/>
      <c r="G14" s="21" t="s">
        <v>371</v>
      </c>
      <c r="H14" s="21" t="s">
        <v>372</v>
      </c>
      <c r="J14" s="15"/>
      <c r="K14" s="21" t="s">
        <v>371</v>
      </c>
      <c r="L14" s="21" t="s">
        <v>372</v>
      </c>
    </row>
    <row r="15" customFormat="false" ht="15" hidden="false" customHeight="false" outlineLevel="0" collapsed="false">
      <c r="B15" s="22" t="s">
        <v>366</v>
      </c>
      <c r="C15" s="23" t="n">
        <v>0.5</v>
      </c>
      <c r="D15" s="23" t="n">
        <v>-0.3</v>
      </c>
      <c r="F15" s="22"/>
      <c r="G15" s="23" t="n">
        <v>0.1</v>
      </c>
      <c r="H15" s="23" t="n">
        <v>0.1</v>
      </c>
      <c r="J15" s="22"/>
      <c r="K15" s="23" t="n">
        <v>0.7</v>
      </c>
      <c r="L15" s="23" t="n">
        <v>-0.4</v>
      </c>
    </row>
    <row r="16" customFormat="false" ht="15" hidden="false" customHeight="false" outlineLevel="0" collapsed="false">
      <c r="B16" s="22" t="s">
        <v>367</v>
      </c>
      <c r="C16" s="23" t="n">
        <v>0.2</v>
      </c>
      <c r="D16" s="23" t="n">
        <v>0.8</v>
      </c>
    </row>
    <row r="18" customFormat="false" ht="15.75" hidden="false" customHeight="true" outlineLevel="0" collapsed="false">
      <c r="B18" s="22" t="s">
        <v>373</v>
      </c>
      <c r="C18" s="23" t="n">
        <v>0.2</v>
      </c>
    </row>
    <row r="19" customFormat="false" ht="21.75" hidden="false" customHeight="true" outlineLevel="0" collapsed="false">
      <c r="B19" s="4" t="s">
        <v>374</v>
      </c>
      <c r="C19" s="4"/>
      <c r="D19" s="4"/>
      <c r="E19" s="4"/>
      <c r="F19" s="4"/>
      <c r="G19" s="4"/>
      <c r="H19" s="4"/>
      <c r="I19" s="4"/>
      <c r="J19" s="4"/>
      <c r="K19" s="4"/>
      <c r="L19" s="4"/>
      <c r="M19" s="4"/>
      <c r="N19" s="4"/>
    </row>
    <row r="20" customFormat="false" ht="17.25" hidden="false" customHeight="true" outlineLevel="0" collapsed="false">
      <c r="B20" s="61" t="s">
        <v>375</v>
      </c>
      <c r="C20" s="5" t="s">
        <v>376</v>
      </c>
      <c r="D20" s="5"/>
      <c r="E20" s="5"/>
      <c r="F20" s="5"/>
      <c r="G20" s="5"/>
      <c r="H20" s="5"/>
      <c r="I20" s="5"/>
      <c r="J20" s="5"/>
      <c r="K20" s="5"/>
      <c r="L20" s="5"/>
      <c r="M20" s="5"/>
      <c r="N20" s="5"/>
    </row>
    <row r="21" customFormat="false" ht="17.25" hidden="false" customHeight="true" outlineLevel="0" collapsed="false">
      <c r="B21" s="20" t="s">
        <v>377</v>
      </c>
      <c r="C21" s="20"/>
      <c r="D21" s="20"/>
    </row>
    <row r="22" customFormat="false" ht="15" hidden="false" customHeight="false" outlineLevel="0" collapsed="false">
      <c r="B22" s="15"/>
      <c r="C22" s="21" t="s">
        <v>371</v>
      </c>
      <c r="D22" s="21" t="s">
        <v>372</v>
      </c>
    </row>
    <row r="23" customFormat="false" ht="15" hidden="false" customHeight="false" outlineLevel="0" collapsed="false">
      <c r="B23" s="22"/>
      <c r="C23" s="59" t="n">
        <f aca="false">C9*C15+D9*C16+G15</f>
        <v>0.7</v>
      </c>
      <c r="D23" s="59" t="n">
        <f aca="false">C9*D15+D9*D16+H15</f>
        <v>0.2</v>
      </c>
    </row>
    <row r="25" customFormat="false" ht="15.75" hidden="false" customHeight="true" outlineLevel="0" collapsed="false">
      <c r="B25" s="9" t="s">
        <v>378</v>
      </c>
      <c r="C25" s="26" t="str">
        <f aca="false">IF(ROUND(C9,3)&lt;0,"("&amp;ROUND(C9,3)&amp;")",ROUND(C9,3)&amp;"")&amp;"×"&amp;IF(ROUND(C15,3)&lt;0,"("&amp;ROUND(C15,3)&amp;")",ROUND(C15,3)&amp;"")&amp;" + "&amp;IF(ROUND(D9,3)&lt;0,"("&amp;ROUND(D9,3)&amp;")",ROUND(D9,3)&amp;"")&amp;"×"&amp;IF(ROUND(C16,3)&lt;0,"("&amp;ROUND(C16,3)&amp;")",ROUND(C16,3)&amp;"")&amp;" + "&amp;IF(ROUND(G15,3)&lt;0,"("&amp;ROUND(G15,3)&amp;")",ROUND(G15,3)&amp;"")&amp;"  =  "&amp;IF(ROUND(C23,3)&lt;0,"("&amp;ROUND(C23,3)&amp;")",ROUND(C23,3)&amp;"")</f>
        <v>1×0.5 + 0.5×0.2 + 0.1  =  0.7</v>
      </c>
      <c r="D25" s="26"/>
      <c r="E25" s="26"/>
      <c r="F25" s="26"/>
      <c r="G25" s="26"/>
      <c r="H25" s="26"/>
      <c r="I25" s="26"/>
      <c r="J25" s="26"/>
      <c r="K25" s="26"/>
      <c r="L25" s="26"/>
      <c r="M25" s="26"/>
      <c r="N25" s="26"/>
    </row>
    <row r="26" customFormat="false" ht="15.75" hidden="false" customHeight="true" outlineLevel="0" collapsed="false">
      <c r="B26" s="9" t="s">
        <v>379</v>
      </c>
      <c r="C26" s="26" t="str">
        <f aca="false">IF(ROUND(C9,3)&lt;0,"("&amp;ROUND(C9,3)&amp;")",ROUND(C9,3)&amp;"")&amp;"×"&amp;IF(ROUND(D15,3)&lt;0,"("&amp;ROUND(D15,3)&amp;")",ROUND(D15,3)&amp;"")&amp;" + "&amp;IF(ROUND(D9,3)&lt;0,"("&amp;ROUND(D9,3)&amp;")",ROUND(D9,3)&amp;"")&amp;"×"&amp;IF(ROUND(D16,3)&lt;0,"("&amp;ROUND(D16,3)&amp;")",ROUND(D16,3)&amp;"")&amp;" + "&amp;IF(ROUND(H15,3)&lt;0,"("&amp;ROUND(H15,3)&amp;")",ROUND(H15,3)&amp;"")&amp;"  =  "&amp;IF(ROUND(D23,3)&lt;0,"("&amp;ROUND(D23,3)&amp;")",ROUND(D23,3)&amp;"")</f>
        <v>1×(-0.3) + 0.5×0.8 + 0.1  =  0.2</v>
      </c>
      <c r="D26" s="26"/>
      <c r="E26" s="26"/>
      <c r="F26" s="26"/>
      <c r="G26" s="26"/>
      <c r="H26" s="26"/>
      <c r="I26" s="26"/>
      <c r="J26" s="26"/>
      <c r="K26" s="26"/>
      <c r="L26" s="26"/>
      <c r="M26" s="26"/>
      <c r="N26" s="26"/>
    </row>
    <row r="27" customFormat="false" ht="17.25" hidden="false" customHeight="true" outlineLevel="0" collapsed="false">
      <c r="B27" s="61" t="s">
        <v>380</v>
      </c>
      <c r="C27" s="5" t="s">
        <v>381</v>
      </c>
      <c r="D27" s="5"/>
      <c r="E27" s="5"/>
      <c r="F27" s="5"/>
      <c r="G27" s="5"/>
      <c r="H27" s="5"/>
      <c r="I27" s="5"/>
      <c r="J27" s="5"/>
      <c r="K27" s="5"/>
      <c r="L27" s="5"/>
      <c r="M27" s="5"/>
      <c r="N27" s="5"/>
    </row>
    <row r="28" customFormat="false" ht="17.25" hidden="false" customHeight="true" outlineLevel="0" collapsed="false">
      <c r="B28" s="20" t="s">
        <v>257</v>
      </c>
      <c r="C28" s="20"/>
      <c r="D28" s="20"/>
    </row>
    <row r="29" customFormat="false" ht="15" hidden="false" customHeight="false" outlineLevel="0" collapsed="false">
      <c r="B29" s="15"/>
      <c r="C29" s="21" t="s">
        <v>371</v>
      </c>
      <c r="D29" s="21" t="s">
        <v>372</v>
      </c>
    </row>
    <row r="30" customFormat="false" ht="15" hidden="false" customHeight="false" outlineLevel="0" collapsed="false">
      <c r="B30" s="22"/>
      <c r="C30" s="59" t="n">
        <f aca="false">(1/(1+EXP(-(C23))))</f>
        <v>0.668187772168166</v>
      </c>
      <c r="D30" s="59" t="n">
        <f aca="false">(1/(1+EXP(-(D23))))</f>
        <v>0.549833997312478</v>
      </c>
    </row>
    <row r="32" customFormat="false" ht="15.75" hidden="false" customHeight="true" outlineLevel="0" collapsed="false">
      <c r="B32" s="9" t="s">
        <v>257</v>
      </c>
      <c r="C32" s="26" t="str">
        <f aca="false">"σ("&amp;IF(ROUND(C23,3)&lt;0,"("&amp;ROUND(C23,3)&amp;")",ROUND(C23,3)&amp;"")&amp;") = "&amp;IF(ROUND(C30,3)&lt;0,"("&amp;ROUND(C30,3)&amp;")",ROUND(C30,3)&amp;"")&amp;";   σ("&amp;IF(ROUND(D23,3)&lt;0,"("&amp;ROUND(D23,3)&amp;")",ROUND(D23,3)&amp;"")&amp;") = "&amp;IF(ROUND(D30,3)&lt;0,"("&amp;ROUND(D30,3)&amp;")",ROUND(D30,3)&amp;"")</f>
        <v>σ(0.7) = 0.668;   σ(0.2) = 0.55</v>
      </c>
      <c r="D32" s="26"/>
      <c r="E32" s="26"/>
      <c r="F32" s="26"/>
      <c r="G32" s="26"/>
      <c r="H32" s="26"/>
      <c r="I32" s="26"/>
      <c r="J32" s="26"/>
      <c r="K32" s="26"/>
      <c r="L32" s="26"/>
      <c r="M32" s="26"/>
      <c r="N32" s="26"/>
    </row>
    <row r="33" customFormat="false" ht="17.25" hidden="false" customHeight="true" outlineLevel="0" collapsed="false">
      <c r="B33" s="61" t="s">
        <v>382</v>
      </c>
      <c r="C33" s="5" t="s">
        <v>383</v>
      </c>
      <c r="D33" s="5"/>
      <c r="E33" s="5"/>
      <c r="F33" s="5"/>
      <c r="G33" s="5"/>
      <c r="H33" s="5"/>
      <c r="I33" s="5"/>
      <c r="J33" s="5"/>
      <c r="K33" s="5"/>
      <c r="L33" s="5"/>
      <c r="M33" s="5"/>
      <c r="N33" s="5"/>
    </row>
    <row r="34" customFormat="false" ht="15.75" hidden="false" customHeight="true" outlineLevel="0" collapsed="false">
      <c r="B34" s="22" t="s">
        <v>384</v>
      </c>
      <c r="C34" s="25" t="n">
        <f aca="false">C30*K15+D30*L15+C18</f>
        <v>0.447797841592725</v>
      </c>
    </row>
    <row r="35" customFormat="false" ht="15.75" hidden="false" customHeight="true" outlineLevel="0" collapsed="false">
      <c r="B35" s="9" t="s">
        <v>384</v>
      </c>
      <c r="C35" s="26" t="str">
        <f aca="false">IF(ROUND(C30,3)&lt;0,"("&amp;ROUND(C30,3)&amp;")",ROUND(C30,3)&amp;"")&amp;"×"&amp;IF(ROUND(K15,3)&lt;0,"("&amp;ROUND(K15,3)&amp;")",ROUND(K15,3)&amp;"")&amp;" + "&amp;IF(ROUND(D30,3)&lt;0,"("&amp;ROUND(D30,3)&amp;")",ROUND(D30,3)&amp;"")&amp;"×"&amp;IF(ROUND(L15,3)&lt;0,"("&amp;ROUND(L15,3)&amp;")",ROUND(L15,3)&amp;"")&amp;" + "&amp;IF(ROUND(C18,3)&lt;0,"("&amp;ROUND(C18,3)&amp;")",ROUND(C18,3)&amp;"")&amp;"  =  "&amp;IF(ROUND(C34,3)&lt;0,"("&amp;ROUND(C34,3)&amp;")",ROUND(C34,3)&amp;"")</f>
        <v>0.668×0.7 + 0.55×(-0.4) + 0.2  =  0.448</v>
      </c>
      <c r="D35" s="26"/>
      <c r="E35" s="26"/>
      <c r="F35" s="26"/>
      <c r="G35" s="26"/>
      <c r="H35" s="26"/>
      <c r="I35" s="26"/>
      <c r="J35" s="26"/>
      <c r="K35" s="26"/>
      <c r="L35" s="26"/>
      <c r="M35" s="26"/>
      <c r="N35" s="26"/>
    </row>
    <row r="36" customFormat="false" ht="17.25" hidden="false" customHeight="true" outlineLevel="0" collapsed="false">
      <c r="B36" s="61" t="s">
        <v>385</v>
      </c>
      <c r="C36" s="5" t="s">
        <v>386</v>
      </c>
      <c r="D36" s="5"/>
      <c r="E36" s="5"/>
      <c r="F36" s="5"/>
      <c r="G36" s="5"/>
      <c r="H36" s="5"/>
      <c r="I36" s="5"/>
      <c r="J36" s="5"/>
      <c r="K36" s="5"/>
      <c r="L36" s="5"/>
      <c r="M36" s="5"/>
      <c r="N36" s="5"/>
    </row>
    <row r="37" customFormat="false" ht="15.75" hidden="false" customHeight="true" outlineLevel="0" collapsed="false">
      <c r="B37" s="22" t="s">
        <v>387</v>
      </c>
      <c r="C37" s="25" t="n">
        <f aca="false">(1/(1+EXP(-(C34))))</f>
        <v>0.61011552366894</v>
      </c>
    </row>
    <row r="38" customFormat="false" ht="15.75" hidden="false" customHeight="true" outlineLevel="0" collapsed="false">
      <c r="B38" s="22" t="s">
        <v>388</v>
      </c>
      <c r="C38" s="55" t="n">
        <f aca="false">-(C11*LN(C37)+(1-C11)*LN(1-C37))</f>
        <v>0.494106956681654</v>
      </c>
    </row>
    <row r="39" customFormat="false" ht="21.75" hidden="false" customHeight="true" outlineLevel="0" collapsed="false">
      <c r="B39" s="4" t="s">
        <v>389</v>
      </c>
      <c r="C39" s="4"/>
      <c r="D39" s="4"/>
      <c r="E39" s="4"/>
      <c r="F39" s="4"/>
      <c r="G39" s="4"/>
      <c r="H39" s="4"/>
      <c r="I39" s="4"/>
      <c r="J39" s="4"/>
      <c r="K39" s="4"/>
      <c r="L39" s="4"/>
      <c r="M39" s="4"/>
      <c r="N39" s="4"/>
    </row>
    <row r="40" customFormat="false" ht="17.25" hidden="false" customHeight="true" outlineLevel="0" collapsed="false">
      <c r="B40" s="61" t="s">
        <v>390</v>
      </c>
      <c r="C40" s="5" t="s">
        <v>391</v>
      </c>
      <c r="D40" s="5"/>
      <c r="E40" s="5"/>
      <c r="F40" s="5"/>
      <c r="G40" s="5"/>
      <c r="H40" s="5"/>
      <c r="I40" s="5"/>
      <c r="J40" s="5"/>
      <c r="K40" s="5"/>
      <c r="L40" s="5"/>
      <c r="M40" s="5"/>
      <c r="N40" s="5"/>
    </row>
    <row r="41" customFormat="false" ht="15.75" hidden="false" customHeight="true" outlineLevel="0" collapsed="false">
      <c r="B41" s="22" t="s">
        <v>392</v>
      </c>
      <c r="C41" s="25" t="n">
        <f aca="false">C37-C11</f>
        <v>-0.389884476331061</v>
      </c>
    </row>
    <row r="42" customFormat="false" ht="17.25" hidden="false" customHeight="true" outlineLevel="0" collapsed="false">
      <c r="B42" s="61" t="s">
        <v>393</v>
      </c>
      <c r="C42" s="5" t="s">
        <v>394</v>
      </c>
      <c r="D42" s="5"/>
      <c r="E42" s="5"/>
      <c r="F42" s="5"/>
      <c r="G42" s="5"/>
      <c r="H42" s="5"/>
      <c r="I42" s="5"/>
      <c r="J42" s="5"/>
      <c r="K42" s="5"/>
      <c r="L42" s="5"/>
      <c r="M42" s="5"/>
      <c r="N42" s="5"/>
    </row>
    <row r="43" customFormat="false" ht="17.25" hidden="false" customHeight="true" outlineLevel="0" collapsed="false">
      <c r="B43" s="20" t="s">
        <v>395</v>
      </c>
      <c r="C43" s="20"/>
      <c r="D43" s="20"/>
    </row>
    <row r="44" customFormat="false" ht="15" hidden="false" customHeight="false" outlineLevel="0" collapsed="false">
      <c r="B44" s="15"/>
      <c r="C44" s="21" t="s">
        <v>371</v>
      </c>
      <c r="D44" s="21" t="s">
        <v>372</v>
      </c>
    </row>
    <row r="45" customFormat="false" ht="15" hidden="false" customHeight="false" outlineLevel="0" collapsed="false">
      <c r="B45" s="22"/>
      <c r="C45" s="55" t="n">
        <f aca="false">C41*C30</f>
        <v>-0.260516039642603</v>
      </c>
      <c r="D45" s="55" t="n">
        <f aca="false">C41*D30</f>
        <v>-0.214371740111189</v>
      </c>
    </row>
    <row r="47" customFormat="false" ht="15.75" hidden="false" customHeight="true" outlineLevel="0" collapsed="false">
      <c r="B47" s="22" t="s">
        <v>396</v>
      </c>
      <c r="C47" s="55" t="n">
        <f aca="false">C41</f>
        <v>-0.389884476331061</v>
      </c>
    </row>
    <row r="48" customFormat="false" ht="15.75" hidden="false" customHeight="true" outlineLevel="0" collapsed="false">
      <c r="B48" s="9" t="s">
        <v>397</v>
      </c>
      <c r="C48" s="26" t="str">
        <f aca="false">"δ₂ × a[h1] = "&amp;IF(ROUND(C41,3)&lt;0,"("&amp;ROUND(C41,3)&amp;")",ROUND(C41,3)&amp;"")&amp;" × "&amp;IF(ROUND(C30,3)&lt;0,"("&amp;ROUND(C30,3)&amp;")",ROUND(C30,3)&amp;"")&amp;" = "&amp;IF(ROUND(C45,3)&lt;0,"("&amp;ROUND(C45,3)&amp;")",ROUND(C45,3)&amp;"")</f>
        <v>δ₂ × a[h1] = (-0.39) × 0.668 = (-0.261)</v>
      </c>
      <c r="D48" s="26"/>
      <c r="E48" s="26"/>
      <c r="F48" s="26"/>
      <c r="G48" s="26"/>
      <c r="H48" s="26"/>
      <c r="I48" s="26"/>
      <c r="J48" s="26"/>
      <c r="K48" s="26"/>
      <c r="L48" s="26"/>
      <c r="M48" s="26"/>
      <c r="N48" s="26"/>
    </row>
    <row r="49" customFormat="false" ht="17.25" hidden="false" customHeight="true" outlineLevel="0" collapsed="false">
      <c r="B49" s="61" t="s">
        <v>398</v>
      </c>
      <c r="C49" s="5" t="s">
        <v>399</v>
      </c>
      <c r="D49" s="5"/>
      <c r="E49" s="5"/>
      <c r="F49" s="5"/>
      <c r="G49" s="5"/>
      <c r="H49" s="5"/>
      <c r="I49" s="5"/>
      <c r="J49" s="5"/>
      <c r="K49" s="5"/>
      <c r="L49" s="5"/>
      <c r="M49" s="5"/>
      <c r="N49" s="5"/>
    </row>
    <row r="50" customFormat="false" ht="17.25" hidden="false" customHeight="true" outlineLevel="0" collapsed="false">
      <c r="B50" s="20" t="s">
        <v>278</v>
      </c>
      <c r="C50" s="20"/>
      <c r="D50" s="20"/>
      <c r="F50" s="20" t="s">
        <v>400</v>
      </c>
      <c r="G50" s="20"/>
      <c r="H50" s="20"/>
    </row>
    <row r="51" customFormat="false" ht="15" hidden="false" customHeight="false" outlineLevel="0" collapsed="false">
      <c r="B51" s="15"/>
      <c r="C51" s="21" t="s">
        <v>371</v>
      </c>
      <c r="D51" s="21" t="s">
        <v>372</v>
      </c>
      <c r="F51" s="15"/>
      <c r="G51" s="21" t="s">
        <v>371</v>
      </c>
      <c r="H51" s="21" t="s">
        <v>372</v>
      </c>
    </row>
    <row r="52" customFormat="false" ht="15" hidden="false" customHeight="false" outlineLevel="0" collapsed="false">
      <c r="B52" s="22"/>
      <c r="C52" s="59" t="n">
        <f aca="false">C41*K15</f>
        <v>-0.272919133431742</v>
      </c>
      <c r="D52" s="59" t="n">
        <f aca="false">C41*L15</f>
        <v>0.155953790532424</v>
      </c>
      <c r="F52" s="22"/>
      <c r="G52" s="59" t="n">
        <f aca="false">C52*C30*(1-C30)</f>
        <v>-0.060509685249817</v>
      </c>
      <c r="H52" s="59" t="n">
        <f aca="false">D52*D30*(1-D30)</f>
        <v>0.0386011477340089</v>
      </c>
    </row>
    <row r="54" customFormat="false" ht="15.75" hidden="false" customHeight="true" outlineLevel="0" collapsed="false">
      <c r="B54" s="9" t="s">
        <v>401</v>
      </c>
      <c r="C54" s="26" t="str">
        <f aca="false">"("&amp;IF(ROUND(C41,3)&lt;0,"("&amp;ROUND(C41,3)&amp;")",ROUND(C41,3)&amp;"")&amp;" × "&amp;IF(ROUND(K15,3)&lt;0,"("&amp;ROUND(K15,3)&amp;")",ROUND(K15,3)&amp;"")&amp;") × "&amp;IF(ROUND(C30,3)&lt;0,"("&amp;ROUND(C30,3)&amp;")",ROUND(C30,3)&amp;"")&amp;" × (1 − "&amp;IF(ROUND(C30,3)&lt;0,"("&amp;ROUND(C30,3)&amp;")",ROUND(C30,3)&amp;"")&amp;") = "&amp;IF(ROUND(G52,3)&lt;0,"("&amp;ROUND(G52,3)&amp;")",ROUND(G52,3)&amp;"")</f>
        <v>((-0.39) × 0.7) × 0.668 × (1 − 0.668) = (-0.061)</v>
      </c>
      <c r="D54" s="26"/>
      <c r="E54" s="26"/>
      <c r="F54" s="26"/>
      <c r="G54" s="26"/>
      <c r="H54" s="26"/>
      <c r="I54" s="26"/>
      <c r="J54" s="26"/>
      <c r="K54" s="26"/>
      <c r="L54" s="26"/>
      <c r="M54" s="26"/>
      <c r="N54" s="26"/>
    </row>
    <row r="55" customFormat="false" ht="15.75" hidden="false" customHeight="true" outlineLevel="0" collapsed="false">
      <c r="B55" s="9" t="s">
        <v>402</v>
      </c>
      <c r="C55" s="26" t="str">
        <f aca="false">"("&amp;IF(ROUND(C41,3)&lt;0,"("&amp;ROUND(C41,3)&amp;")",ROUND(C41,3)&amp;"")&amp;" × "&amp;IF(ROUND(L15,3)&lt;0,"("&amp;ROUND(L15,3)&amp;")",ROUND(L15,3)&amp;"")&amp;") × "&amp;IF(ROUND(D30,3)&lt;0,"("&amp;ROUND(D30,3)&amp;")",ROUND(D30,3)&amp;"")&amp;" × (1 − "&amp;IF(ROUND(D30,3)&lt;0,"("&amp;ROUND(D30,3)&amp;")",ROUND(D30,3)&amp;"")&amp;") = "&amp;IF(ROUND(H52,3)&lt;0,"("&amp;ROUND(H52,3)&amp;")",ROUND(H52,3)&amp;"")</f>
        <v>((-0.39) × (-0.4)) × 0.55 × (1 − 0.55) = 0.039</v>
      </c>
      <c r="D55" s="26"/>
      <c r="E55" s="26"/>
      <c r="F55" s="26"/>
      <c r="G55" s="26"/>
      <c r="H55" s="26"/>
      <c r="I55" s="26"/>
      <c r="J55" s="26"/>
      <c r="K55" s="26"/>
      <c r="L55" s="26"/>
      <c r="M55" s="26"/>
      <c r="N55" s="26"/>
    </row>
    <row r="56" customFormat="false" ht="17.25" hidden="false" customHeight="true" outlineLevel="0" collapsed="false">
      <c r="B56" s="61" t="s">
        <v>403</v>
      </c>
      <c r="C56" s="5" t="s">
        <v>404</v>
      </c>
      <c r="D56" s="5"/>
      <c r="E56" s="5"/>
      <c r="F56" s="5"/>
      <c r="G56" s="5"/>
      <c r="H56" s="5"/>
      <c r="I56" s="5"/>
      <c r="J56" s="5"/>
      <c r="K56" s="5"/>
      <c r="L56" s="5"/>
      <c r="M56" s="5"/>
      <c r="N56" s="5"/>
    </row>
    <row r="57" customFormat="false" ht="17.25" hidden="false" customHeight="true" outlineLevel="0" collapsed="false">
      <c r="B57" s="20" t="s">
        <v>405</v>
      </c>
      <c r="C57" s="20"/>
      <c r="D57" s="20"/>
      <c r="F57" s="20" t="s">
        <v>406</v>
      </c>
      <c r="G57" s="20"/>
      <c r="H57" s="20"/>
    </row>
    <row r="58" customFormat="false" ht="15" hidden="false" customHeight="false" outlineLevel="0" collapsed="false">
      <c r="B58" s="15"/>
      <c r="C58" s="21" t="s">
        <v>371</v>
      </c>
      <c r="D58" s="21" t="s">
        <v>372</v>
      </c>
      <c r="F58" s="15"/>
      <c r="G58" s="21" t="s">
        <v>371</v>
      </c>
      <c r="H58" s="21" t="s">
        <v>372</v>
      </c>
    </row>
    <row r="59" customFormat="false" ht="15" hidden="false" customHeight="false" outlineLevel="0" collapsed="false">
      <c r="B59" s="22" t="s">
        <v>366</v>
      </c>
      <c r="C59" s="55" t="n">
        <f aca="false">C9*G52</f>
        <v>-0.060509685249817</v>
      </c>
      <c r="D59" s="55" t="n">
        <f aca="false">C9*H52</f>
        <v>0.0386011477340089</v>
      </c>
      <c r="F59" s="22"/>
      <c r="G59" s="55" t="n">
        <f aca="false">G52</f>
        <v>-0.060509685249817</v>
      </c>
      <c r="H59" s="55" t="n">
        <f aca="false">H52</f>
        <v>0.0386011477340089</v>
      </c>
    </row>
    <row r="60" customFormat="false" ht="15" hidden="false" customHeight="false" outlineLevel="0" collapsed="false">
      <c r="B60" s="22" t="s">
        <v>367</v>
      </c>
      <c r="C60" s="55" t="n">
        <f aca="false">D9*G52</f>
        <v>-0.0302548426249085</v>
      </c>
      <c r="D60" s="55" t="n">
        <f aca="false">D9*H52</f>
        <v>0.0193005738670045</v>
      </c>
    </row>
    <row r="62" customFormat="false" ht="15.75" hidden="false" customHeight="true" outlineLevel="0" collapsed="false">
      <c r="B62" s="9" t="s">
        <v>407</v>
      </c>
      <c r="C62" s="26" t="str">
        <f aca="false">"x1 × δ₁[h2] = "&amp;IF(ROUND(C9,3)&lt;0,"("&amp;ROUND(C9,3)&amp;")",ROUND(C9,3)&amp;"")&amp;" × "&amp;IF(ROUND(H52,3)&lt;0,"("&amp;ROUND(H52,3)&amp;")",ROUND(H52,3)&amp;"")&amp;" = "&amp;IF(ROUND(D59,3)&lt;0,"("&amp;ROUND(D59,3)&amp;")",ROUND(D59,3)&amp;"")</f>
        <v>x1 × δ₁[h2] = 1 × 0.039 = 0.039</v>
      </c>
      <c r="D62" s="26"/>
      <c r="E62" s="26"/>
      <c r="F62" s="26"/>
      <c r="G62" s="26"/>
      <c r="H62" s="26"/>
      <c r="I62" s="26"/>
      <c r="J62" s="26"/>
      <c r="K62" s="26"/>
      <c r="L62" s="26"/>
      <c r="M62" s="26"/>
      <c r="N62" s="26"/>
    </row>
    <row r="63" customFormat="false" ht="21.75" hidden="false" customHeight="true" outlineLevel="0" collapsed="false">
      <c r="B63" s="4" t="s">
        <v>408</v>
      </c>
      <c r="C63" s="4"/>
      <c r="D63" s="4"/>
      <c r="E63" s="4"/>
      <c r="F63" s="4"/>
      <c r="G63" s="4"/>
      <c r="H63" s="4"/>
      <c r="I63" s="4"/>
      <c r="J63" s="4"/>
      <c r="K63" s="4"/>
      <c r="L63" s="4"/>
      <c r="M63" s="4"/>
      <c r="N63" s="4"/>
    </row>
    <row r="64" customFormat="false" ht="15.75" hidden="false" customHeight="true" outlineLevel="0" collapsed="false">
      <c r="B64" s="22" t="s">
        <v>314</v>
      </c>
      <c r="C64" s="49" t="n">
        <v>0.0001</v>
      </c>
    </row>
    <row r="65" customFormat="false" ht="17.25" hidden="false" customHeight="true" outlineLevel="0" collapsed="false">
      <c r="B65" s="10" t="s">
        <v>409</v>
      </c>
      <c r="C65" s="10"/>
      <c r="D65" s="10" t="s">
        <v>410</v>
      </c>
      <c r="E65" s="10"/>
      <c r="F65" s="10" t="s">
        <v>411</v>
      </c>
      <c r="G65" s="10"/>
      <c r="H65" s="10" t="s">
        <v>412</v>
      </c>
      <c r="I65" s="10"/>
      <c r="J65" s="10" t="s">
        <v>172</v>
      </c>
      <c r="K65" s="10" t="s">
        <v>413</v>
      </c>
      <c r="L65" s="10"/>
      <c r="M65" s="10"/>
      <c r="N65" s="10"/>
    </row>
    <row r="66" customFormat="false" ht="17.25" hidden="false" customHeight="true" outlineLevel="0" collapsed="false">
      <c r="B66" s="12" t="s">
        <v>414</v>
      </c>
      <c r="C66" s="12"/>
      <c r="D66" s="62" t="n">
        <f aca="false">C15</f>
        <v>0.5</v>
      </c>
      <c r="E66" s="62"/>
      <c r="F66" s="44" t="n">
        <f aca="false">C59</f>
        <v>-0.060509685249817</v>
      </c>
      <c r="G66" s="44"/>
      <c r="H66" s="43" t="n">
        <f aca="false">((-(C11*LN((1/(1+EXP(-((1/(1+EXP(-(C9*(C15+C64)+D9*C16+G15))))*K15+(1/(1+EXP(-(C9*D15+D9*D16+H15))))*L15+C18)))))+(1-C11)*LN(1-(1/(1+EXP(-((1/(1+EXP(-(C9*(C15+C64)+D9*C16+G15))))*K15+(1/(1+EXP(-(C9*D15+D9*D16+H15))))*L15+C18)))))))-(-(C11*LN((1/(1+EXP(-((1/(1+EXP(-(C9*(C15-C64)+D9*C16+G15))))*K15+(1/(1+EXP(-(C9*D15+D9*D16+H15))))*L15+C18)))))+(1-C11)*LN(1-(1/(1+EXP(-((1/(1+EXP(-(C9*(C15-C64)+D9*C16+G15))))*K15+(1/(1+EXP(-(C9*D15+D9*D16+H15))))*L15+C18))))))))/(2*C64)</f>
        <v>-0.0605096852265841</v>
      </c>
      <c r="I66" s="43"/>
      <c r="J66" s="13" t="str">
        <f aca="false">IF(ABS(F66-H66)&lt;0.000001,"✔","✘")</f>
        <v>✔</v>
      </c>
      <c r="K66" s="63" t="n">
        <f aca="false">D66-C12*F66</f>
        <v>0.530254842624909</v>
      </c>
      <c r="L66" s="63"/>
      <c r="M66" s="63"/>
      <c r="N66" s="63"/>
    </row>
    <row r="67" customFormat="false" ht="17.25" hidden="false" customHeight="true" outlineLevel="0" collapsed="false">
      <c r="B67" s="15" t="s">
        <v>415</v>
      </c>
      <c r="C67" s="15"/>
      <c r="D67" s="64" t="n">
        <f aca="false">D15</f>
        <v>-0.3</v>
      </c>
      <c r="E67" s="64"/>
      <c r="F67" s="46" t="n">
        <f aca="false">D59</f>
        <v>0.0386011477340089</v>
      </c>
      <c r="G67" s="46"/>
      <c r="H67" s="45" t="n">
        <f aca="false">((-(C11*LN((1/(1+EXP(-((1/(1+EXP(-(C9*C15+D9*C16+G15))))*K15+(1/(1+EXP(-(C9*(D15+C64)+D9*D16+H15))))*L15+C18)))))+(1-C11)*LN(1-(1/(1+EXP(-((1/(1+EXP(-(C9*C15+D9*C16+G15))))*K15+(1/(1+EXP(-(C9*(D15+C64)+D9*D16+H15))))*L15+C18)))))))-(-(C11*LN((1/(1+EXP(-((1/(1+EXP(-(C9*C15+D9*C16+G15))))*K15+(1/(1+EXP(-(C9*(D15-C64)+D9*D16+H15))))*L15+C18)))))+(1-C11)*LN(1-(1/(1+EXP(-((1/(1+EXP(-(C9*C15+D9*C16+G15))))*K15+(1/(1+EXP(-(C9*(D15-C64)+D9*D16+H15))))*L15+C18))))))))/(2*C64)</f>
        <v>0.0386011477013226</v>
      </c>
      <c r="I67" s="45"/>
      <c r="J67" s="16" t="str">
        <f aca="false">IF(ABS(F67-H67)&lt;0.000001,"✔","✘")</f>
        <v>✔</v>
      </c>
      <c r="K67" s="63" t="n">
        <f aca="false">D67-C12*F67</f>
        <v>-0.319300573867004</v>
      </c>
      <c r="L67" s="63"/>
      <c r="M67" s="63"/>
      <c r="N67" s="63"/>
    </row>
    <row r="68" customFormat="false" ht="17.25" hidden="false" customHeight="true" outlineLevel="0" collapsed="false">
      <c r="B68" s="12" t="s">
        <v>416</v>
      </c>
      <c r="C68" s="12"/>
      <c r="D68" s="62" t="n">
        <f aca="false">C16</f>
        <v>0.2</v>
      </c>
      <c r="E68" s="62"/>
      <c r="F68" s="44" t="n">
        <f aca="false">C60</f>
        <v>-0.0302548426249085</v>
      </c>
      <c r="G68" s="44"/>
      <c r="H68" s="43" t="n">
        <f aca="false">((-(C11*LN((1/(1+EXP(-((1/(1+EXP(-(C9*C15+D9*(C16+C64)+G15))))*K15+(1/(1+EXP(-(C9*D15+D9*D16+H15))))*L15+C18)))))+(1-C11)*LN(1-(1/(1+EXP(-((1/(1+EXP(-(C9*C15+D9*(C16+C64)+G15))))*K15+(1/(1+EXP(-(C9*D15+D9*D16+H15))))*L15+C18)))))))-(-(C11*LN((1/(1+EXP(-((1/(1+EXP(-(C9*C15+D9*(C16-C64)+G15))))*K15+(1/(1+EXP(-(C9*D15+D9*D16+H15))))*L15+C18)))))+(1-C11)*LN(1-(1/(1+EXP(-((1/(1+EXP(-(C9*C15+D9*(C16-C64)+G15))))*K15+(1/(1+EXP(-(C9*D15+D9*D16+H15))))*L15+C18))))))))/(2*C64)</f>
        <v>-0.030254842622035</v>
      </c>
      <c r="I68" s="43"/>
      <c r="J68" s="13" t="str">
        <f aca="false">IF(ABS(F68-H68)&lt;0.000001,"✔","✘")</f>
        <v>✔</v>
      </c>
      <c r="K68" s="63" t="n">
        <f aca="false">D68-C12*F68</f>
        <v>0.215127421312454</v>
      </c>
      <c r="L68" s="63"/>
      <c r="M68" s="63"/>
      <c r="N68" s="63"/>
    </row>
    <row r="69" customFormat="false" ht="17.25" hidden="false" customHeight="true" outlineLevel="0" collapsed="false">
      <c r="B69" s="15" t="s">
        <v>417</v>
      </c>
      <c r="C69" s="15"/>
      <c r="D69" s="64" t="n">
        <f aca="false">D16</f>
        <v>0.8</v>
      </c>
      <c r="E69" s="64"/>
      <c r="F69" s="46" t="n">
        <f aca="false">D60</f>
        <v>0.0193005738670045</v>
      </c>
      <c r="G69" s="46"/>
      <c r="H69" s="45" t="n">
        <f aca="false">((-(C11*LN((1/(1+EXP(-((1/(1+EXP(-(C9*C15+D9*C16+G15))))*K15+(1/(1+EXP(-(C9*D15+D9*(D16+C64)+H15))))*L15+C18)))))+(1-C11)*LN(1-(1/(1+EXP(-((1/(1+EXP(-(C9*C15+D9*C16+G15))))*K15+(1/(1+EXP(-(C9*D15+D9*(D16+C64)+H15))))*L15+C18)))))))-(-(C11*LN((1/(1+EXP(-((1/(1+EXP(-(C9*C15+D9*C16+G15))))*K15+(1/(1+EXP(-(C9*D15+D9*(D16-C64)+H15))))*L15+C18)))))+(1-C11)*LN(1-(1/(1+EXP(-((1/(1+EXP(-(C9*C15+D9*C16+G15))))*K15+(1/(1+EXP(-(C9*D15+D9*(D16-C64)+H15))))*L15+C18))))))))/(2*C64)</f>
        <v>0.0193005738630125</v>
      </c>
      <c r="I69" s="45"/>
      <c r="J69" s="16" t="str">
        <f aca="false">IF(ABS(F69-H69)&lt;0.000001,"✔","✘")</f>
        <v>✔</v>
      </c>
      <c r="K69" s="63" t="n">
        <f aca="false">D69-C12*F69</f>
        <v>0.790349713066498</v>
      </c>
      <c r="L69" s="63"/>
      <c r="M69" s="63"/>
      <c r="N69" s="63"/>
    </row>
    <row r="70" customFormat="false" ht="17.25" hidden="false" customHeight="true" outlineLevel="0" collapsed="false">
      <c r="B70" s="12" t="s">
        <v>418</v>
      </c>
      <c r="C70" s="12"/>
      <c r="D70" s="62" t="n">
        <f aca="false">G15</f>
        <v>0.1</v>
      </c>
      <c r="E70" s="62"/>
      <c r="F70" s="44" t="n">
        <f aca="false">G59</f>
        <v>-0.060509685249817</v>
      </c>
      <c r="G70" s="44"/>
      <c r="H70" s="43" t="n">
        <f aca="false">((-(C11*LN((1/(1+EXP(-((1/(1+EXP(-(C9*C15+D9*C16+(G15+C64)))))*K15+(1/(1+EXP(-(C9*D15+D9*D16+H15))))*L15+C18)))))+(1-C11)*LN(1-(1/(1+EXP(-((1/(1+EXP(-(C9*C15+D9*C16+(G15+C64)))))*K15+(1/(1+EXP(-(C9*D15+D9*D16+H15))))*L15+C18)))))))-(-(C11*LN((1/(1+EXP(-((1/(1+EXP(-(C9*C15+D9*C16+(G15-C64)))))*K15+(1/(1+EXP(-(C9*D15+D9*D16+H15))))*L15+C18)))))+(1-C11)*LN(1-(1/(1+EXP(-((1/(1+EXP(-(C9*C15+D9*C16+(G15-C64)))))*K15+(1/(1+EXP(-(C9*D15+D9*D16+H15))))*L15+C18))))))))/(2*C64)</f>
        <v>-0.0605096852265841</v>
      </c>
      <c r="I70" s="43"/>
      <c r="J70" s="13" t="str">
        <f aca="false">IF(ABS(F70-H70)&lt;0.000001,"✔","✘")</f>
        <v>✔</v>
      </c>
      <c r="K70" s="63" t="n">
        <f aca="false">D70-C12*F70</f>
        <v>0.130254842624909</v>
      </c>
      <c r="L70" s="63"/>
      <c r="M70" s="63"/>
      <c r="N70" s="63"/>
    </row>
    <row r="71" customFormat="false" ht="17.25" hidden="false" customHeight="true" outlineLevel="0" collapsed="false">
      <c r="B71" s="15" t="s">
        <v>419</v>
      </c>
      <c r="C71" s="15"/>
      <c r="D71" s="64" t="n">
        <f aca="false">H15</f>
        <v>0.1</v>
      </c>
      <c r="E71" s="64"/>
      <c r="F71" s="46" t="n">
        <f aca="false">H59</f>
        <v>0.0386011477340089</v>
      </c>
      <c r="G71" s="46"/>
      <c r="H71" s="45" t="n">
        <f aca="false">((-(C11*LN((1/(1+EXP(-((1/(1+EXP(-(C9*C15+D9*C16+G15))))*K15+(1/(1+EXP(-(C9*D15+D9*D16+(H15+C64)))))*L15+C18)))))+(1-C11)*LN(1-(1/(1+EXP(-((1/(1+EXP(-(C9*C15+D9*C16+G15))))*K15+(1/(1+EXP(-(C9*D15+D9*D16+(H15+C64)))))*L15+C18)))))))-(-(C11*LN((1/(1+EXP(-((1/(1+EXP(-(C9*C15+D9*C16+G15))))*K15+(1/(1+EXP(-(C9*D15+D9*D16+(H15-C64)))))*L15+C18)))))+(1-C11)*LN(1-(1/(1+EXP(-((1/(1+EXP(-(C9*C15+D9*C16+G15))))*K15+(1/(1+EXP(-(C9*D15+D9*D16+(H15-C64)))))*L15+C18))))))))/(2*C64)</f>
        <v>0.0386011477013226</v>
      </c>
      <c r="I71" s="45"/>
      <c r="J71" s="16" t="str">
        <f aca="false">IF(ABS(F71-H71)&lt;0.000001,"✔","✘")</f>
        <v>✔</v>
      </c>
      <c r="K71" s="63" t="n">
        <f aca="false">D71-C12*F71</f>
        <v>0.0806994261329955</v>
      </c>
      <c r="L71" s="63"/>
      <c r="M71" s="63"/>
      <c r="N71" s="63"/>
    </row>
    <row r="72" customFormat="false" ht="17.25" hidden="false" customHeight="true" outlineLevel="0" collapsed="false">
      <c r="B72" s="12" t="s">
        <v>420</v>
      </c>
      <c r="C72" s="12"/>
      <c r="D72" s="62" t="n">
        <f aca="false">K15</f>
        <v>0.7</v>
      </c>
      <c r="E72" s="62"/>
      <c r="F72" s="44" t="n">
        <f aca="false">C45</f>
        <v>-0.260516039642603</v>
      </c>
      <c r="G72" s="44"/>
      <c r="H72" s="43" t="n">
        <f aca="false">((-(C11*LN((1/(1+EXP(-((1/(1+EXP(-(C9*C15+D9*C16+G15))))*(K15+C64)+(1/(1+EXP(-(C9*D15+D9*D16+H15))))*L15+C18)))))+(1-C11)*LN(1-(1/(1+EXP(-((1/(1+EXP(-(C9*C15+D9*C16+G15))))*(K15+C64)+(1/(1+EXP(-(C9*D15+D9*D16+H15))))*L15+C18)))))))-(-(C11*LN((1/(1+EXP(-((1/(1+EXP(-(C9*C15+D9*C16+G15))))*(K15-C64)+(1/(1+EXP(-(C9*D15+D9*D16+H15))))*L15+C18)))))+(1-C11)*LN(1-(1/(1+EXP(-((1/(1+EXP(-(C9*C15+D9*C16+G15))))*(K15-C64)+(1/(1+EXP(-(C9*D15+D9*D16+H15))))*L15+C18))))))))/(2*C64)</f>
        <v>-0.260516039667646</v>
      </c>
      <c r="I72" s="43"/>
      <c r="J72" s="13" t="str">
        <f aca="false">IF(ABS(F72-H72)&lt;0.000001,"✔","✘")</f>
        <v>✔</v>
      </c>
      <c r="K72" s="63" t="n">
        <f aca="false">D72-C12*F72</f>
        <v>0.830258019821302</v>
      </c>
      <c r="L72" s="63"/>
      <c r="M72" s="63"/>
      <c r="N72" s="63"/>
    </row>
    <row r="73" customFormat="false" ht="17.25" hidden="false" customHeight="true" outlineLevel="0" collapsed="false">
      <c r="B73" s="15" t="s">
        <v>421</v>
      </c>
      <c r="C73" s="15"/>
      <c r="D73" s="64" t="n">
        <f aca="false">L15</f>
        <v>-0.4</v>
      </c>
      <c r="E73" s="64"/>
      <c r="F73" s="46" t="n">
        <f aca="false">D45</f>
        <v>-0.214371740111189</v>
      </c>
      <c r="G73" s="46"/>
      <c r="H73" s="45" t="n">
        <f aca="false">((-(C11*LN((1/(1+EXP(-((1/(1+EXP(-(C9*C15+D9*C16+G15))))*K15+(1/(1+EXP(-(C9*D15+D9*D16+H15))))*(L15+C64)+C18)))))+(1-C11)*LN(1-(1/(1+EXP(-((1/(1+EXP(-(C9*C15+D9*C16+G15))))*K15+(1/(1+EXP(-(C9*D15+D9*D16+H15))))*(L15+C64)+C18)))))))-(-(C11*LN((1/(1+EXP(-((1/(1+EXP(-(C9*C15+D9*C16+G15))))*K15+(1/(1+EXP(-(C9*D15+D9*D16+H15))))*(L15-C64)+C18)))))+(1-C11)*LN(1-(1/(1+EXP(-((1/(1+EXP(-(C9*C15+D9*C16+G15))))*K15+(1/(1+EXP(-(C9*D15+D9*D16+H15))))*(L15-C64)+C18))))))))/(2*C64)</f>
        <v>-0.214371740125119</v>
      </c>
      <c r="I73" s="45"/>
      <c r="J73" s="16" t="str">
        <f aca="false">IF(ABS(F73-H73)&lt;0.000001,"✔","✘")</f>
        <v>✔</v>
      </c>
      <c r="K73" s="63" t="n">
        <f aca="false">D73-C12*F73</f>
        <v>-0.292814129944405</v>
      </c>
      <c r="L73" s="63"/>
      <c r="M73" s="63"/>
      <c r="N73" s="63"/>
    </row>
    <row r="74" customFormat="false" ht="17.25" hidden="false" customHeight="true" outlineLevel="0" collapsed="false">
      <c r="B74" s="12" t="s">
        <v>422</v>
      </c>
      <c r="C74" s="12"/>
      <c r="D74" s="62" t="n">
        <f aca="false">C18</f>
        <v>0.2</v>
      </c>
      <c r="E74" s="62"/>
      <c r="F74" s="44" t="n">
        <f aca="false">C47</f>
        <v>-0.389884476331061</v>
      </c>
      <c r="G74" s="44"/>
      <c r="H74" s="43" t="n">
        <f aca="false">((-(C11*LN((1/(1+EXP(-((1/(1+EXP(-(C9*C15+D9*C16+G15))))*K15+(1/(1+EXP(-(C9*D15+D9*D16+H15))))*L15+(C18+C64))))))+(1-C11)*LN(1-(1/(1+EXP(-((1/(1+EXP(-(C9*C15+D9*C16+G15))))*K15+(1/(1+EXP(-(C9*D15+D9*D16+H15))))*L15+(C18+C64))))))))-(-(C11*LN((1/(1+EXP(-((1/(1+EXP(-(C9*C15+D9*C16+G15))))*K15+(1/(1+EXP(-(C9*D15+D9*D16+H15))))*L15+(C18-C64))))))+(1-C11)*LN(1-(1/(1+EXP(-((1/(1+EXP(-(C9*C15+D9*C16+G15))))*K15+(1/(1+EXP(-(C9*D15+D9*D16+H15))))*L15+(C18-C64)))))))))/(2*C64)</f>
        <v>-0.389884476419411</v>
      </c>
      <c r="I74" s="43"/>
      <c r="J74" s="13" t="str">
        <f aca="false">IF(ABS(F74-H74)&lt;0.000001,"✔","✘")</f>
        <v>✔</v>
      </c>
      <c r="K74" s="63" t="n">
        <f aca="false">D74-C12*F74</f>
        <v>0.39494223816553</v>
      </c>
      <c r="L74" s="63"/>
      <c r="M74" s="63"/>
      <c r="N74" s="63"/>
    </row>
    <row r="75" customFormat="false" ht="21.75" hidden="false" customHeight="true" outlineLevel="0" collapsed="false">
      <c r="B75" s="4" t="s">
        <v>423</v>
      </c>
      <c r="C75" s="4"/>
      <c r="D75" s="4"/>
      <c r="E75" s="4"/>
      <c r="F75" s="4"/>
      <c r="G75" s="4"/>
      <c r="H75" s="4"/>
      <c r="I75" s="4"/>
      <c r="J75" s="4"/>
      <c r="K75" s="4"/>
      <c r="L75" s="4"/>
      <c r="M75" s="4"/>
      <c r="N75" s="4"/>
    </row>
    <row r="76" customFormat="false" ht="15.75" hidden="false" customHeight="true" outlineLevel="0" collapsed="false">
      <c r="B76" s="22" t="s">
        <v>424</v>
      </c>
      <c r="C76" s="55" t="n">
        <f aca="false">(-(C11*LN((1/(1+EXP(-((1/(1+EXP(-(C9*K66+D9*K68+K70))))*K72+(1/(1+EXP(-(C9*K67+D9*K69+K71))))*K73+K74)))))+(1-C11)*LN(1-(1/(1+EXP(-((1/(1+EXP(-(C9*K66+D9*K68+K70))))*K72+(1/(1+EXP(-(C9*K67+D9*K69+K71))))*K73+K74)))))))</f>
        <v>0.369785191237593</v>
      </c>
    </row>
    <row r="77" customFormat="false" ht="17.25" hidden="false" customHeight="true" outlineLevel="0" collapsed="false">
      <c r="B77" s="22" t="s">
        <v>425</v>
      </c>
      <c r="C77" s="65" t="n">
        <f aca="false">C76-C38</f>
        <v>-0.12432176544406</v>
      </c>
      <c r="D77" s="38" t="s">
        <v>426</v>
      </c>
      <c r="E77" s="38"/>
      <c r="F77" s="38"/>
      <c r="G77" s="38"/>
      <c r="H77" s="38"/>
      <c r="I77" s="38"/>
      <c r="J77" s="38"/>
      <c r="K77" s="38"/>
      <c r="L77" s="38"/>
      <c r="M77" s="38"/>
      <c r="N77" s="38"/>
    </row>
    <row r="78" customFormat="false" ht="17.25" hidden="false" customHeight="true" outlineLevel="0" collapsed="false">
      <c r="B78" s="34" t="s">
        <v>427</v>
      </c>
      <c r="C78" s="34"/>
      <c r="D78" s="34"/>
      <c r="E78" s="34"/>
      <c r="F78" s="34"/>
      <c r="G78" s="34"/>
      <c r="H78" s="34"/>
      <c r="I78" s="34"/>
      <c r="J78" s="34"/>
      <c r="K78" s="34"/>
      <c r="L78" s="34"/>
      <c r="M78" s="34"/>
      <c r="N78" s="34"/>
    </row>
    <row r="79" customFormat="false" ht="17.25" hidden="false" customHeight="true" outlineLevel="0" collapsed="false">
      <c r="B79" s="10" t="s">
        <v>428</v>
      </c>
      <c r="C79" s="10"/>
      <c r="D79" s="10" t="s">
        <v>429</v>
      </c>
      <c r="E79" s="10"/>
      <c r="F79" s="10"/>
      <c r="G79" s="10"/>
      <c r="H79" s="10"/>
      <c r="I79" s="10" t="s">
        <v>430</v>
      </c>
      <c r="J79" s="10" t="s">
        <v>431</v>
      </c>
      <c r="K79" s="10"/>
      <c r="L79" s="10"/>
      <c r="M79" s="10"/>
      <c r="N79" s="10"/>
    </row>
    <row r="80" customFormat="false" ht="17.25" hidden="false" customHeight="true" outlineLevel="0" collapsed="false">
      <c r="B80" s="18" t="s">
        <v>432</v>
      </c>
      <c r="C80" s="18"/>
      <c r="D80" s="12" t="s">
        <v>74</v>
      </c>
      <c r="E80" s="12"/>
      <c r="F80" s="12"/>
      <c r="G80" s="12"/>
      <c r="H80" s="12"/>
      <c r="I80" s="13" t="s">
        <v>58</v>
      </c>
      <c r="J80" s="66" t="str">
        <f aca="false">"["&amp;IF(ROUND(C9,3)&lt;0,"("&amp;ROUND(C9,3)&amp;")",ROUND(C9,3)&amp;"")&amp;", "&amp;IF(ROUND(D9,3)&lt;0,"("&amp;ROUND(D9,3)&amp;")",ROUND(D9,3)&amp;"")&amp;"]"</f>
        <v>[1, 0.5]</v>
      </c>
      <c r="K80" s="66"/>
      <c r="L80" s="66"/>
      <c r="M80" s="66"/>
      <c r="N80" s="66"/>
    </row>
    <row r="81" customFormat="false" ht="17.25" hidden="false" customHeight="true" outlineLevel="0" collapsed="false">
      <c r="B81" s="9" t="s">
        <v>433</v>
      </c>
      <c r="C81" s="9"/>
      <c r="D81" s="15" t="s">
        <v>434</v>
      </c>
      <c r="E81" s="15"/>
      <c r="F81" s="15"/>
      <c r="G81" s="15"/>
      <c r="H81" s="15"/>
      <c r="I81" s="16" t="s">
        <v>58</v>
      </c>
      <c r="J81" s="22" t="str">
        <f aca="false">"["&amp;IF(ROUND(C23,3)&lt;0,"("&amp;ROUND(C23,3)&amp;")",ROUND(C23,3)&amp;"")&amp;", "&amp;IF(ROUND(D23,3)&lt;0,"("&amp;ROUND(D23,3)&amp;")",ROUND(D23,3)&amp;"")&amp;"]"</f>
        <v>[0.7, 0.2]</v>
      </c>
      <c r="K81" s="22"/>
      <c r="L81" s="22"/>
      <c r="M81" s="22"/>
      <c r="N81" s="22"/>
    </row>
    <row r="82" customFormat="false" ht="17.25" hidden="false" customHeight="true" outlineLevel="0" collapsed="false">
      <c r="B82" s="18" t="s">
        <v>435</v>
      </c>
      <c r="C82" s="18"/>
      <c r="D82" s="12" t="s">
        <v>436</v>
      </c>
      <c r="E82" s="12"/>
      <c r="F82" s="12"/>
      <c r="G82" s="12"/>
      <c r="H82" s="12"/>
      <c r="I82" s="13" t="s">
        <v>58</v>
      </c>
      <c r="J82" s="66" t="str">
        <f aca="false">"["&amp;IF(ROUND(C30,3)&lt;0,"("&amp;ROUND(C30,3)&amp;")",ROUND(C30,3)&amp;"")&amp;", "&amp;IF(ROUND(D30,3)&lt;0,"("&amp;ROUND(D30,3)&amp;")",ROUND(D30,3)&amp;"")&amp;"]"</f>
        <v>[0.668, 0.55]</v>
      </c>
      <c r="K82" s="66"/>
      <c r="L82" s="66"/>
      <c r="M82" s="66"/>
      <c r="N82" s="66"/>
    </row>
    <row r="83" customFormat="false" ht="17.25" hidden="false" customHeight="true" outlineLevel="0" collapsed="false">
      <c r="B83" s="9" t="s">
        <v>437</v>
      </c>
      <c r="C83" s="9"/>
      <c r="D83" s="15" t="s">
        <v>438</v>
      </c>
      <c r="E83" s="15"/>
      <c r="F83" s="15"/>
      <c r="G83" s="15"/>
      <c r="H83" s="15"/>
      <c r="I83" s="16" t="s">
        <v>54</v>
      </c>
      <c r="J83" s="22" t="str">
        <f aca="false">IF(ROUND(C34,3)&lt;0,"("&amp;ROUND(C34,3)&amp;")",ROUND(C34,3)&amp;"")</f>
        <v>0.448</v>
      </c>
      <c r="K83" s="22"/>
      <c r="L83" s="22"/>
      <c r="M83" s="22"/>
      <c r="N83" s="22"/>
    </row>
    <row r="84" customFormat="false" ht="17.25" hidden="false" customHeight="true" outlineLevel="0" collapsed="false">
      <c r="B84" s="18" t="s">
        <v>439</v>
      </c>
      <c r="C84" s="18"/>
      <c r="D84" s="12" t="s">
        <v>440</v>
      </c>
      <c r="E84" s="12"/>
      <c r="F84" s="12"/>
      <c r="G84" s="12"/>
      <c r="H84" s="12"/>
      <c r="I84" s="13" t="s">
        <v>441</v>
      </c>
      <c r="J84" s="66" t="str">
        <f aca="false">IF(ROUND(C37,3)&lt;0,"("&amp;ROUND(C37,3)&amp;")",ROUND(C37,3)&amp;"")&amp;"  →  L = "&amp;IF(ROUND(C38,3)&lt;0,"("&amp;ROUND(C38,3)&amp;")",ROUND(C38,3)&amp;"")</f>
        <v>0.61  →  L = 0.494</v>
      </c>
      <c r="K84" s="66"/>
      <c r="L84" s="66"/>
      <c r="M84" s="66"/>
      <c r="N84" s="66"/>
    </row>
    <row r="85" customFormat="false" ht="17.25" hidden="false" customHeight="true" outlineLevel="0" collapsed="false">
      <c r="B85" s="9" t="s">
        <v>442</v>
      </c>
      <c r="C85" s="9"/>
      <c r="D85" s="15" t="s">
        <v>443</v>
      </c>
      <c r="E85" s="15"/>
      <c r="F85" s="15"/>
      <c r="G85" s="15"/>
      <c r="H85" s="15"/>
      <c r="I85" s="16" t="s">
        <v>54</v>
      </c>
      <c r="J85" s="22" t="str">
        <f aca="false">IF(ROUND(C41,3)&lt;0,"("&amp;ROUND(C41,3)&amp;")",ROUND(C41,3)&amp;"")</f>
        <v>(-0.39)</v>
      </c>
      <c r="K85" s="22"/>
      <c r="L85" s="22"/>
      <c r="M85" s="22"/>
      <c r="N85" s="22"/>
    </row>
    <row r="86" customFormat="false" ht="17.25" hidden="false" customHeight="true" outlineLevel="0" collapsed="false">
      <c r="B86" s="18" t="s">
        <v>444</v>
      </c>
      <c r="C86" s="18"/>
      <c r="D86" s="12" t="s">
        <v>445</v>
      </c>
      <c r="E86" s="12"/>
      <c r="F86" s="12"/>
      <c r="G86" s="12"/>
      <c r="H86" s="12"/>
      <c r="I86" s="13" t="s">
        <v>446</v>
      </c>
      <c r="J86" s="66" t="str">
        <f aca="false">"["&amp;IF(ROUND(C45,3)&lt;0,"("&amp;ROUND(C45,3)&amp;")",ROUND(C45,3)&amp;"")&amp;", "&amp;IF(ROUND(D45,3)&lt;0,"("&amp;ROUND(D45,3)&amp;")",ROUND(D45,3)&amp;"")&amp;"]"&amp;", b₂: "&amp;IF(ROUND(C47,3)&lt;0,"("&amp;ROUND(C47,3)&amp;")",ROUND(C47,3)&amp;"")</f>
        <v>[(-0.261), (-0.214)], b₂: (-0.39)</v>
      </c>
      <c r="K86" s="66"/>
      <c r="L86" s="66"/>
      <c r="M86" s="66"/>
      <c r="N86" s="66"/>
    </row>
    <row r="87" customFormat="false" ht="17.25" hidden="false" customHeight="true" outlineLevel="0" collapsed="false">
      <c r="B87" s="9" t="s">
        <v>447</v>
      </c>
      <c r="C87" s="9"/>
      <c r="D87" s="15" t="s">
        <v>448</v>
      </c>
      <c r="E87" s="15"/>
      <c r="F87" s="15"/>
      <c r="G87" s="15"/>
      <c r="H87" s="15"/>
      <c r="I87" s="16" t="s">
        <v>58</v>
      </c>
      <c r="J87" s="22" t="str">
        <f aca="false">"["&amp;IF(ROUND(G52,3)&lt;0,"("&amp;ROUND(G52,3)&amp;")",ROUND(G52,3)&amp;"")&amp;", "&amp;IF(ROUND(H52,3)&lt;0,"("&amp;ROUND(H52,3)&amp;")",ROUND(H52,3)&amp;"")&amp;"]"</f>
        <v>[(-0.061), 0.039]</v>
      </c>
      <c r="K87" s="22"/>
      <c r="L87" s="22"/>
      <c r="M87" s="22"/>
      <c r="N87" s="22"/>
    </row>
    <row r="88" customFormat="false" ht="17.25" hidden="false" customHeight="true" outlineLevel="0" collapsed="false">
      <c r="B88" s="18" t="s">
        <v>449</v>
      </c>
      <c r="C88" s="18"/>
      <c r="D88" s="12" t="s">
        <v>450</v>
      </c>
      <c r="E88" s="12"/>
      <c r="F88" s="12"/>
      <c r="G88" s="12"/>
      <c r="H88" s="12"/>
      <c r="I88" s="13" t="s">
        <v>451</v>
      </c>
      <c r="J88" s="66" t="str">
        <f aca="false">"["&amp;IF(ROUND(C59,3)&lt;0,"("&amp;ROUND(C59,3)&amp;")",ROUND(C59,3)&amp;"")&amp;", "&amp;IF(ROUND(D59,3)&lt;0,"("&amp;ROUND(D59,3)&amp;")",ROUND(D59,3)&amp;"")&amp;"; "&amp;IF(ROUND(C60,3)&lt;0,"("&amp;ROUND(C60,3)&amp;")",ROUND(C60,3)&amp;"")&amp;", "&amp;IF(ROUND(D60,3)&lt;0,"("&amp;ROUND(D60,3)&amp;")",ROUND(D60,3)&amp;"")&amp;"]"</f>
        <v>[(-0.061), 0.039; (-0.03), 0.019]</v>
      </c>
      <c r="K88" s="66"/>
      <c r="L88" s="66"/>
      <c r="M88" s="66"/>
      <c r="N88" s="66"/>
    </row>
    <row r="89" customFormat="false" ht="17.25" hidden="false" customHeight="true" outlineLevel="0" collapsed="false">
      <c r="B89" s="9" t="s">
        <v>452</v>
      </c>
      <c r="C89" s="9"/>
      <c r="D89" s="15" t="s">
        <v>453</v>
      </c>
      <c r="E89" s="15"/>
      <c r="F89" s="15"/>
      <c r="G89" s="15"/>
      <c r="H89" s="15"/>
      <c r="I89" s="16" t="s">
        <v>454</v>
      </c>
      <c r="J89" s="22" t="str">
        <f aca="false">"loss "&amp;IF(ROUND(C38,3)&lt;0,"("&amp;ROUND(C38,3)&amp;")",ROUND(C38,3)&amp;"")&amp;" → "&amp;IF(ROUND(C76,3)&lt;0,"("&amp;ROUND(C76,3)&amp;")",ROUND(C76,3)&amp;"")</f>
        <v>loss 0.494 → 0.37</v>
      </c>
      <c r="K89" s="22"/>
      <c r="L89" s="22"/>
      <c r="M89" s="22"/>
      <c r="N89" s="22"/>
    </row>
    <row r="90" customFormat="false" ht="31.5" hidden="false" customHeight="true" outlineLevel="0" collapsed="false">
      <c r="B90" s="5" t="s">
        <v>455</v>
      </c>
      <c r="C90" s="5"/>
      <c r="D90" s="5"/>
      <c r="E90" s="5"/>
      <c r="F90" s="5"/>
      <c r="G90" s="5"/>
      <c r="H90" s="5"/>
      <c r="I90" s="5"/>
      <c r="J90" s="5"/>
      <c r="K90" s="5"/>
      <c r="L90" s="5"/>
      <c r="M90" s="5"/>
      <c r="N90" s="5"/>
    </row>
    <row r="91" customFormat="false" ht="17.25" hidden="false" customHeight="true" outlineLevel="0" collapsed="false">
      <c r="B91" s="32" t="s">
        <v>456</v>
      </c>
      <c r="C91" s="32"/>
      <c r="D91" s="32"/>
      <c r="E91" s="32"/>
      <c r="F91" s="32"/>
      <c r="G91" s="32"/>
      <c r="H91" s="32"/>
      <c r="I91" s="32"/>
      <c r="J91" s="32"/>
      <c r="K91" s="32"/>
      <c r="L91" s="32"/>
      <c r="M91" s="32"/>
      <c r="N91" s="32"/>
    </row>
  </sheetData>
  <mergeCells count="123">
    <mergeCell ref="B1:N1"/>
    <mergeCell ref="B2:N2"/>
    <mergeCell ref="B4:N4"/>
    <mergeCell ref="B5:N5"/>
    <mergeCell ref="B6:N6"/>
    <mergeCell ref="B7:D7"/>
    <mergeCell ref="B13:D13"/>
    <mergeCell ref="F13:H13"/>
    <mergeCell ref="J13:L13"/>
    <mergeCell ref="B19:N19"/>
    <mergeCell ref="C20:N20"/>
    <mergeCell ref="B21:D21"/>
    <mergeCell ref="C25:N25"/>
    <mergeCell ref="C26:N26"/>
    <mergeCell ref="C27:N27"/>
    <mergeCell ref="B28:D28"/>
    <mergeCell ref="C32:N32"/>
    <mergeCell ref="C33:N33"/>
    <mergeCell ref="C35:N35"/>
    <mergeCell ref="C36:N36"/>
    <mergeCell ref="B39:N39"/>
    <mergeCell ref="C40:N40"/>
    <mergeCell ref="C42:N42"/>
    <mergeCell ref="B43:D43"/>
    <mergeCell ref="C48:N48"/>
    <mergeCell ref="C49:N49"/>
    <mergeCell ref="B50:D50"/>
    <mergeCell ref="F50:H50"/>
    <mergeCell ref="C54:N54"/>
    <mergeCell ref="C55:N55"/>
    <mergeCell ref="C56:N56"/>
    <mergeCell ref="B57:D57"/>
    <mergeCell ref="F57:H57"/>
    <mergeCell ref="C62:N62"/>
    <mergeCell ref="B63:N63"/>
    <mergeCell ref="B65:C65"/>
    <mergeCell ref="D65:E65"/>
    <mergeCell ref="F65:G65"/>
    <mergeCell ref="H65:I65"/>
    <mergeCell ref="K65:N65"/>
    <mergeCell ref="B66:C66"/>
    <mergeCell ref="D66:E66"/>
    <mergeCell ref="F66:G66"/>
    <mergeCell ref="H66:I66"/>
    <mergeCell ref="K66:N66"/>
    <mergeCell ref="B67:C67"/>
    <mergeCell ref="D67:E67"/>
    <mergeCell ref="F67:G67"/>
    <mergeCell ref="H67:I67"/>
    <mergeCell ref="K67:N67"/>
    <mergeCell ref="B68:C68"/>
    <mergeCell ref="D68:E68"/>
    <mergeCell ref="F68:G68"/>
    <mergeCell ref="H68:I68"/>
    <mergeCell ref="K68:N68"/>
    <mergeCell ref="B69:C69"/>
    <mergeCell ref="D69:E69"/>
    <mergeCell ref="F69:G69"/>
    <mergeCell ref="H69:I69"/>
    <mergeCell ref="K69:N69"/>
    <mergeCell ref="B70:C70"/>
    <mergeCell ref="D70:E70"/>
    <mergeCell ref="F70:G70"/>
    <mergeCell ref="H70:I70"/>
    <mergeCell ref="K70:N70"/>
    <mergeCell ref="B71:C71"/>
    <mergeCell ref="D71:E71"/>
    <mergeCell ref="F71:G71"/>
    <mergeCell ref="H71:I71"/>
    <mergeCell ref="K71:N71"/>
    <mergeCell ref="B72:C72"/>
    <mergeCell ref="D72:E72"/>
    <mergeCell ref="F72:G72"/>
    <mergeCell ref="H72:I72"/>
    <mergeCell ref="K72:N72"/>
    <mergeCell ref="B73:C73"/>
    <mergeCell ref="D73:E73"/>
    <mergeCell ref="F73:G73"/>
    <mergeCell ref="H73:I73"/>
    <mergeCell ref="K73:N73"/>
    <mergeCell ref="B74:C74"/>
    <mergeCell ref="D74:E74"/>
    <mergeCell ref="F74:G74"/>
    <mergeCell ref="H74:I74"/>
    <mergeCell ref="K74:N74"/>
    <mergeCell ref="B75:N75"/>
    <mergeCell ref="D77:N77"/>
    <mergeCell ref="B78:N78"/>
    <mergeCell ref="B79:C79"/>
    <mergeCell ref="D79:H79"/>
    <mergeCell ref="J79:N79"/>
    <mergeCell ref="B80:C80"/>
    <mergeCell ref="D80:H80"/>
    <mergeCell ref="J80:N80"/>
    <mergeCell ref="B81:C81"/>
    <mergeCell ref="D81:H81"/>
    <mergeCell ref="J81:N81"/>
    <mergeCell ref="B82:C82"/>
    <mergeCell ref="D82:H82"/>
    <mergeCell ref="J82:N82"/>
    <mergeCell ref="B83:C83"/>
    <mergeCell ref="D83:H83"/>
    <mergeCell ref="J83:N83"/>
    <mergeCell ref="B84:C84"/>
    <mergeCell ref="D84:H84"/>
    <mergeCell ref="J84:N84"/>
    <mergeCell ref="B85:C85"/>
    <mergeCell ref="D85:H85"/>
    <mergeCell ref="J85:N85"/>
    <mergeCell ref="B86:C86"/>
    <mergeCell ref="D86:H86"/>
    <mergeCell ref="J86:N86"/>
    <mergeCell ref="B87:C87"/>
    <mergeCell ref="D87:H87"/>
    <mergeCell ref="J87:N87"/>
    <mergeCell ref="B88:C88"/>
    <mergeCell ref="D88:H88"/>
    <mergeCell ref="J88:N88"/>
    <mergeCell ref="B89:C89"/>
    <mergeCell ref="D89:H89"/>
    <mergeCell ref="J89:N89"/>
    <mergeCell ref="B90:N90"/>
    <mergeCell ref="B91:N9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true"/>
  </sheetPr>
  <dimension ref="B1:N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457</v>
      </c>
      <c r="C1" s="1"/>
      <c r="D1" s="1"/>
      <c r="E1" s="1"/>
      <c r="F1" s="1"/>
      <c r="G1" s="1"/>
      <c r="H1" s="1"/>
      <c r="I1" s="1"/>
      <c r="J1" s="1"/>
      <c r="K1" s="1"/>
      <c r="L1" s="1"/>
      <c r="M1" s="1"/>
      <c r="N1" s="1"/>
    </row>
    <row r="2" customFormat="false" ht="17.25" hidden="false" customHeight="true" outlineLevel="0" collapsed="false">
      <c r="B2" s="2" t="s">
        <v>458</v>
      </c>
      <c r="C2" s="2"/>
      <c r="D2" s="2"/>
      <c r="E2" s="2"/>
      <c r="F2" s="2"/>
      <c r="G2" s="2"/>
      <c r="H2" s="2"/>
      <c r="I2" s="2"/>
      <c r="J2" s="2"/>
      <c r="K2" s="2"/>
      <c r="L2" s="2"/>
      <c r="M2" s="2"/>
      <c r="N2" s="2"/>
    </row>
    <row r="4" customFormat="false" ht="34.5" hidden="false" customHeight="true" outlineLevel="0" collapsed="false">
      <c r="B4" s="3" t="s">
        <v>459</v>
      </c>
      <c r="C4" s="3"/>
      <c r="D4" s="3"/>
      <c r="E4" s="3"/>
      <c r="F4" s="3"/>
      <c r="G4" s="3"/>
      <c r="H4" s="3"/>
      <c r="I4" s="3"/>
      <c r="J4" s="3"/>
      <c r="K4" s="3"/>
      <c r="L4" s="3"/>
      <c r="M4" s="3"/>
      <c r="N4" s="3"/>
    </row>
    <row r="5" customFormat="false" ht="20.25" hidden="false" customHeight="true" outlineLevel="0" collapsed="false">
      <c r="B5" s="42" t="s">
        <v>460</v>
      </c>
      <c r="C5" s="42"/>
      <c r="D5" s="42"/>
      <c r="E5" s="42"/>
      <c r="F5" s="42"/>
      <c r="G5" s="42"/>
      <c r="H5" s="42"/>
      <c r="I5" s="42"/>
      <c r="J5" s="42"/>
      <c r="K5" s="42"/>
      <c r="L5" s="42"/>
      <c r="M5" s="42"/>
      <c r="N5" s="42"/>
    </row>
    <row r="6" customFormat="false" ht="17.25" hidden="false" customHeight="true" outlineLevel="0" collapsed="false">
      <c r="B6" s="52" t="s">
        <v>461</v>
      </c>
      <c r="C6" s="52"/>
      <c r="D6" s="52"/>
      <c r="E6" s="52"/>
      <c r="F6" s="52"/>
      <c r="G6" s="52"/>
      <c r="H6" s="52"/>
      <c r="I6" s="52"/>
      <c r="J6" s="52"/>
      <c r="K6" s="52"/>
      <c r="L6" s="52"/>
      <c r="M6" s="52"/>
      <c r="N6" s="52"/>
    </row>
    <row r="7" customFormat="false" ht="17.25" hidden="false" customHeight="true" outlineLevel="0" collapsed="false">
      <c r="B7" s="22" t="s">
        <v>462</v>
      </c>
      <c r="C7" s="23" t="n">
        <v>0.5</v>
      </c>
      <c r="D7" s="38" t="s">
        <v>463</v>
      </c>
      <c r="E7" s="38"/>
      <c r="F7" s="38"/>
      <c r="G7" s="38"/>
      <c r="H7" s="38"/>
      <c r="I7" s="38"/>
      <c r="J7" s="38"/>
      <c r="K7" s="38"/>
      <c r="L7" s="38"/>
      <c r="M7" s="38"/>
      <c r="N7" s="38"/>
    </row>
    <row r="8" customFormat="false" ht="15.75" hidden="false" customHeight="true" outlineLevel="0" collapsed="false">
      <c r="B8" s="22" t="s">
        <v>464</v>
      </c>
      <c r="C8" s="23" t="n">
        <v>-0.3</v>
      </c>
    </row>
    <row r="9" customFormat="false" ht="15.75" hidden="false" customHeight="true" outlineLevel="0" collapsed="false">
      <c r="B9" s="22" t="s">
        <v>465</v>
      </c>
      <c r="C9" s="23" t="n">
        <v>0.1</v>
      </c>
    </row>
    <row r="10" customFormat="false" ht="15.75" hidden="false" customHeight="true" outlineLevel="0" collapsed="false">
      <c r="B10" s="22" t="s">
        <v>85</v>
      </c>
      <c r="C10" s="23" t="n">
        <v>2</v>
      </c>
    </row>
    <row r="11" customFormat="false" ht="21.75" hidden="false" customHeight="true" outlineLevel="0" collapsed="false">
      <c r="B11" s="4" t="s">
        <v>466</v>
      </c>
      <c r="C11" s="4"/>
      <c r="D11" s="4"/>
      <c r="E11" s="4"/>
      <c r="F11" s="4"/>
      <c r="G11" s="4"/>
      <c r="H11" s="4"/>
      <c r="I11" s="4"/>
      <c r="J11" s="4"/>
      <c r="K11" s="4"/>
      <c r="L11" s="4"/>
      <c r="M11" s="4"/>
      <c r="N11" s="4"/>
    </row>
    <row r="12" customFormat="false" ht="18.75" hidden="false" customHeight="true" outlineLevel="0" collapsed="false">
      <c r="B12" s="33" t="s">
        <v>467</v>
      </c>
      <c r="C12" s="33"/>
      <c r="D12" s="33"/>
      <c r="E12" s="33"/>
      <c r="F12" s="33"/>
      <c r="G12" s="33"/>
      <c r="H12" s="33"/>
      <c r="I12" s="33"/>
      <c r="J12" s="33"/>
      <c r="K12" s="33"/>
      <c r="L12" s="33"/>
      <c r="M12" s="33"/>
      <c r="N12" s="33"/>
    </row>
    <row r="13" customFormat="false" ht="17.25" hidden="false" customHeight="true" outlineLevel="0" collapsed="false">
      <c r="B13" s="20" t="s">
        <v>468</v>
      </c>
      <c r="C13" s="20"/>
      <c r="D13" s="20"/>
      <c r="E13" s="20"/>
      <c r="F13" s="20"/>
    </row>
    <row r="14" customFormat="false" ht="15" hidden="false" customHeight="false" outlineLevel="0" collapsed="false">
      <c r="B14" s="15"/>
      <c r="C14" s="21" t="s">
        <v>469</v>
      </c>
      <c r="D14" s="21" t="s">
        <v>470</v>
      </c>
      <c r="E14" s="21" t="s">
        <v>471</v>
      </c>
      <c r="F14" s="21" t="s">
        <v>472</v>
      </c>
    </row>
    <row r="15" customFormat="false" ht="15" hidden="false" customHeight="false" outlineLevel="0" collapsed="false">
      <c r="B15" s="22"/>
      <c r="C15" s="58" t="n">
        <v>0</v>
      </c>
      <c r="D15" s="58" t="n">
        <v>1</v>
      </c>
      <c r="E15" s="58" t="n">
        <v>1</v>
      </c>
      <c r="F15" s="58" t="n">
        <v>1</v>
      </c>
    </row>
    <row r="17" customFormat="false" ht="30" hidden="false" customHeight="true" outlineLevel="0" collapsed="false">
      <c r="B17" s="21" t="s">
        <v>473</v>
      </c>
      <c r="C17" s="21" t="s">
        <v>474</v>
      </c>
      <c r="D17" s="21" t="s">
        <v>475</v>
      </c>
      <c r="E17" s="21" t="s">
        <v>189</v>
      </c>
      <c r="F17" s="21" t="s">
        <v>476</v>
      </c>
      <c r="G17" s="21" t="s">
        <v>477</v>
      </c>
      <c r="H17" s="21" t="s">
        <v>478</v>
      </c>
      <c r="I17" s="21" t="s">
        <v>479</v>
      </c>
      <c r="J17" s="21" t="s">
        <v>480</v>
      </c>
      <c r="K17" s="21" t="s">
        <v>481</v>
      </c>
      <c r="L17" s="21" t="s">
        <v>482</v>
      </c>
      <c r="M17" s="21" t="s">
        <v>233</v>
      </c>
      <c r="N17" s="21" t="s">
        <v>483</v>
      </c>
    </row>
    <row r="18" customFormat="false" ht="15" hidden="false" customHeight="false" outlineLevel="0" collapsed="false">
      <c r="B18" s="29" t="n">
        <v>0</v>
      </c>
      <c r="C18" s="30" t="n">
        <f aca="false">C7</f>
        <v>0.5</v>
      </c>
      <c r="D18" s="30" t="n">
        <f aca="false">C8</f>
        <v>-0.3</v>
      </c>
      <c r="E18" s="30" t="n">
        <f aca="false">C9</f>
        <v>0.1</v>
      </c>
      <c r="F18" s="25" t="n">
        <f aca="false">(1/(1+EXP(-(C18*0+D18*0+E18))))</f>
        <v>0.52497918747894</v>
      </c>
      <c r="G18" s="25" t="n">
        <f aca="false">(1/(1+EXP(-(C18*0+D18*1+E18))))</f>
        <v>0.450166002687522</v>
      </c>
      <c r="H18" s="25" t="n">
        <f aca="false">(1/(1+EXP(-(C18*1+D18*0+E18))))</f>
        <v>0.645656306225795</v>
      </c>
      <c r="I18" s="25" t="n">
        <f aca="false">(1/(1+EXP(-(C18*1+D18*1+E18))))</f>
        <v>0.574442516811659</v>
      </c>
      <c r="J18" s="31" t="n">
        <f aca="false">-(C15*LN(F18)+(1-C15)*LN(1-F18)+D15*LN(G18)+(1-D15)*LN(1-G18)+E15*LN(H18)+(1-E15)*LN(1-H18)+F15*LN(I18)+(1-F15)*LN(1-I18))/4</f>
        <v>0.633594681102394</v>
      </c>
      <c r="K18" s="30" t="n">
        <f aca="false">((F18-C15)*0+(G18-D15)*0+(H18-E15)*1+(I18-F15)*1)/4</f>
        <v>-0.194975294240636</v>
      </c>
      <c r="L18" s="30" t="n">
        <f aca="false">((F18-C15)*0+(G18-D15)*1+(H18-E15)*0+(I18-F15)*1)/4</f>
        <v>-0.243847870125205</v>
      </c>
      <c r="M18" s="30" t="n">
        <f aca="false">((F18-C15)+(G18-D15)+(H18-E15)+(I18-F15))/4</f>
        <v>-0.201188996699021</v>
      </c>
      <c r="N18" s="67" t="n">
        <f aca="false">(((F18&gt;=0.5)=C15)*1+((G18&gt;=0.5)=D15)*1+((H18&gt;=0.5)=E15)*1+((I18&gt;=0.5)=F15)*1)/4</f>
        <v>0.5</v>
      </c>
    </row>
    <row r="19" customFormat="false" ht="15" hidden="false" customHeight="false" outlineLevel="0" collapsed="false">
      <c r="B19" s="29" t="n">
        <v>1</v>
      </c>
      <c r="C19" s="30" t="n">
        <f aca="false">C18-C10*K18</f>
        <v>0.889950588481273</v>
      </c>
      <c r="D19" s="30" t="n">
        <f aca="false">D18-C10*L18</f>
        <v>0.187695740250409</v>
      </c>
      <c r="E19" s="30" t="n">
        <f aca="false">E18-C10*M18</f>
        <v>0.502377993398042</v>
      </c>
      <c r="F19" s="25" t="n">
        <f aca="false">(1/(1+EXP(-(C19*0+D19*0+E19))))</f>
        <v>0.623018005524575</v>
      </c>
      <c r="G19" s="25" t="n">
        <f aca="false">(1/(1+EXP(-(C19*0+D19*1+E19))))</f>
        <v>0.665983328968328</v>
      </c>
      <c r="H19" s="25" t="n">
        <f aca="false">(1/(1+EXP(-(C19*1+D19*0+E19))))</f>
        <v>0.800963727793375</v>
      </c>
      <c r="I19" s="25" t="n">
        <f aca="false">(1/(1+EXP(-(C19*1+D19*1+E19))))</f>
        <v>0.829207962556717</v>
      </c>
      <c r="J19" s="31" t="n">
        <f aca="false">-(C15*LN(F19)+(1-C15)*LN(1-F19)+D15*LN(G19)+(1-D15)*LN(1-G19)+E15*LN(H19)+(1-E15)*LN(1-H19)+F15*LN(I19)+(1-F15)*LN(1-I19))/4</f>
        <v>0.447818101345736</v>
      </c>
      <c r="K19" s="30" t="n">
        <f aca="false">((F19-C15)*0+(G19-D15)*0+(H19-E15)*1+(I19-F15)*1)/4</f>
        <v>-0.0924570774124769</v>
      </c>
      <c r="L19" s="30" t="n">
        <f aca="false">((F19-C15)*0+(G19-D15)*1+(H19-E15)*0+(I19-F15)*1)/4</f>
        <v>-0.126202177118739</v>
      </c>
      <c r="M19" s="30" t="n">
        <f aca="false">((F19-C15)+(G19-D15)+(H19-E15)+(I19-F15))/4</f>
        <v>-0.0202067437892513</v>
      </c>
      <c r="N19" s="67" t="n">
        <f aca="false">(((F19&gt;=0.5)=C15)*1+((G19&gt;=0.5)=D15)*1+((H19&gt;=0.5)=E15)*1+((I19&gt;=0.5)=F15)*1)/4</f>
        <v>0.75</v>
      </c>
    </row>
    <row r="20" customFormat="false" ht="15" hidden="false" customHeight="false" outlineLevel="0" collapsed="false">
      <c r="B20" s="29" t="n">
        <v>2</v>
      </c>
      <c r="C20" s="30" t="n">
        <f aca="false">C19-C10*K19</f>
        <v>1.07486474330623</v>
      </c>
      <c r="D20" s="30" t="n">
        <f aca="false">D19-C10*L19</f>
        <v>0.440100094487887</v>
      </c>
      <c r="E20" s="30" t="n">
        <f aca="false">E19-C10*M19</f>
        <v>0.542791480976544</v>
      </c>
      <c r="F20" s="25" t="n">
        <f aca="false">(1/(1+EXP(-(C20*0+D20*0+E20))))</f>
        <v>0.632461548086172</v>
      </c>
      <c r="G20" s="25" t="n">
        <f aca="false">(1/(1+EXP(-(C20*0+D20*1+E20))))</f>
        <v>0.727681591182453</v>
      </c>
      <c r="H20" s="25" t="n">
        <f aca="false">(1/(1+EXP(-(C20*1+D20*0+E20))))</f>
        <v>0.83447164080578</v>
      </c>
      <c r="I20" s="25" t="n">
        <f aca="false">(1/(1+EXP(-(C20*1+D20*1+E20))))</f>
        <v>0.88672900853934</v>
      </c>
      <c r="J20" s="31" t="n">
        <f aca="false">-(C15*LN(F20)+(1-C15)*LN(1-F20)+D15*LN(G20)+(1-D15)*LN(1-G20)+E15*LN(H20)+(1-E15)*LN(1-H20)+F15*LN(I20)+(1-F15)*LN(1-I20))/4</f>
        <v>0.404997853458273</v>
      </c>
      <c r="K20" s="30" t="n">
        <f aca="false">((F20-C15)*0+(G20-D15)*0+(H20-E15)*1+(I20-F15)*1)/4</f>
        <v>-0.06969983766372</v>
      </c>
      <c r="L20" s="30" t="n">
        <f aca="false">((F20-C15)*0+(G20-D15)*1+(H20-E15)*0+(I20-F15)*1)/4</f>
        <v>-0.0963973500695519</v>
      </c>
      <c r="M20" s="30" t="n">
        <f aca="false">((F20-C15)+(G20-D15)+(H20-E15)+(I20-F15))/4</f>
        <v>0.0203359471534361</v>
      </c>
      <c r="N20" s="67" t="n">
        <f aca="false">(((F20&gt;=0.5)=C15)*1+((G20&gt;=0.5)=D15)*1+((H20&gt;=0.5)=E15)*1+((I20&gt;=0.5)=F15)*1)/4</f>
        <v>0.75</v>
      </c>
    </row>
    <row r="21" customFormat="false" ht="15" hidden="false" customHeight="false" outlineLevel="0" collapsed="false">
      <c r="B21" s="29" t="n">
        <v>3</v>
      </c>
      <c r="C21" s="30" t="n">
        <f aca="false">C20-C10*K20</f>
        <v>1.21426441863367</v>
      </c>
      <c r="D21" s="30" t="n">
        <f aca="false">D20-C10*L20</f>
        <v>0.632894794626991</v>
      </c>
      <c r="E21" s="30" t="n">
        <f aca="false">E20-C10*M20</f>
        <v>0.502119586669672</v>
      </c>
      <c r="F21" s="25" t="n">
        <f aca="false">(1/(1+EXP(-(C21*0+D21*0+E21))))</f>
        <v>0.622957312493522</v>
      </c>
      <c r="G21" s="25" t="n">
        <f aca="false">(1/(1+EXP(-(C21*0+D21*1+E21))))</f>
        <v>0.756763097833859</v>
      </c>
      <c r="H21" s="25" t="n">
        <f aca="false">(1/(1+EXP(-(C21*1+D21*0+E21))))</f>
        <v>0.847662486849994</v>
      </c>
      <c r="I21" s="25" t="n">
        <f aca="false">(1/(1+EXP(-(C21*1+D21*1+E21))))</f>
        <v>0.912876885664331</v>
      </c>
      <c r="J21" s="31" t="n">
        <f aca="false">-(C15*LN(F21)+(1-C15)*LN(1-F21)+D15*LN(G21)+(1-D15)*LN(1-G21)+E15*LN(H21)+(1-E15)*LN(1-H21)+F15*LN(I21)+(1-F15)*LN(1-I21))/4</f>
        <v>0.377632219581674</v>
      </c>
      <c r="K21" s="30" t="n">
        <f aca="false">((F21-C15)*0+(G21-D15)*0+(H21-E15)*1+(I21-F15)*1)/4</f>
        <v>-0.0598651568714188</v>
      </c>
      <c r="L21" s="30" t="n">
        <f aca="false">((F21-C15)*0+(G21-D15)*1+(H21-E15)*0+(I21-F15)*1)/4</f>
        <v>-0.0825900041254527</v>
      </c>
      <c r="M21" s="30" t="n">
        <f aca="false">((F21-C15)+(G21-D15)+(H21-E15)+(I21-F15))/4</f>
        <v>0.0350649457104263</v>
      </c>
      <c r="N21" s="67" t="n">
        <f aca="false">(((F21&gt;=0.5)=C15)*1+((G21&gt;=0.5)=D15)*1+((H21&gt;=0.5)=E15)*1+((I21&gt;=0.5)=F15)*1)/4</f>
        <v>0.75</v>
      </c>
    </row>
    <row r="22" customFormat="false" ht="15" hidden="false" customHeight="false" outlineLevel="0" collapsed="false">
      <c r="B22" s="29" t="n">
        <v>4</v>
      </c>
      <c r="C22" s="30" t="n">
        <f aca="false">C21-C10*K21</f>
        <v>1.3339947323765</v>
      </c>
      <c r="D22" s="30" t="n">
        <f aca="false">D21-C10*L21</f>
        <v>0.798074802877896</v>
      </c>
      <c r="E22" s="30" t="n">
        <f aca="false">E21-C10*M21</f>
        <v>0.431989695248819</v>
      </c>
      <c r="F22" s="25" t="n">
        <f aca="false">(1/(1+EXP(-(C22*0+D22*0+E22))))</f>
        <v>0.606348689062177</v>
      </c>
      <c r="G22" s="25" t="n">
        <f aca="false">(1/(1+EXP(-(C22*0+D22*1+E22))))</f>
        <v>0.773829862750769</v>
      </c>
      <c r="H22" s="25" t="n">
        <f aca="false">(1/(1+EXP(-(C22*1+D22*0+E22))))</f>
        <v>0.853957584321873</v>
      </c>
      <c r="I22" s="25" t="n">
        <f aca="false">(1/(1+EXP(-(C22*1+D22*1+E22))))</f>
        <v>0.928512367011399</v>
      </c>
      <c r="J22" s="31" t="n">
        <f aca="false">-(C15*LN(F22)+(1-C15)*LN(1-F22)+D15*LN(G22)+(1-D15)*LN(1-G22)+E15*LN(H22)+(1-E15)*LN(1-H22)+F15*LN(I22)+(1-F15)*LN(1-I22))/4</f>
        <v>0.355184584174846</v>
      </c>
      <c r="K22" s="30" t="n">
        <f aca="false">((F22-C15)*0+(G22-D15)*0+(H22-E15)*1+(I22-F15)*1)/4</f>
        <v>-0.0543825121666821</v>
      </c>
      <c r="L22" s="30" t="n">
        <f aca="false">((F22-C15)*0+(G22-D15)*1+(H22-E15)*0+(I22-F15)*1)/4</f>
        <v>-0.0744144425594582</v>
      </c>
      <c r="M22" s="30" t="n">
        <f aca="false">((F22-C15)+(G22-D15)+(H22-E15)+(I22-F15))/4</f>
        <v>0.0406621257865543</v>
      </c>
      <c r="N22" s="67" t="n">
        <f aca="false">(((F22&gt;=0.5)=C15)*1+((G22&gt;=0.5)=D15)*1+((H22&gt;=0.5)=E15)*1+((I22&gt;=0.5)=F15)*1)/4</f>
        <v>0.75</v>
      </c>
    </row>
    <row r="23" customFormat="false" ht="15" hidden="false" customHeight="false" outlineLevel="0" collapsed="false">
      <c r="B23" s="29" t="n">
        <v>5</v>
      </c>
      <c r="C23" s="30" t="n">
        <f aca="false">C22-C10*K22</f>
        <v>1.44275975670987</v>
      </c>
      <c r="D23" s="30" t="n">
        <f aca="false">D22-C10*L22</f>
        <v>0.946903687996813</v>
      </c>
      <c r="E23" s="30" t="n">
        <f aca="false">E22-C10*M22</f>
        <v>0.350665443675711</v>
      </c>
      <c r="F23" s="25" t="n">
        <f aca="false">(1/(1+EXP(-(C23*0+D23*0+E23))))</f>
        <v>0.586778937968676</v>
      </c>
      <c r="G23" s="25" t="n">
        <f aca="false">(1/(1+EXP(-(C23*0+D23*1+E23))))</f>
        <v>0.78542558762619</v>
      </c>
      <c r="H23" s="25" t="n">
        <f aca="false">(1/(1+EXP(-(C23*1+D23*0+E23))))</f>
        <v>0.857346702907579</v>
      </c>
      <c r="I23" s="25" t="n">
        <f aca="false">(1/(1+EXP(-(C23*1+D23*1+E23))))</f>
        <v>0.939364832394944</v>
      </c>
      <c r="J23" s="31" t="n">
        <f aca="false">-(C15*LN(F23)+(1-C15)*LN(1-F23)+D15*LN(G23)+(1-D15)*LN(1-G23)+E15*LN(H23)+(1-E15)*LN(1-H23)+F15*LN(I23)+(1-F15)*LN(1-I23))/4</f>
        <v>0.335441589676854</v>
      </c>
      <c r="K23" s="30" t="n">
        <f aca="false">((F23-C15)*0+(G23-D15)*0+(H23-E15)*1+(I23-F15)*1)/4</f>
        <v>-0.0508221161743693</v>
      </c>
      <c r="L23" s="30" t="n">
        <f aca="false">((F23-C15)*0+(G23-D15)*1+(H23-E15)*0+(I23-F15)*1)/4</f>
        <v>-0.0688023949947166</v>
      </c>
      <c r="M23" s="30" t="n">
        <f aca="false">((F23-C15)+(G23-D15)+(H23-E15)+(I23-F15))/4</f>
        <v>0.0422290152243472</v>
      </c>
      <c r="N23" s="67" t="n">
        <f aca="false">(((F23&gt;=0.5)=C15)*1+((G23&gt;=0.5)=D15)*1+((H23&gt;=0.5)=E15)*1+((I23&gt;=0.5)=F15)*1)/4</f>
        <v>0.75</v>
      </c>
    </row>
    <row r="24" customFormat="false" ht="15" hidden="false" customHeight="false" outlineLevel="0" collapsed="false">
      <c r="B24" s="29" t="n">
        <v>6</v>
      </c>
      <c r="C24" s="30" t="n">
        <f aca="false">C23-C10*K23</f>
        <v>1.54440398905861</v>
      </c>
      <c r="D24" s="30" t="n">
        <f aca="false">D23-C10*L23</f>
        <v>1.08450847798625</v>
      </c>
      <c r="E24" s="30" t="n">
        <f aca="false">E23-C10*M23</f>
        <v>0.266207413227016</v>
      </c>
      <c r="F24" s="25" t="n">
        <f aca="false">(1/(1+EXP(-(C24*0+D24*0+E24))))</f>
        <v>0.566161594580993</v>
      </c>
      <c r="G24" s="25" t="n">
        <f aca="false">(1/(1+EXP(-(C24*0+D24*1+E24))))</f>
        <v>0.794246643007013</v>
      </c>
      <c r="H24" s="25" t="n">
        <f aca="false">(1/(1+EXP(-(C24*1+D24*0+E24))))</f>
        <v>0.859435751526973</v>
      </c>
      <c r="I24" s="25" t="n">
        <f aca="false">(1/(1+EXP(-(C24*1+D24*1+E24))))</f>
        <v>0.947604667268134</v>
      </c>
      <c r="J24" s="31" t="n">
        <f aca="false">-(C15*LN(F24)+(1-C15)*LN(1-F24)+D15*LN(G24)+(1-D15)*LN(1-G24)+E15*LN(H24)+(1-E15)*LN(1-H24)+F15*LN(I24)+(1-F15)*LN(1-I24))/4</f>
        <v>0.317685368428764</v>
      </c>
      <c r="K24" s="30" t="n">
        <f aca="false">((F24-C15)*0+(G24-D15)*0+(H24-E15)*1+(I24-F15)*1)/4</f>
        <v>-0.0482398953012231</v>
      </c>
      <c r="L24" s="30" t="n">
        <f aca="false">((F24-C15)*0+(G24-D15)*1+(H24-E15)*0+(I24-F15)*1)/4</f>
        <v>-0.0645371724312131</v>
      </c>
      <c r="M24" s="30" t="n">
        <f aca="false">((F24-C15)+(G24-D15)+(H24-E15)+(I24-F15))/4</f>
        <v>0.0418621640957784</v>
      </c>
      <c r="N24" s="67" t="n">
        <f aca="false">(((F24&gt;=0.5)=C15)*1+((G24&gt;=0.5)=D15)*1+((H24&gt;=0.5)=E15)*1+((I24&gt;=0.5)=F15)*1)/4</f>
        <v>0.75</v>
      </c>
    </row>
    <row r="25" customFormat="false" ht="15" hidden="false" customHeight="false" outlineLevel="0" collapsed="false">
      <c r="B25" s="29" t="n">
        <v>7</v>
      </c>
      <c r="C25" s="30" t="n">
        <f aca="false">C24-C10*K24</f>
        <v>1.64088377966105</v>
      </c>
      <c r="D25" s="30" t="n">
        <f aca="false">D24-C10*L24</f>
        <v>1.21358282284867</v>
      </c>
      <c r="E25" s="30" t="n">
        <f aca="false">E24-C10*M24</f>
        <v>0.18248308503546</v>
      </c>
      <c r="F25" s="25" t="n">
        <f aca="false">(1/(1+EXP(-(C25*0+D25*0+E25))))</f>
        <v>0.545494593484758</v>
      </c>
      <c r="G25" s="25" t="n">
        <f aca="false">(1/(1+EXP(-(C25*0+D25*1+E25))))</f>
        <v>0.801558865320906</v>
      </c>
      <c r="H25" s="25" t="n">
        <f aca="false">(1/(1+EXP(-(C25*1+D25*0+E25))))</f>
        <v>0.860969633866743</v>
      </c>
      <c r="I25" s="25" t="n">
        <f aca="false">(1/(1+EXP(-(C25*1+D25*1+E25))))</f>
        <v>0.954215751491535</v>
      </c>
      <c r="J25" s="31" t="n">
        <f aca="false">-(C15*LN(F25)+(1-C15)*LN(1-F25)+D15*LN(G25)+(1-D15)*LN(1-G25)+E15*LN(H25)+(1-E15)*LN(1-H25)+F15*LN(I25)+(1-F15)*LN(1-I25))/4</f>
        <v>0.301575964430351</v>
      </c>
      <c r="K25" s="30" t="n">
        <f aca="false">((F25-C15)*0+(G25-D15)*0+(H25-E15)*1+(I25-F15)*1)/4</f>
        <v>-0.0462036536604307</v>
      </c>
      <c r="L25" s="30" t="n">
        <f aca="false">((F25-C15)*0+(G25-D15)*1+(H25-E15)*0+(I25-F15)*1)/4</f>
        <v>-0.0610563457968899</v>
      </c>
      <c r="M25" s="30" t="n">
        <f aca="false">((F25-C15)+(G25-D15)+(H25-E15)+(I25-F15))/4</f>
        <v>0.0405597110409853</v>
      </c>
      <c r="N25" s="67" t="n">
        <f aca="false">(((F25&gt;=0.5)=C15)*1+((G25&gt;=0.5)=D15)*1+((H25&gt;=0.5)=E15)*1+((I25&gt;=0.5)=F15)*1)/4</f>
        <v>0.75</v>
      </c>
    </row>
    <row r="26" customFormat="false" ht="15" hidden="false" customHeight="false" outlineLevel="0" collapsed="false">
      <c r="B26" s="29" t="n">
        <v>8</v>
      </c>
      <c r="C26" s="30" t="n">
        <f aca="false">C25-C10*K25</f>
        <v>1.73329108698191</v>
      </c>
      <c r="D26" s="30" t="n">
        <f aca="false">D25-C10*L25</f>
        <v>1.33569551444245</v>
      </c>
      <c r="E26" s="30" t="n">
        <f aca="false">E25-C10*M25</f>
        <v>0.101363662953489</v>
      </c>
      <c r="F26" s="25" t="n">
        <f aca="false">(1/(1+EXP(-(C26*0+D26*0+E26))))</f>
        <v>0.525319240710444</v>
      </c>
      <c r="G26" s="25" t="n">
        <f aca="false">(1/(1+EXP(-(C26*0+D26*1+E26))))</f>
        <v>0.807998835065976</v>
      </c>
      <c r="H26" s="25" t="n">
        <f aca="false">(1/(1+EXP(-(C26*1+D26*0+E26))))</f>
        <v>0.862315306807833</v>
      </c>
      <c r="I26" s="25" t="n">
        <f aca="false">(1/(1+EXP(-(C26*1+D26*1+E26))))</f>
        <v>0.959703132543382</v>
      </c>
      <c r="J26" s="31" t="n">
        <f aca="false">-(C15*LN(F26)+(1-C15)*LN(1-F26)+D15*LN(G26)+(1-D15)*LN(1-G26)+E15*LN(H26)+(1-E15)*LN(1-H26)+F15*LN(I26)+(1-F15)*LN(1-I26))/4</f>
        <v>0.286893254534027</v>
      </c>
      <c r="K26" s="30" t="n">
        <f aca="false">((F26-C15)*0+(G26-D15)*0+(H26-E15)*1+(I26-F15)*1)/4</f>
        <v>-0.0444953901621964</v>
      </c>
      <c r="L26" s="30" t="n">
        <f aca="false">((F26-C15)*0+(G26-D15)*1+(H26-E15)*0+(I26-F15)*1)/4</f>
        <v>-0.0580745080976606</v>
      </c>
      <c r="M26" s="30" t="n">
        <f aca="false">((F26-C15)+(G26-D15)+(H26-E15)+(I26-F15))/4</f>
        <v>0.0388341287819086</v>
      </c>
      <c r="N26" s="67" t="n">
        <f aca="false">(((F26&gt;=0.5)=C15)*1+((G26&gt;=0.5)=D15)*1+((H26&gt;=0.5)=E15)*1+((I26&gt;=0.5)=F15)*1)/4</f>
        <v>0.75</v>
      </c>
    </row>
    <row r="27" customFormat="false" ht="15" hidden="false" customHeight="false" outlineLevel="0" collapsed="false">
      <c r="B27" s="29" t="n">
        <v>9</v>
      </c>
      <c r="C27" s="30" t="n">
        <f aca="false">C26-C10*K26</f>
        <v>1.82228186730631</v>
      </c>
      <c r="D27" s="30" t="n">
        <f aca="false">D26-C10*L26</f>
        <v>1.45184453063777</v>
      </c>
      <c r="E27" s="30" t="n">
        <f aca="false">E26-C10*M26</f>
        <v>0.0236954053896721</v>
      </c>
      <c r="F27" s="25" t="n">
        <f aca="false">(1/(1+EXP(-(C27*0+D27*0+E27))))</f>
        <v>0.505923574189808</v>
      </c>
      <c r="G27" s="25" t="n">
        <f aca="false">(1/(1+EXP(-(C27*0+D27*1+E27))))</f>
        <v>0.813897969025165</v>
      </c>
      <c r="H27" s="25" t="n">
        <f aca="false">(1/(1+EXP(-(C27*1+D27*0+E27))))</f>
        <v>0.863654096519183</v>
      </c>
      <c r="I27" s="25" t="n">
        <f aca="false">(1/(1+EXP(-(C27*1+D27*1+E27))))</f>
        <v>0.964354010134426</v>
      </c>
      <c r="J27" s="31" t="n">
        <f aca="false">-(C15*LN(F27)+(1-C15)*LN(1-F27)+D15*LN(G27)+(1-D15)*LN(1-G27)+E15*LN(H27)+(1-E15)*LN(1-H27)+F15*LN(I27)+(1-F15)*LN(1-I27))/4</f>
        <v>0.273466273650409</v>
      </c>
      <c r="K27" s="30" t="n">
        <f aca="false">((F27-C15)*0+(G27-D15)*0+(H27-E15)*1+(I27-F15)*1)/4</f>
        <v>-0.0429979733365978</v>
      </c>
      <c r="L27" s="30" t="n">
        <f aca="false">((F27-C15)*0+(G27-D15)*1+(H27-E15)*0+(I27-F15)*1)/4</f>
        <v>-0.0554370052101022</v>
      </c>
      <c r="M27" s="30" t="n">
        <f aca="false">((F27-C15)+(G27-D15)+(H27-E15)+(I27-F15))/4</f>
        <v>0.0369574124671455</v>
      </c>
      <c r="N27" s="67" t="n">
        <f aca="false">(((F27&gt;=0.5)=C15)*1+((G27&gt;=0.5)=D15)*1+((H27&gt;=0.5)=E15)*1+((I27&gt;=0.5)=F15)*1)/4</f>
        <v>0.75</v>
      </c>
    </row>
    <row r="28" customFormat="false" ht="15" hidden="false" customHeight="false" outlineLevel="0" collapsed="false">
      <c r="B28" s="29" t="n">
        <v>10</v>
      </c>
      <c r="C28" s="30" t="n">
        <f aca="false">C27-C10*K27</f>
        <v>1.9082778139795</v>
      </c>
      <c r="D28" s="30" t="n">
        <f aca="false">D27-C10*L27</f>
        <v>1.56271854105798</v>
      </c>
      <c r="E28" s="30" t="n">
        <f aca="false">E27-C10*M27</f>
        <v>-0.0502194195446188</v>
      </c>
      <c r="F28" s="25" t="n">
        <f aca="false">(1/(1+EXP(-(C28*0+D28*0+E28))))</f>
        <v>0.487447783050206</v>
      </c>
      <c r="G28" s="25" t="n">
        <f aca="false">(1/(1+EXP(-(C28*0+D28*1+E28))))</f>
        <v>0.819431281242057</v>
      </c>
      <c r="H28" s="25" t="n">
        <f aca="false">(1/(1+EXP(-(C28*1+D28*0+E28))))</f>
        <v>0.865070477559281</v>
      </c>
      <c r="I28" s="25" t="n">
        <f aca="false">(1/(1+EXP(-(C28*1+D28*1+E28))))</f>
        <v>0.968347593773777</v>
      </c>
      <c r="J28" s="31" t="n">
        <f aca="false">-(C15*LN(F28)+(1-C15)*LN(1-F28)+D15*LN(G28)+(1-D15)*LN(1-G28)+E15*LN(H28)+(1-E15)*LN(1-H28)+F15*LN(I28)+(1-F15)*LN(1-I28))/4</f>
        <v>0.261151473835709</v>
      </c>
      <c r="K28" s="30" t="n">
        <f aca="false">((F28-C15)*0+(G28-D15)*0+(H28-E15)*1+(I28-F15)*1)/4</f>
        <v>-0.0416454821667355</v>
      </c>
      <c r="L28" s="30" t="n">
        <f aca="false">((F28-C15)*0+(G28-D15)*1+(H28-E15)*0+(I28-F15)*1)/4</f>
        <v>-0.0530552812460417</v>
      </c>
      <c r="M28" s="30" t="n">
        <f aca="false">((F28-C15)+(G28-D15)+(H28-E15)+(I28-F15))/4</f>
        <v>0.0350742839063301</v>
      </c>
      <c r="N28" s="67" t="n">
        <f aca="false">(((F28&gt;=0.5)=C15)*1+((G28&gt;=0.5)=D15)*1+((H28&gt;=0.5)=E15)*1+((I28&gt;=0.5)=F15)*1)/4</f>
        <v>1</v>
      </c>
    </row>
    <row r="29" customFormat="false" ht="15" hidden="false" customHeight="false" outlineLevel="0" collapsed="false">
      <c r="B29" s="29" t="n">
        <v>11</v>
      </c>
      <c r="C29" s="30" t="n">
        <f aca="false">C28-C10*K28</f>
        <v>1.99156877831297</v>
      </c>
      <c r="D29" s="30" t="n">
        <f aca="false">D28-C10*L28</f>
        <v>1.66882910355006</v>
      </c>
      <c r="E29" s="30" t="n">
        <f aca="false">E28-C10*M28</f>
        <v>-0.120367987357279</v>
      </c>
      <c r="F29" s="25" t="n">
        <f aca="false">(1/(1+EXP(-(C29*0+D29*0+E29))))</f>
        <v>0.469944282803269</v>
      </c>
      <c r="G29" s="25" t="n">
        <f aca="false">(1/(1+EXP(-(C29*0+D29*1+E29))))</f>
        <v>0.824691358061905</v>
      </c>
      <c r="H29" s="25" t="n">
        <f aca="false">(1/(1+EXP(-(C29*1+D29*0+E29))))</f>
        <v>0.866597157854419</v>
      </c>
      <c r="I29" s="25" t="n">
        <f aca="false">(1/(1+EXP(-(C29*1+D29*1+E29))))</f>
        <v>0.97180553113714</v>
      </c>
      <c r="J29" s="31" t="n">
        <f aca="false">-(C15*LN(F29)+(1-C15)*LN(1-F29)+D15*LN(G29)+(1-D15)*LN(1-G29)+E15*LN(H29)+(1-E15)*LN(1-H29)+F15*LN(I29)+(1-F15)*LN(1-I29))/4</f>
        <v>0.249824959994418</v>
      </c>
      <c r="K29" s="30" t="n">
        <f aca="false">((F29-C15)*0+(G29-D15)*0+(H29-E15)*1+(I29-F15)*1)/4</f>
        <v>-0.0403993277521103</v>
      </c>
      <c r="L29" s="30" t="n">
        <f aca="false">((F29-C15)*0+(G29-D15)*1+(H29-E15)*0+(I29-F15)*1)/4</f>
        <v>-0.0508757777002388</v>
      </c>
      <c r="M29" s="30" t="n">
        <f aca="false">((F29-C15)+(G29-D15)+(H29-E15)+(I29-F15))/4</f>
        <v>0.0332595824641832</v>
      </c>
      <c r="N29" s="67" t="n">
        <f aca="false">(((F29&gt;=0.5)=C15)*1+((G29&gt;=0.5)=D15)*1+((H29&gt;=0.5)=E15)*1+((I29&gt;=0.5)=F15)*1)/4</f>
        <v>1</v>
      </c>
    </row>
    <row r="30" customFormat="false" ht="15" hidden="false" customHeight="false" outlineLevel="0" collapsed="false">
      <c r="B30" s="29" t="n">
        <v>12</v>
      </c>
      <c r="C30" s="30" t="n">
        <f aca="false">C29-C10*K29</f>
        <v>2.0723674338172</v>
      </c>
      <c r="D30" s="30" t="n">
        <f aca="false">D29-C10*L29</f>
        <v>1.77058065895054</v>
      </c>
      <c r="E30" s="30" t="n">
        <f aca="false">E29-C10*M29</f>
        <v>-0.186887152285645</v>
      </c>
      <c r="F30" s="25" t="n">
        <f aca="false">(1/(1+EXP(-(C30*0+D30*0+E30))))</f>
        <v>0.453413725551343</v>
      </c>
      <c r="G30" s="25" t="n">
        <f aca="false">(1/(1+EXP(-(C30*0+D30*1+E30))))</f>
        <v>0.829726972732153</v>
      </c>
      <c r="H30" s="25" t="n">
        <f aca="false">(1/(1+EXP(-(C30*1+D30*0+E30))))</f>
        <v>0.868239335711938</v>
      </c>
      <c r="I30" s="25" t="n">
        <f aca="false">(1/(1+EXP(-(C30*1+D30*1+E30))))</f>
        <v>0.974816517441963</v>
      </c>
      <c r="J30" s="31" t="n">
        <f aca="false">-(C15*LN(F30)+(1-C15)*LN(1-F30)+D15*LN(G30)+(1-D15)*LN(1-G30)+E15*LN(H30)+(1-E15)*LN(1-H30)+F15*LN(I30)+(1-F15)*LN(1-I30))/4</f>
        <v>0.239378895069677</v>
      </c>
      <c r="K30" s="30" t="n">
        <f aca="false">((F30-C15)*0+(G30-D15)*0+(H30-E15)*1+(I30-F15)*1)/4</f>
        <v>-0.0392360367115248</v>
      </c>
      <c r="L30" s="30" t="n">
        <f aca="false">((F30-C15)*0+(G30-D15)*1+(H30-E15)*0+(I30-F15)*1)/4</f>
        <v>-0.048864127456471</v>
      </c>
      <c r="M30" s="30" t="n">
        <f aca="false">((F30-C15)+(G30-D15)+(H30-E15)+(I30-F15))/4</f>
        <v>0.0315491378593492</v>
      </c>
      <c r="N30" s="67" t="n">
        <f aca="false">(((F30&gt;=0.5)=C15)*1+((G30&gt;=0.5)=D15)*1+((H30&gt;=0.5)=E15)*1+((I30&gt;=0.5)=F15)*1)/4</f>
        <v>1</v>
      </c>
    </row>
    <row r="31" customFormat="false" ht="15" hidden="false" customHeight="false" outlineLevel="0" collapsed="false">
      <c r="B31" s="29" t="n">
        <v>13</v>
      </c>
      <c r="C31" s="30" t="n">
        <f aca="false">C30-C10*K30</f>
        <v>2.15083950724024</v>
      </c>
      <c r="D31" s="30" t="n">
        <f aca="false">D30-C10*L30</f>
        <v>1.86830891386348</v>
      </c>
      <c r="E31" s="30" t="n">
        <f aca="false">E30-C10*M30</f>
        <v>-0.249985428004344</v>
      </c>
      <c r="F31" s="25" t="n">
        <f aca="false">(1/(1+EXP(-(C31*0+D31*0+E31))))</f>
        <v>0.437827085782236</v>
      </c>
      <c r="G31" s="25" t="n">
        <f aca="false">(1/(1+EXP(-(C31*0+D31*1+E31))))</f>
        <v>0.83456378822534</v>
      </c>
      <c r="H31" s="25" t="n">
        <f aca="false">(1/(1+EXP(-(C31*1+D31*0+E31))))</f>
        <v>0.869988160012067</v>
      </c>
      <c r="I31" s="25" t="n">
        <f aca="false">(1/(1+EXP(-(C31*1+D31*1+E31))))</f>
        <v>0.977448918164549</v>
      </c>
      <c r="J31" s="31" t="n">
        <f aca="false">-(C15*LN(F31)+(1-C15)*LN(1-F31)+D15*LN(G31)+(1-D15)*LN(1-G31)+E15*LN(H31)+(1-E15)*LN(1-H31)+F15*LN(I31)+(1-F15)*LN(1-I31))/4</f>
        <v>0.229719205635139</v>
      </c>
      <c r="K31" s="30" t="n">
        <f aca="false">((F31-C15)*0+(G31-D15)*0+(H31-E15)*1+(I31-F15)*1)/4</f>
        <v>-0.0381407304558459</v>
      </c>
      <c r="L31" s="30" t="n">
        <f aca="false">((F31-C15)*0+(G31-D15)*1+(H31-E15)*0+(I31-F15)*1)/4</f>
        <v>-0.0469968234025277</v>
      </c>
      <c r="M31" s="30" t="n">
        <f aca="false">((F31-C15)+(G31-D15)+(H31-E15)+(I31-F15))/4</f>
        <v>0.0299569880460482</v>
      </c>
      <c r="N31" s="67" t="n">
        <f aca="false">(((F31&gt;=0.5)=C15)*1+((G31&gt;=0.5)=D15)*1+((H31&gt;=0.5)=E15)*1+((I31&gt;=0.5)=F15)*1)/4</f>
        <v>1</v>
      </c>
    </row>
    <row r="32" customFormat="false" ht="15" hidden="false" customHeight="false" outlineLevel="0" collapsed="false">
      <c r="B32" s="29" t="n">
        <v>14</v>
      </c>
      <c r="C32" s="30" t="n">
        <f aca="false">C31-C10*K31</f>
        <v>2.22712096815194</v>
      </c>
      <c r="D32" s="30" t="n">
        <f aca="false">D31-C10*L31</f>
        <v>1.96230256066854</v>
      </c>
      <c r="E32" s="30" t="n">
        <f aca="false">E31-C10*M31</f>
        <v>-0.30989940409644</v>
      </c>
      <c r="F32" s="25" t="n">
        <f aca="false">(1/(1+EXP(-(C32*0+D32*0+E32))))</f>
        <v>0.423139293376807</v>
      </c>
      <c r="G32" s="25" t="n">
        <f aca="false">(1/(1+EXP(-(C32*0+D32*1+E32))))</f>
        <v>0.839215579442116</v>
      </c>
      <c r="H32" s="25" t="n">
        <f aca="false">(1/(1+EXP(-(C32*1+D32*0+E32))))</f>
        <v>0.871828281505556</v>
      </c>
      <c r="I32" s="25" t="n">
        <f aca="false">(1/(1+EXP(-(C32*1+D32*1+E32))))</f>
        <v>0.979757567178099</v>
      </c>
      <c r="J32" s="31" t="n">
        <f aca="false">-(C15*LN(F32)+(1-C15)*LN(1-F32)+D15*LN(G32)+(1-D15)*LN(1-G32)+E15*LN(H32)+(1-E15)*LN(1-H32)+F15*LN(I32)+(1-F15)*LN(1-I32))/4</f>
        <v>0.220763756604014</v>
      </c>
      <c r="K32" s="30" t="n">
        <f aca="false">((F32-C15)*0+(G32-D15)*0+(H32-E15)*1+(I32-F15)*1)/4</f>
        <v>-0.0371035378290862</v>
      </c>
      <c r="L32" s="30" t="n">
        <f aca="false">((F32-C15)*0+(G32-D15)*1+(H32-E15)*0+(I32-F15)*1)/4</f>
        <v>-0.0452567133449462</v>
      </c>
      <c r="M32" s="30" t="n">
        <f aca="false">((F32-C15)+(G32-D15)+(H32-E15)+(I32-F15))/4</f>
        <v>0.0284851803756446</v>
      </c>
      <c r="N32" s="67" t="n">
        <f aca="false">(((F32&gt;=0.5)=C15)*1+((G32&gt;=0.5)=D15)*1+((H32&gt;=0.5)=E15)*1+((I32&gt;=0.5)=F15)*1)/4</f>
        <v>1</v>
      </c>
    </row>
    <row r="33" customFormat="false" ht="15" hidden="false" customHeight="false" outlineLevel="0" collapsed="false">
      <c r="B33" s="29" t="n">
        <v>15</v>
      </c>
      <c r="C33" s="30" t="n">
        <f aca="false">C32-C10*K32</f>
        <v>2.30132804381011</v>
      </c>
      <c r="D33" s="30" t="n">
        <f aca="false">D32-C10*L32</f>
        <v>2.05281598735843</v>
      </c>
      <c r="E33" s="30" t="n">
        <f aca="false">E32-C10*M32</f>
        <v>-0.366869764847729</v>
      </c>
      <c r="F33" s="25" t="n">
        <f aca="false">(1/(1+EXP(-(C33*0+D33*0+E33))))</f>
        <v>0.409297612722547</v>
      </c>
      <c r="G33" s="25" t="n">
        <f aca="false">(1/(1+EXP(-(C33*0+D33*1+E33))))</f>
        <v>0.843690304487159</v>
      </c>
      <c r="H33" s="25" t="n">
        <f aca="false">(1/(1+EXP(-(C33*1+D33*0+E33))))</f>
        <v>0.873742063308424</v>
      </c>
      <c r="I33" s="25" t="n">
        <f aca="false">(1/(1+EXP(-(C33*1+D33*1+E33))))</f>
        <v>0.981787634964119</v>
      </c>
      <c r="J33" s="31" t="n">
        <f aca="false">-(C15*LN(F33)+(1-C15)*LN(1-F33)+D15*LN(G33)+(1-D15)*LN(1-G33)+E15*LN(H33)+(1-E15)*LN(1-H33)+F15*LN(I33)+(1-F15)*LN(1-I33))/4</f>
        <v>0.212440768355001</v>
      </c>
      <c r="K33" s="30" t="n">
        <f aca="false">((F33-C15)*0+(G33-D15)*0+(H33-E15)*1+(I33-F15)*1)/4</f>
        <v>-0.0361175754318643</v>
      </c>
      <c r="L33" s="30" t="n">
        <f aca="false">((F33-C15)*0+(G33-D15)*1+(H33-E15)*0+(I33-F15)*1)/4</f>
        <v>-0.0436305151371805</v>
      </c>
      <c r="M33" s="30" t="n">
        <f aca="false">((F33-C15)+(G33-D15)+(H33-E15)+(I33-F15))/4</f>
        <v>0.0271294038705621</v>
      </c>
      <c r="N33" s="67" t="n">
        <f aca="false">(((F33&gt;=0.5)=C15)*1+((G33&gt;=0.5)=D15)*1+((H33&gt;=0.5)=E15)*1+((I33&gt;=0.5)=F15)*1)/4</f>
        <v>1</v>
      </c>
    </row>
    <row r="34" customFormat="false" ht="15" hidden="false" customHeight="false" outlineLevel="0" collapsed="false">
      <c r="B34" s="29" t="n">
        <v>16</v>
      </c>
      <c r="C34" s="30" t="n">
        <f aca="false">C33-C10*K33</f>
        <v>2.37356319467384</v>
      </c>
      <c r="D34" s="30" t="n">
        <f aca="false">D33-C10*L33</f>
        <v>2.14007701763279</v>
      </c>
      <c r="E34" s="30" t="n">
        <f aca="false">E33-C10*M33</f>
        <v>-0.421128572588854</v>
      </c>
      <c r="F34" s="25" t="n">
        <f aca="false">(1/(1+EXP(-(C34*0+D34*0+E34))))</f>
        <v>0.396246724191564</v>
      </c>
      <c r="G34" s="25" t="n">
        <f aca="false">(1/(1+EXP(-(C34*0+D34*1+E34))))</f>
        <v>0.847993339836596</v>
      </c>
      <c r="H34" s="25" t="n">
        <f aca="false">(1/(1+EXP(-(C34*1+D34*0+E34))))</f>
        <v>0.875711869996116</v>
      </c>
      <c r="I34" s="25" t="n">
        <f aca="false">(1/(1+EXP(-(C34*1+D34*1+E34))))</f>
        <v>0.983576975842644</v>
      </c>
      <c r="J34" s="31" t="n">
        <f aca="false">-(C15*LN(F34)+(1-C15)*LN(1-F34)+D15*LN(G34)+(1-D15)*LN(1-G34)+E15*LN(H34)+(1-E15)*LN(1-H34)+F15*LN(I34)+(1-F15)*LN(1-I34))/4</f>
        <v>0.204687420022768</v>
      </c>
      <c r="K34" s="30" t="n">
        <f aca="false">((F34-C15)*0+(G34-D15)*0+(H34-E15)*1+(I34-F15)*1)/4</f>
        <v>-0.0351777885403099</v>
      </c>
      <c r="L34" s="30" t="n">
        <f aca="false">((F34-C15)*0+(G34-D15)*1+(H34-E15)*0+(I34-F15)*1)/4</f>
        <v>-0.04210742108019</v>
      </c>
      <c r="M34" s="30" t="n">
        <f aca="false">((F34-C15)+(G34-D15)+(H34-E15)+(I34-F15))/4</f>
        <v>0.0258822274667301</v>
      </c>
      <c r="N34" s="67" t="n">
        <f aca="false">(((F34&gt;=0.5)=C15)*1+((G34&gt;=0.5)=D15)*1+((H34&gt;=0.5)=E15)*1+((I34&gt;=0.5)=F15)*1)/4</f>
        <v>1</v>
      </c>
    </row>
    <row r="35" customFormat="false" ht="15" hidden="false" customHeight="false" outlineLevel="0" collapsed="false">
      <c r="B35" s="29" t="n">
        <v>17</v>
      </c>
      <c r="C35" s="30" t="n">
        <f aca="false">C34-C10*K34</f>
        <v>2.44391877175446</v>
      </c>
      <c r="D35" s="30" t="n">
        <f aca="false">D34-C10*L34</f>
        <v>2.22429185979317</v>
      </c>
      <c r="E35" s="30" t="n">
        <f aca="false">E34-C10*M34</f>
        <v>-0.472893027522314</v>
      </c>
      <c r="F35" s="25" t="n">
        <f aca="false">(1/(1+EXP(-(C35*0+D35*0+E35))))</f>
        <v>0.383931731766585</v>
      </c>
      <c r="G35" s="25" t="n">
        <f aca="false">(1/(1+EXP(-(C35*0+D35*1+E35))))</f>
        <v>0.852129148750479</v>
      </c>
      <c r="H35" s="25" t="n">
        <f aca="false">(1/(1+EXP(-(C35*1+D35*0+E35))))</f>
        <v>0.877721245540706</v>
      </c>
      <c r="I35" s="25" t="n">
        <f aca="false">(1/(1+EXP(-(C35*1+D35*1+E35))))</f>
        <v>0.985157657397237</v>
      </c>
      <c r="J35" s="31" t="n">
        <f aca="false">-(C15*LN(F35)+(1-C15)*LN(1-F35)+D15*LN(G35)+(1-D15)*LN(1-G35)+E15*LN(H35)+(1-E15)*LN(1-H35)+F15*LN(I35)+(1-F15)*LN(1-I35))/4</f>
        <v>0.197448623308315</v>
      </c>
      <c r="K35" s="30" t="n">
        <f aca="false">((F35-C15)*0+(G35-D15)*0+(H35-E15)*1+(I35-F15)*1)/4</f>
        <v>-0.0342802742655143</v>
      </c>
      <c r="L35" s="30" t="n">
        <f aca="false">((F35-C15)*0+(G35-D15)*1+(H35-E15)*0+(I35-F15)*1)/4</f>
        <v>-0.0406782984630711</v>
      </c>
      <c r="M35" s="30" t="n">
        <f aca="false">((F35-C15)+(G35-D15)+(H35-E15)+(I35-F15))/4</f>
        <v>0.0247349458637517</v>
      </c>
      <c r="N35" s="67" t="n">
        <f aca="false">(((F35&gt;=0.5)=C15)*1+((G35&gt;=0.5)=D15)*1+((H35&gt;=0.5)=E15)*1+((I35&gt;=0.5)=F15)*1)/4</f>
        <v>1</v>
      </c>
    </row>
    <row r="36" customFormat="false" ht="15" hidden="false" customHeight="false" outlineLevel="0" collapsed="false">
      <c r="B36" s="29" t="n">
        <v>18</v>
      </c>
      <c r="C36" s="30" t="n">
        <f aca="false">C35-C10*K35</f>
        <v>2.51247932028549</v>
      </c>
      <c r="D36" s="30" t="n">
        <f aca="false">D35-C10*L35</f>
        <v>2.30564845671931</v>
      </c>
      <c r="E36" s="30" t="n">
        <f aca="false">E35-C10*M35</f>
        <v>-0.522362919249817</v>
      </c>
      <c r="F36" s="25" t="n">
        <f aca="false">(1/(1+EXP(-(C36*0+D36*0+E36))))</f>
        <v>0.372299870346125</v>
      </c>
      <c r="G36" s="25" t="n">
        <f aca="false">(1/(1+EXP(-(C36*0+D36*1+E36))))</f>
        <v>0.856102089289594</v>
      </c>
      <c r="H36" s="25" t="n">
        <f aca="false">(1/(1+EXP(-(C36*1+D36*0+E36))))</f>
        <v>0.879755451652891</v>
      </c>
      <c r="I36" s="25" t="n">
        <f aca="false">(1/(1+EXP(-(C36*1+D36*1+E36))))</f>
        <v>0.986557030216801</v>
      </c>
      <c r="J36" s="31" t="n">
        <f aca="false">-(C15*LN(F36)+(1-C15)*LN(1-F36)+D15*LN(G36)+(1-D15)*LN(1-G36)+E15*LN(H36)+(1-E15)*LN(1-H36)+F15*LN(I36)+(1-F15)*LN(1-I36))/4</f>
        <v>0.190675956094122</v>
      </c>
      <c r="K36" s="30" t="n">
        <f aca="false">((F36-C15)*0+(G36-D15)*0+(H36-E15)*1+(I36-F15)*1)/4</f>
        <v>-0.0334218795325771</v>
      </c>
      <c r="L36" s="30" t="n">
        <f aca="false">((F36-C15)*0+(G36-D15)*1+(H36-E15)*0+(I36-F15)*1)/4</f>
        <v>-0.0393352201234012</v>
      </c>
      <c r="M36" s="30" t="n">
        <f aca="false">((F36-C15)+(G36-D15)+(H36-E15)+(I36-F15))/4</f>
        <v>0.0236786103763527</v>
      </c>
      <c r="N36" s="67" t="n">
        <f aca="false">(((F36&gt;=0.5)=C15)*1+((G36&gt;=0.5)=D15)*1+((H36&gt;=0.5)=E15)*1+((I36&gt;=0.5)=F15)*1)/4</f>
        <v>1</v>
      </c>
    </row>
    <row r="37" customFormat="false" ht="15" hidden="false" customHeight="false" outlineLevel="0" collapsed="false">
      <c r="B37" s="29" t="n">
        <v>19</v>
      </c>
      <c r="C37" s="30" t="n">
        <f aca="false">C36-C10*K36</f>
        <v>2.57932307935064</v>
      </c>
      <c r="D37" s="30" t="n">
        <f aca="false">D36-C10*L36</f>
        <v>2.38431889696611</v>
      </c>
      <c r="E37" s="30" t="n">
        <f aca="false">E36-C10*M36</f>
        <v>-0.569720140002523</v>
      </c>
      <c r="F37" s="25" t="n">
        <f aca="false">(1/(1+EXP(-(C37*0+D37*0+E37))))</f>
        <v>0.361301403592495</v>
      </c>
      <c r="G37" s="25" t="n">
        <f aca="false">(1/(1+EXP(-(C37*0+D37*1+E37))))</f>
        <v>0.859916757644834</v>
      </c>
      <c r="H37" s="25" t="n">
        <f aca="false">(1/(1+EXP(-(C37*1+D37*0+E37))))</f>
        <v>0.881801643823179</v>
      </c>
      <c r="I37" s="25" t="n">
        <f aca="false">(1/(1+EXP(-(C37*1+D37*1+E37))))</f>
        <v>0.987798524126146</v>
      </c>
      <c r="J37" s="31" t="n">
        <f aca="false">-(C15*LN(F37)+(1-C15)*LN(1-F37)+D15*LN(G37)+(1-D15)*LN(1-G37)+E15*LN(H37)+(1-E15)*LN(1-H37)+F15*LN(I37)+(1-F15)*LN(1-I37))/4</f>
        <v>0.184326742680142</v>
      </c>
      <c r="K37" s="30" t="n">
        <f aca="false">((F37-C15)*0+(G37-D15)*0+(H37-E15)*1+(I37-F15)*1)/4</f>
        <v>-0.0325999580126688</v>
      </c>
      <c r="L37" s="30" t="n">
        <f aca="false">((F37-C15)*0+(G37-D15)*1+(H37-E15)*0+(I37-F15)*1)/4</f>
        <v>-0.0380711795572551</v>
      </c>
      <c r="M37" s="30" t="n">
        <f aca="false">((F37-C15)+(G37-D15)+(H37-E15)+(I37-F15))/4</f>
        <v>0.0227045822966635</v>
      </c>
      <c r="N37" s="67" t="n">
        <f aca="false">(((F37&gt;=0.5)=C15)*1+((G37&gt;=0.5)=D15)*1+((H37&gt;=0.5)=E15)*1+((I37&gt;=0.5)=F15)*1)/4</f>
        <v>1</v>
      </c>
    </row>
    <row r="38" customFormat="false" ht="15" hidden="false" customHeight="false" outlineLevel="0" collapsed="false">
      <c r="B38" s="29" t="n">
        <v>20</v>
      </c>
      <c r="C38" s="30" t="n">
        <f aca="false">C37-C10*K37</f>
        <v>2.64452299537598</v>
      </c>
      <c r="D38" s="30" t="n">
        <f aca="false">D37-C10*L37</f>
        <v>2.46046125608062</v>
      </c>
      <c r="E38" s="30" t="n">
        <f aca="false">E37-C10*M37</f>
        <v>-0.615129304595849</v>
      </c>
      <c r="F38" s="25" t="n">
        <f aca="false">(1/(1+EXP(-(C38*0+D38*0+E38))))</f>
        <v>0.350890023969235</v>
      </c>
      <c r="G38" s="25" t="n">
        <f aca="false">(1/(1+EXP(-(C38*0+D38*1+E38))))</f>
        <v>0.863578088435008</v>
      </c>
      <c r="H38" s="25" t="n">
        <f aca="false">(1/(1+EXP(-(C38*1+D38*0+E38))))</f>
        <v>0.883848848673872</v>
      </c>
      <c r="I38" s="25" t="n">
        <f aca="false">(1/(1+EXP(-(C38*1+D38*1+E38))))</f>
        <v>0.988902270219574</v>
      </c>
      <c r="J38" s="31" t="n">
        <f aca="false">-(C15*LN(F38)+(1-C15)*LN(1-F38)+D15*LN(G38)+(1-D15)*LN(1-G38)+E15*LN(H38)+(1-E15)*LN(1-H38)+F15*LN(I38)+(1-F15)*LN(1-I38))/4</f>
        <v>0.178363265173166</v>
      </c>
      <c r="K38" s="30" t="n">
        <f aca="false">((F38-C15)*0+(G38-D15)*0+(H38-E15)*1+(I38-F15)*1)/4</f>
        <v>-0.0318122202766385</v>
      </c>
      <c r="L38" s="30" t="n">
        <f aca="false">((F38-C15)*0+(G38-D15)*1+(H38-E15)*0+(I38-F15)*1)/4</f>
        <v>-0.0368799103363546</v>
      </c>
      <c r="M38" s="30" t="n">
        <f aca="false">((F38-C15)+(G38-D15)+(H38-E15)+(I38-F15))/4</f>
        <v>0.0218048078244222</v>
      </c>
      <c r="N38" s="67" t="n">
        <f aca="false">(((F38&gt;=0.5)=C15)*1+((G38&gt;=0.5)=D15)*1+((H38&gt;=0.5)=E15)*1+((I38&gt;=0.5)=F15)*1)/4</f>
        <v>1</v>
      </c>
    </row>
    <row r="39" customFormat="false" ht="15" hidden="false" customHeight="false" outlineLevel="0" collapsed="false">
      <c r="B39" s="29" t="n">
        <v>21</v>
      </c>
      <c r="C39" s="30" t="n">
        <f aca="false">C38-C10*K38</f>
        <v>2.70814743592925</v>
      </c>
      <c r="D39" s="30" t="n">
        <f aca="false">D38-C10*L38</f>
        <v>2.53422107675333</v>
      </c>
      <c r="E39" s="30" t="n">
        <f aca="false">E38-C10*M38</f>
        <v>-0.658738920244694</v>
      </c>
      <c r="F39" s="25" t="n">
        <f aca="false">(1/(1+EXP(-(C39*0+D39*0+E39))))</f>
        <v>0.34102295249145</v>
      </c>
      <c r="G39" s="25" t="n">
        <f aca="false">(1/(1+EXP(-(C39*0+D39*1+E39))))</f>
        <v>0.867091335259033</v>
      </c>
      <c r="H39" s="25" t="n">
        <f aca="false">(1/(1+EXP(-(C39*1+D39*0+E39))))</f>
        <v>0.88588783887647</v>
      </c>
      <c r="I39" s="25" t="n">
        <f aca="false">(1/(1+EXP(-(C39*1+D39*1+E39))))</f>
        <v>0.98988560362996</v>
      </c>
      <c r="J39" s="31" t="n">
        <f aca="false">-(C15*LN(F39)+(1-C15)*LN(1-F39)+D15*LN(G39)+(1-D15)*LN(1-G39)+E15*LN(H39)+(1-E15)*LN(1-H39)+F15*LN(I39)+(1-F15)*LN(1-I39))/4</f>
        <v>0.172752089822618</v>
      </c>
      <c r="K39" s="30" t="n">
        <f aca="false">((F39-C15)*0+(G39-D15)*0+(H39-E15)*1+(I39-F15)*1)/4</f>
        <v>-0.0310566393733925</v>
      </c>
      <c r="L39" s="30" t="n">
        <f aca="false">((F39-C15)*0+(G39-D15)*1+(H39-E15)*0+(I39-F15)*1)/4</f>
        <v>-0.0357557652777517</v>
      </c>
      <c r="M39" s="30" t="n">
        <f aca="false">((F39-C15)+(G39-D15)+(H39-E15)+(I39-F15))/4</f>
        <v>0.0209719325642284</v>
      </c>
      <c r="N39" s="67" t="n">
        <f aca="false">(((F39&gt;=0.5)=C15)*1+((G39&gt;=0.5)=D15)*1+((H39&gt;=0.5)=E15)*1+((I39&gt;=0.5)=F15)*1)/4</f>
        <v>1</v>
      </c>
    </row>
    <row r="40" customFormat="false" ht="15" hidden="false" customHeight="false" outlineLevel="0" collapsed="false">
      <c r="B40" s="29" t="n">
        <v>22</v>
      </c>
      <c r="C40" s="30" t="n">
        <f aca="false">C39-C10*K39</f>
        <v>2.77026071467604</v>
      </c>
      <c r="D40" s="30" t="n">
        <f aca="false">D39-C10*L39</f>
        <v>2.60573260730884</v>
      </c>
      <c r="E40" s="30" t="n">
        <f aca="false">E39-C10*M39</f>
        <v>-0.70068278537315</v>
      </c>
      <c r="F40" s="25" t="n">
        <f aca="false">(1/(1+EXP(-(C40*0+D40*0+E40))))</f>
        <v>0.331660862912955</v>
      </c>
      <c r="G40" s="25" t="n">
        <f aca="false">(1/(1+EXP(-(C40*0+D40*1+E40))))</f>
        <v>0.870461999001217</v>
      </c>
      <c r="H40" s="25" t="n">
        <f aca="false">(1/(1+EXP(-(C40*1+D40*0+E40))))</f>
        <v>0.887910961697736</v>
      </c>
      <c r="I40" s="25" t="n">
        <f aca="false">(1/(1+EXP(-(C40*1+D40*1+E40))))</f>
        <v>0.99076347899443</v>
      </c>
      <c r="J40" s="31" t="n">
        <f aca="false">-(C15*LN(F40)+(1-C15)*LN(1-F40)+D15*LN(G40)+(1-D15)*LN(1-G40)+E15*LN(H40)+(1-E15)*LN(1-H40)+F15*LN(I40)+(1-F15)*LN(1-I40))/4</f>
        <v>0.167463492628531</v>
      </c>
      <c r="K40" s="30" t="n">
        <f aca="false">((F40-C15)*0+(G40-D15)*0+(H40-E15)*1+(I40-F15)*1)/4</f>
        <v>-0.0303313898269585</v>
      </c>
      <c r="L40" s="30" t="n">
        <f aca="false">((F40-C15)*0+(G40-D15)*1+(H40-E15)*0+(I40-F15)*1)/4</f>
        <v>-0.0346936305010883</v>
      </c>
      <c r="M40" s="30" t="n">
        <f aca="false">((F40-C15)+(G40-D15)+(H40-E15)+(I40-F15))/4</f>
        <v>0.0201993256515845</v>
      </c>
      <c r="N40" s="67" t="n">
        <f aca="false">(((F40&gt;=0.5)=C15)*1+((G40&gt;=0.5)=D15)*1+((H40&gt;=0.5)=E15)*1+((I40&gt;=0.5)=F15)*1)/4</f>
        <v>1</v>
      </c>
    </row>
    <row r="41" customFormat="false" ht="15" hidden="false" customHeight="false" outlineLevel="0" collapsed="false">
      <c r="B41" s="29" t="n">
        <v>23</v>
      </c>
      <c r="C41" s="30" t="n">
        <f aca="false">C40-C10*K40</f>
        <v>2.83092349432996</v>
      </c>
      <c r="D41" s="30" t="n">
        <f aca="false">D40-C10*L40</f>
        <v>2.67511986831101</v>
      </c>
      <c r="E41" s="30" t="n">
        <f aca="false">E40-C10*M40</f>
        <v>-0.741081436676319</v>
      </c>
      <c r="F41" s="25" t="n">
        <f aca="false">(1/(1+EXP(-(C41*0+D41*0+E41))))</f>
        <v>0.322767708614747</v>
      </c>
      <c r="G41" s="25" t="n">
        <f aca="false">(1/(1+EXP(-(C41*0+D41*1+E41))))</f>
        <v>0.873695739797153</v>
      </c>
      <c r="H41" s="25" t="n">
        <f aca="false">(1/(1+EXP(-(C41*1+D41*0+E41))))</f>
        <v>0.889911953188964</v>
      </c>
      <c r="I41" s="25" t="n">
        <f aca="false">(1/(1+EXP(-(C41*1+D41*1+E41))))</f>
        <v>0.991548818468847</v>
      </c>
      <c r="J41" s="31" t="n">
        <f aca="false">-(C15*LN(F41)+(1-C15)*LN(1-F41)+D15*LN(G41)+(1-D15)*LN(1-G41)+E15*LN(H41)+(1-E15)*LN(1-H41)+F15*LN(I41)+(1-F15)*LN(1-I41))/4</f>
        <v>0.162470969830981</v>
      </c>
      <c r="K41" s="30" t="n">
        <f aca="false">((F41-C15)*0+(G41-D15)*0+(H41-E15)*1+(I41-F15)*1)/4</f>
        <v>-0.0296348070855472</v>
      </c>
      <c r="L41" s="30" t="n">
        <f aca="false">((F41-C15)*0+(G41-D15)*1+(H41-E15)*0+(I41-F15)*1)/4</f>
        <v>-0.0336888604335001</v>
      </c>
      <c r="M41" s="30" t="n">
        <f aca="false">((F41-C15)+(G41-D15)+(H41-E15)+(I41-F15))/4</f>
        <v>0.0194810550174278</v>
      </c>
      <c r="N41" s="67" t="n">
        <f aca="false">(((F41&gt;=0.5)=C15)*1+((G41&gt;=0.5)=D15)*1+((H41&gt;=0.5)=E15)*1+((I41&gt;=0.5)=F15)*1)/4</f>
        <v>1</v>
      </c>
    </row>
    <row r="42" customFormat="false" ht="15" hidden="false" customHeight="false" outlineLevel="0" collapsed="false">
      <c r="B42" s="29" t="n">
        <v>24</v>
      </c>
      <c r="C42" s="30" t="n">
        <f aca="false">C41-C10*K41</f>
        <v>2.89019310850105</v>
      </c>
      <c r="D42" s="30" t="n">
        <f aca="false">D41-C10*L41</f>
        <v>2.74249758917801</v>
      </c>
      <c r="E42" s="30" t="n">
        <f aca="false">E41-C10*M41</f>
        <v>-0.780043546711175</v>
      </c>
      <c r="F42" s="25" t="n">
        <f aca="false">(1/(1+EXP(-(C42*0+D42*0+E42))))</f>
        <v>0.314310500824362</v>
      </c>
      <c r="G42" s="25" t="n">
        <f aca="false">(1/(1+EXP(-(C42*0+D42*1+E42))))</f>
        <v>0.87679829080174</v>
      </c>
      <c r="H42" s="25" t="n">
        <f aca="false">(1/(1+EXP(-(C42*1+D42*0+E42))))</f>
        <v>0.891885755661807</v>
      </c>
      <c r="I42" s="25" t="n">
        <f aca="false">(1/(1+EXP(-(C42*1+D42*1+E42))))</f>
        <v>0.992252805574748</v>
      </c>
      <c r="J42" s="31" t="n">
        <f aca="false">-(C15*LN(F42)+(1-C15)*LN(1-F42)+D15*LN(G42)+(1-D15)*LN(1-G42)+E15*LN(H42)+(1-E15)*LN(1-H42)+F15*LN(I42)+(1-F15)*LN(1-I42))/4</f>
        <v>0.157750820508018</v>
      </c>
      <c r="K42" s="30" t="n">
        <f aca="false">((F42-C15)*0+(G42-D15)*0+(H42-E15)*1+(I42-F15)*1)/4</f>
        <v>-0.0289653596908614</v>
      </c>
      <c r="L42" s="30" t="n">
        <f aca="false">((F42-C15)*0+(G42-D15)*1+(H42-E15)*0+(I42-F15)*1)/4</f>
        <v>-0.032737225905878</v>
      </c>
      <c r="M42" s="30" t="n">
        <f aca="false">((F42-C15)+(G42-D15)+(H42-E15)+(I42-F15))/4</f>
        <v>0.0188118382156641</v>
      </c>
      <c r="N42" s="67" t="n">
        <f aca="false">(((F42&gt;=0.5)=C15)*1+((G42&gt;=0.5)=D15)*1+((H42&gt;=0.5)=E15)*1+((I42&gt;=0.5)=F15)*1)/4</f>
        <v>1</v>
      </c>
    </row>
    <row r="43" customFormat="false" ht="15" hidden="false" customHeight="false" outlineLevel="0" collapsed="false">
      <c r="B43" s="29" t="n">
        <v>25</v>
      </c>
      <c r="C43" s="30" t="n">
        <f aca="false">C42-C10*K42</f>
        <v>2.94812382788277</v>
      </c>
      <c r="D43" s="30" t="n">
        <f aca="false">D42-C10*L42</f>
        <v>2.80797204098977</v>
      </c>
      <c r="E43" s="30" t="n">
        <f aca="false">E42-C10*M42</f>
        <v>-0.817667223142503</v>
      </c>
      <c r="F43" s="25" t="n">
        <f aca="false">(1/(1+EXP(-(C43*0+D43*0+E43))))</f>
        <v>0.306259067920375</v>
      </c>
      <c r="G43" s="25" t="n">
        <f aca="false">(1/(1+EXP(-(C43*0+D43*1+E43))))</f>
        <v>0.879775382049337</v>
      </c>
      <c r="H43" s="25" t="n">
        <f aca="false">(1/(1+EXP(-(C43*1+D43*0+E43))))</f>
        <v>0.893828347556982</v>
      </c>
      <c r="I43" s="25" t="n">
        <f aca="false">(1/(1+EXP(-(C43*1+D43*1+E43))))</f>
        <v>0.992885134438124</v>
      </c>
      <c r="J43" s="31" t="n">
        <f aca="false">-(C15*LN(F43)+(1-C15)*LN(1-F43)+D15*LN(G43)+(1-D15)*LN(1-G43)+E15*LN(H43)+(1-E15)*LN(1-H43)+F15*LN(I43)+(1-F15)*LN(1-I43))/4</f>
        <v>0.153281790193994</v>
      </c>
      <c r="K43" s="30" t="n">
        <f aca="false">((F43-C15)*0+(G43-D15)*0+(H43-E15)*1+(I43-F15)*1)/4</f>
        <v>-0.0283216295012236</v>
      </c>
      <c r="L43" s="30" t="n">
        <f aca="false">((F43-C15)*0+(G43-D15)*1+(H43-E15)*0+(I43-F15)*1)/4</f>
        <v>-0.0318348708781346</v>
      </c>
      <c r="M43" s="30" t="n">
        <f aca="false">((F43-C15)+(G43-D15)+(H43-E15)+(I43-F15))/4</f>
        <v>0.0181869829912045</v>
      </c>
      <c r="N43" s="67" t="n">
        <f aca="false">(((F43&gt;=0.5)=C15)*1+((G43&gt;=0.5)=D15)*1+((H43&gt;=0.5)=E15)*1+((I43&gt;=0.5)=F15)*1)/4</f>
        <v>1</v>
      </c>
    </row>
    <row r="44" customFormat="false" ht="15" hidden="false" customHeight="false" outlineLevel="0" collapsed="false">
      <c r="B44" s="29" t="n">
        <v>26</v>
      </c>
      <c r="C44" s="30" t="n">
        <f aca="false">C43-C10*K43</f>
        <v>3.00476708688522</v>
      </c>
      <c r="D44" s="30" t="n">
        <f aca="false">D43-C10*L43</f>
        <v>2.87164178274604</v>
      </c>
      <c r="E44" s="30" t="n">
        <f aca="false">E43-C10*M43</f>
        <v>-0.854041189124912</v>
      </c>
      <c r="F44" s="25" t="n">
        <f aca="false">(1/(1+EXP(-(C44*0+D44*0+E44))))</f>
        <v>0.298585813588731</v>
      </c>
      <c r="G44" s="25" t="n">
        <f aca="false">(1/(1+EXP(-(C44*0+D44*1+E44))))</f>
        <v>0.882632677367015</v>
      </c>
      <c r="H44" s="25" t="n">
        <f aca="false">(1/(1+EXP(-(C44*1+D44*0+E44))))</f>
        <v>0.89573658980221</v>
      </c>
      <c r="I44" s="25" t="n">
        <f aca="false">(1/(1+EXP(-(C44*1+D44*1+E44))))</f>
        <v>0.99345422173171</v>
      </c>
      <c r="J44" s="31" t="n">
        <f aca="false">-(C15*LN(F44)+(1-C15)*LN(1-F44)+D15*LN(G44)+(1-D15)*LN(1-G44)+E15*LN(H44)+(1-E15)*LN(1-H44)+F15*LN(I44)+(1-F15)*LN(1-I44))/4</f>
        <v>0.149044766032644</v>
      </c>
      <c r="K44" s="30" t="n">
        <f aca="false">((F44-C15)*0+(G44-D15)*0+(H44-E15)*1+(I44-F15)*1)/4</f>
        <v>-0.02770229711652</v>
      </c>
      <c r="L44" s="30" t="n">
        <f aca="false">((F44-C15)*0+(G44-D15)*1+(H44-E15)*0+(I44-F15)*1)/4</f>
        <v>-0.0309782752253188</v>
      </c>
      <c r="M44" s="30" t="n">
        <f aca="false">((F44-C15)+(G44-D15)+(H44-E15)+(I44-F15))/4</f>
        <v>0.0176023256224165</v>
      </c>
      <c r="N44" s="67" t="n">
        <f aca="false">(((F44&gt;=0.5)=C15)*1+((G44&gt;=0.5)=D15)*1+((H44&gt;=0.5)=E15)*1+((I44&gt;=0.5)=F15)*1)/4</f>
        <v>1</v>
      </c>
    </row>
    <row r="45" customFormat="false" ht="15" hidden="false" customHeight="false" outlineLevel="0" collapsed="false">
      <c r="B45" s="29" t="n">
        <v>27</v>
      </c>
      <c r="C45" s="30" t="n">
        <f aca="false">C44-C10*K44</f>
        <v>3.06017168111826</v>
      </c>
      <c r="D45" s="30" t="n">
        <f aca="false">D44-C10*L44</f>
        <v>2.93359833319668</v>
      </c>
      <c r="E45" s="30" t="n">
        <f aca="false">E44-C10*M44</f>
        <v>-0.889245840369745</v>
      </c>
      <c r="F45" s="25" t="n">
        <f aca="false">(1/(1+EXP(-(C45*0+D45*0+E45))))</f>
        <v>0.29126548402162</v>
      </c>
      <c r="G45" s="25" t="n">
        <f aca="false">(1/(1+EXP(-(C45*0+D45*1+E45))))</f>
        <v>0.885375724540809</v>
      </c>
      <c r="H45" s="25" t="n">
        <f aca="false">(1/(1+EXP(-(C45*1+D45*0+E45))))</f>
        <v>0.897608089878271</v>
      </c>
      <c r="I45" s="25" t="n">
        <f aca="false">(1/(1+EXP(-(C45*1+D45*1+E45))))</f>
        <v>0.993967387167275</v>
      </c>
      <c r="J45" s="31" t="n">
        <f aca="false">-(C15*LN(F45)+(1-C15)*LN(1-F45)+D15*LN(G45)+(1-D15)*LN(1-G45)+E15*LN(H45)+(1-E15)*LN(1-H45)+F15*LN(I45)+(1-F15)*LN(1-I45))/4</f>
        <v>0.145022515427359</v>
      </c>
      <c r="K45" s="30" t="n">
        <f aca="false">((F45-C15)*0+(G45-D15)*0+(H45-E15)*1+(I45-F15)*1)/4</f>
        <v>-0.0271061307386135</v>
      </c>
      <c r="L45" s="30" t="n">
        <f aca="false">((F45-C15)*0+(G45-D15)*1+(H45-E15)*0+(I45-F15)*1)/4</f>
        <v>-0.0301642220729791</v>
      </c>
      <c r="M45" s="30" t="n">
        <f aca="false">((F45-C15)+(G45-D15)+(H45-E15)+(I45-F15))/4</f>
        <v>0.0170541714019937</v>
      </c>
      <c r="N45" s="67" t="n">
        <f aca="false">(((F45&gt;=0.5)=C15)*1+((G45&gt;=0.5)=D15)*1+((H45&gt;=0.5)=E15)*1+((I45&gt;=0.5)=F15)*1)/4</f>
        <v>1</v>
      </c>
    </row>
    <row r="46" customFormat="false" ht="15" hidden="false" customHeight="false" outlineLevel="0" collapsed="false">
      <c r="B46" s="29" t="n">
        <v>28</v>
      </c>
      <c r="C46" s="30" t="n">
        <f aca="false">C45-C10*K45</f>
        <v>3.11438394259549</v>
      </c>
      <c r="D46" s="30" t="n">
        <f aca="false">D45-C10*L45</f>
        <v>2.99392677734263</v>
      </c>
      <c r="E46" s="30" t="n">
        <f aca="false">E45-C10*M45</f>
        <v>-0.923354183173733</v>
      </c>
      <c r="F46" s="25" t="n">
        <f aca="false">(1/(1+EXP(-(C46*0+D46*0+E46))))</f>
        <v>0.284274949599622</v>
      </c>
      <c r="G46" s="25" t="n">
        <f aca="false">(1/(1+EXP(-(C46*0+D46*1+E46))))</f>
        <v>0.888009917614414</v>
      </c>
      <c r="H46" s="25" t="n">
        <f aca="false">(1/(1+EXP(-(C46*1+D46*0+E46))))</f>
        <v>0.89944108322003</v>
      </c>
      <c r="I46" s="25" t="n">
        <f aca="false">(1/(1+EXP(-(C46*1+D46*1+E46))))</f>
        <v>0.994431007349367</v>
      </c>
      <c r="J46" s="31" t="n">
        <f aca="false">-(C15*LN(F46)+(1-C15)*LN(1-F46)+D15*LN(G46)+(1-D15)*LN(1-G46)+E15*LN(H46)+(1-E15)*LN(1-H46)+F15*LN(I46)+(1-F15)*LN(1-I46))/4</f>
        <v>0.141199461419323</v>
      </c>
      <c r="K46" s="30" t="n">
        <f aca="false">((F46-C15)*0+(G46-D15)*0+(H46-E15)*1+(I46-F15)*1)/4</f>
        <v>-0.026531977357651</v>
      </c>
      <c r="L46" s="30" t="n">
        <f aca="false">((F46-C15)*0+(G46-D15)*1+(H46-E15)*0+(I46-F15)*1)/4</f>
        <v>-0.0293897687590548</v>
      </c>
      <c r="M46" s="30" t="n">
        <f aca="false">((F46-C15)+(G46-D15)+(H46-E15)+(I46-F15))/4</f>
        <v>0.0165392394458582</v>
      </c>
      <c r="N46" s="67" t="n">
        <f aca="false">(((F46&gt;=0.5)=C15)*1+((G46&gt;=0.5)=D15)*1+((H46&gt;=0.5)=E15)*1+((I46&gt;=0.5)=F15)*1)/4</f>
        <v>1</v>
      </c>
    </row>
    <row r="47" customFormat="false" ht="15" hidden="false" customHeight="false" outlineLevel="0" collapsed="false">
      <c r="B47" s="29" t="n">
        <v>29</v>
      </c>
      <c r="C47" s="30" t="n">
        <f aca="false">C46-C10*K46</f>
        <v>3.16744789731079</v>
      </c>
      <c r="D47" s="30" t="n">
        <f aca="false">D46-C10*L46</f>
        <v>3.05270631486074</v>
      </c>
      <c r="E47" s="30" t="n">
        <f aca="false">E46-C10*M46</f>
        <v>-0.956432662065449</v>
      </c>
      <c r="F47" s="25" t="n">
        <f aca="false">(1/(1+EXP(-(C47*0+D47*0+E47))))</f>
        <v>0.277593003556786</v>
      </c>
      <c r="G47" s="25" t="n">
        <f aca="false">(1/(1+EXP(-(C47*0+D47*1+E47))))</f>
        <v>0.890540469670562</v>
      </c>
      <c r="H47" s="25" t="n">
        <f aca="false">(1/(1+EXP(-(C47*1+D47*0+E47))))</f>
        <v>0.901234330756284</v>
      </c>
      <c r="I47" s="25" t="n">
        <f aca="false">(1/(1+EXP(-(C47*1+D47*1+E47))))</f>
        <v>0.994850647017659</v>
      </c>
      <c r="J47" s="31" t="n">
        <f aca="false">-(C15*LN(F47)+(1-C15)*LN(1-F47)+D15*LN(G47)+(1-D15)*LN(1-G47)+E15*LN(H47)+(1-E15)*LN(1-H47)+F15*LN(I47)+(1-F15)*LN(1-I47))/4</f>
        <v>0.137561489112869</v>
      </c>
      <c r="K47" s="30" t="n">
        <f aca="false">((F47-C15)*0+(G47-D15)*0+(H47-E15)*1+(I47-F15)*1)/4</f>
        <v>-0.0259787555565141</v>
      </c>
      <c r="L47" s="30" t="n">
        <f aca="false">((F47-C15)*0+(G47-D15)*1+(H47-E15)*0+(I47-F15)*1)/4</f>
        <v>-0.0286522208279446</v>
      </c>
      <c r="M47" s="30" t="n">
        <f aca="false">((F47-C15)+(G47-D15)+(H47-E15)+(I47-F15))/4</f>
        <v>0.0160546127503228</v>
      </c>
      <c r="N47" s="67" t="n">
        <f aca="false">(((F47&gt;=0.5)=C15)*1+((G47&gt;=0.5)=D15)*1+((H47&gt;=0.5)=E15)*1+((I47&gt;=0.5)=F15)*1)/4</f>
        <v>1</v>
      </c>
    </row>
    <row r="48" customFormat="false" ht="15" hidden="false" customHeight="false" outlineLevel="0" collapsed="false">
      <c r="B48" s="29" t="n">
        <v>30</v>
      </c>
      <c r="C48" s="30" t="n">
        <f aca="false">C47-C10*K47</f>
        <v>3.21940540842382</v>
      </c>
      <c r="D48" s="30" t="n">
        <f aca="false">D47-C10*L47</f>
        <v>3.11001075651663</v>
      </c>
      <c r="E48" s="30" t="n">
        <f aca="false">E47-C10*M47</f>
        <v>-0.988541887566095</v>
      </c>
      <c r="F48" s="25" t="n">
        <f aca="false">(1/(1+EXP(-(C48*0+D48*0+E48))))</f>
        <v>0.271200178342788</v>
      </c>
      <c r="G48" s="25" t="n">
        <f aca="false">(1/(1+EXP(-(C48*0+D48*1+E48))))</f>
        <v>0.892972394335585</v>
      </c>
      <c r="H48" s="25" t="n">
        <f aca="false">(1/(1+EXP(-(C48*1+D48*0+E48))))</f>
        <v>0.902987031023411</v>
      </c>
      <c r="I48" s="25" t="n">
        <f aca="false">(1/(1+EXP(-(C48*1+D48*1+E48))))</f>
        <v>0.995231171078961</v>
      </c>
      <c r="J48" s="31" t="n">
        <f aca="false">-(C15*LN(F48)+(1-C15)*LN(1-F48)+D15*LN(G48)+(1-D15)*LN(1-G48)+E15*LN(H48)+(1-E15)*LN(1-H48)+F15*LN(I48)+(1-F15)*LN(1-I48))/4</f>
        <v>0.134095778389971</v>
      </c>
      <c r="K48" s="30" t="n">
        <f aca="false">((F48-C15)*0+(G48-D15)*0+(H48-E15)*1+(I48-F15)*1)/4</f>
        <v>-0.025445449474407</v>
      </c>
      <c r="L48" s="30" t="n">
        <f aca="false">((F48-C15)*0+(G48-D15)*1+(H48-E15)*0+(I48-F15)*1)/4</f>
        <v>-0.0279491086463635</v>
      </c>
      <c r="M48" s="30" t="n">
        <f aca="false">((F48-C15)+(G48-D15)+(H48-E15)+(I48-F15))/4</f>
        <v>0.0155976936951863</v>
      </c>
      <c r="N48" s="67" t="n">
        <f aca="false">(((F48&gt;=0.5)=C15)*1+((G48&gt;=0.5)=D15)*1+((H48&gt;=0.5)=E15)*1+((I48&gt;=0.5)=F15)*1)/4</f>
        <v>1</v>
      </c>
    </row>
    <row r="49" customFormat="false" ht="15" hidden="false" customHeight="false" outlineLevel="0" collapsed="false">
      <c r="B49" s="29" t="n">
        <v>31</v>
      </c>
      <c r="C49" s="30" t="n">
        <f aca="false">C48-C10*K48</f>
        <v>3.27029630737263</v>
      </c>
      <c r="D49" s="30" t="n">
        <f aca="false">D48-C10*L48</f>
        <v>3.16590897380936</v>
      </c>
      <c r="E49" s="30" t="n">
        <f aca="false">E48-C10*M48</f>
        <v>-1.01973727495647</v>
      </c>
      <c r="F49" s="25" t="n">
        <f aca="false">(1/(1+EXP(-(C49*0+D49*0+E49))))</f>
        <v>0.265078579346214</v>
      </c>
      <c r="G49" s="25" t="n">
        <f aca="false">(1/(1+EXP(-(C49*0+D49*1+E49))))</f>
        <v>0.89531049434657</v>
      </c>
      <c r="H49" s="25" t="n">
        <f aca="false">(1/(1+EXP(-(C49*1+D49*0+E49))))</f>
        <v>0.904698745180995</v>
      </c>
      <c r="I49" s="25" t="n">
        <f aca="false">(1/(1+EXP(-(C49*1+D49*1+E49))))</f>
        <v>0.995576840313233</v>
      </c>
      <c r="J49" s="31" t="n">
        <f aca="false">-(C15*LN(F49)+(1-C15)*LN(1-F49)+D15*LN(G49)+(1-D15)*LN(1-G49)+E15*LN(H49)+(1-E15)*LN(1-H49)+F15*LN(I49)+(1-F15)*LN(1-I49))/4</f>
        <v>0.13079065893079</v>
      </c>
      <c r="K49" s="30" t="n">
        <f aca="false">((F49-C15)*0+(G49-D15)*0+(H49-E15)*1+(I49-F15)*1)/4</f>
        <v>-0.0249311036264432</v>
      </c>
      <c r="L49" s="30" t="n">
        <f aca="false">((F49-C15)*0+(G49-D15)*1+(H49-E15)*0+(I49-F15)*1)/4</f>
        <v>-0.0272781663350493</v>
      </c>
      <c r="M49" s="30" t="n">
        <f aca="false">((F49-C15)+(G49-D15)+(H49-E15)+(I49-F15))/4</f>
        <v>0.0151661647967528</v>
      </c>
      <c r="N49" s="67" t="n">
        <f aca="false">(((F49&gt;=0.5)=C15)*1+((G49&gt;=0.5)=D15)*1+((H49&gt;=0.5)=E15)*1+((I49&gt;=0.5)=F15)*1)/4</f>
        <v>1</v>
      </c>
    </row>
    <row r="50" customFormat="false" ht="15" hidden="false" customHeight="false" outlineLevel="0" collapsed="false">
      <c r="B50" s="29" t="n">
        <v>32</v>
      </c>
      <c r="C50" s="30" t="n">
        <f aca="false">C49-C10*K49</f>
        <v>3.32015851462552</v>
      </c>
      <c r="D50" s="30" t="n">
        <f aca="false">D49-C10*L49</f>
        <v>3.22046530647946</v>
      </c>
      <c r="E50" s="30" t="n">
        <f aca="false">E49-C10*M49</f>
        <v>-1.05006960454997</v>
      </c>
      <c r="F50" s="25" t="n">
        <f aca="false">(1/(1+EXP(-(C50*0+D50*0+E50))))</f>
        <v>0.259211735057753</v>
      </c>
      <c r="G50" s="25" t="n">
        <f aca="false">(1/(1+EXP(-(C50*0+D50*1+E50))))</f>
        <v>0.89755935571067</v>
      </c>
      <c r="H50" s="25" t="n">
        <f aca="false">(1/(1+EXP(-(C50*1+D50*0+E50))))</f>
        <v>0.906369333296417</v>
      </c>
      <c r="I50" s="25" t="n">
        <f aca="false">(1/(1+EXP(-(C50*1+D50*1+E50))))</f>
        <v>0.995891393203387</v>
      </c>
      <c r="J50" s="31" t="n">
        <f aca="false">-(C15*LN(F50)+(1-C15)*LN(1-F50)+D15*LN(G50)+(1-D15)*LN(1-G50)+E15*LN(H50)+(1-E15)*LN(1-H50)+F15*LN(I50)+(1-F15)*LN(1-I50))/4</f>
        <v>0.12763548420494</v>
      </c>
      <c r="K50" s="30" t="n">
        <f aca="false">((F50-C15)*0+(G50-D15)*0+(H50-E15)*1+(I50-F15)*1)/4</f>
        <v>-0.0244348183750489</v>
      </c>
      <c r="L50" s="30" t="n">
        <f aca="false">((F50-C15)*0+(G50-D15)*1+(H50-E15)*0+(I50-F15)*1)/4</f>
        <v>-0.0266373127714858</v>
      </c>
      <c r="M50" s="30" t="n">
        <f aca="false">((F50-C15)+(G50-D15)+(H50-E15)+(I50-F15))/4</f>
        <v>0.0147579543170569</v>
      </c>
      <c r="N50" s="67" t="n">
        <f aca="false">(((F50&gt;=0.5)=C15)*1+((G50&gt;=0.5)=D15)*1+((H50&gt;=0.5)=E15)*1+((I50&gt;=0.5)=F15)*1)/4</f>
        <v>1</v>
      </c>
    </row>
    <row r="51" customFormat="false" ht="15" hidden="false" customHeight="false" outlineLevel="0" collapsed="false">
      <c r="B51" s="29" t="n">
        <v>33</v>
      </c>
      <c r="C51" s="30" t="n">
        <f aca="false">C50-C10*K50</f>
        <v>3.36902815137562</v>
      </c>
      <c r="D51" s="30" t="n">
        <f aca="false">D50-C10*L50</f>
        <v>3.27373993202243</v>
      </c>
      <c r="E51" s="30" t="n">
        <f aca="false">E50-C10*M50</f>
        <v>-1.07958551318409</v>
      </c>
      <c r="F51" s="25" t="n">
        <f aca="false">(1/(1+EXP(-(C51*0+D51*0+E51))))</f>
        <v>0.253584462457794</v>
      </c>
      <c r="G51" s="25" t="n">
        <f aca="false">(1/(1+EXP(-(C51*0+D51*1+E51))))</f>
        <v>0.899723346204099</v>
      </c>
      <c r="H51" s="25" t="n">
        <f aca="false">(1/(1+EXP(-(C51*1+D51*0+E51))))</f>
        <v>0.907998900379593</v>
      </c>
      <c r="I51" s="25" t="n">
        <f aca="false">(1/(1+EXP(-(C51*1+D51*1+E51))))</f>
        <v>0.996178115969725</v>
      </c>
      <c r="J51" s="31" t="n">
        <f aca="false">-(C15*LN(F51)+(1-C15)*LN(1-F51)+D15*LN(G51)+(1-D15)*LN(1-G51)+E15*LN(H51)+(1-E15)*LN(1-H51)+F15*LN(I51)+(1-F15)*LN(1-I51))/4</f>
        <v>0.12462052163762</v>
      </c>
      <c r="K51" s="30" t="n">
        <f aca="false">((F51-C15)*0+(G51-D15)*0+(H51-E15)*1+(I51-F15)*1)/4</f>
        <v>-0.0239557459126705</v>
      </c>
      <c r="L51" s="30" t="n">
        <f aca="false">((F51-C15)*0+(G51-D15)*1+(H51-E15)*0+(I51-F15)*1)/4</f>
        <v>-0.026024634456544</v>
      </c>
      <c r="M51" s="30" t="n">
        <f aca="false">((F51-C15)+(G51-D15)+(H51-E15)+(I51-F15))/4</f>
        <v>0.0143712062528028</v>
      </c>
      <c r="N51" s="67" t="n">
        <f aca="false">(((F51&gt;=0.5)=C15)*1+((G51&gt;=0.5)=D15)*1+((H51&gt;=0.5)=E15)*1+((I51&gt;=0.5)=F15)*1)/4</f>
        <v>1</v>
      </c>
    </row>
    <row r="52" customFormat="false" ht="15" hidden="false" customHeight="false" outlineLevel="0" collapsed="false">
      <c r="B52" s="29" t="n">
        <v>34</v>
      </c>
      <c r="C52" s="30" t="n">
        <f aca="false">C51-C10*K51</f>
        <v>3.41693964320096</v>
      </c>
      <c r="D52" s="30" t="n">
        <f aca="false">D51-C10*L51</f>
        <v>3.32578920093552</v>
      </c>
      <c r="E52" s="30" t="n">
        <f aca="false">E51-C10*M51</f>
        <v>-1.10832792568969</v>
      </c>
      <c r="F52" s="25" t="n">
        <f aca="false">(1/(1+EXP(-(C52*0+D52*0+E52))))</f>
        <v>0.248182746297528</v>
      </c>
      <c r="G52" s="25" t="n">
        <f aca="false">(1/(1+EXP(-(C52*0+D52*1+E52))))</f>
        <v>0.901806617171495</v>
      </c>
      <c r="H52" s="25" t="n">
        <f aca="false">(1/(1+EXP(-(C52*1+D52*0+E52))))</f>
        <v>0.909587750796971</v>
      </c>
      <c r="I52" s="25" t="n">
        <f aca="false">(1/(1+EXP(-(C52*1+D52*1+E52))))</f>
        <v>0.996439902575638</v>
      </c>
      <c r="J52" s="31" t="n">
        <f aca="false">-(C15*LN(F52)+(1-C15)*LN(1-F52)+D15*LN(G52)+(1-D15)*LN(1-G52)+E15*LN(H52)+(1-E15)*LN(1-H52)+F15*LN(I52)+(1-F15)*LN(1-I52))/4</f>
        <v>0.121736856603446</v>
      </c>
      <c r="K52" s="30" t="n">
        <f aca="false">((F52-C15)*0+(G52-D15)*0+(H52-E15)*1+(I52-F15)*1)/4</f>
        <v>-0.0234930866568478</v>
      </c>
      <c r="L52" s="30" t="n">
        <f aca="false">((F52-C15)*0+(G52-D15)*1+(H52-E15)*0+(I52-F15)*1)/4</f>
        <v>-0.0254383700632168</v>
      </c>
      <c r="M52" s="30" t="n">
        <f aca="false">((F52-C15)+(G52-D15)+(H52-E15)+(I52-F15))/4</f>
        <v>0.014004254210408</v>
      </c>
      <c r="N52" s="67" t="n">
        <f aca="false">(((F52&gt;=0.5)=C15)*1+((G52&gt;=0.5)=D15)*1+((H52&gt;=0.5)=E15)*1+((I52&gt;=0.5)=F15)*1)/4</f>
        <v>1</v>
      </c>
    </row>
    <row r="53" customFormat="false" ht="15" hidden="false" customHeight="false" outlineLevel="0" collapsed="false">
      <c r="B53" s="29" t="n">
        <v>35</v>
      </c>
      <c r="C53" s="30" t="n">
        <f aca="false">C52-C10*K52</f>
        <v>3.46392581651465</v>
      </c>
      <c r="D53" s="30" t="n">
        <f aca="false">D52-C10*L52</f>
        <v>3.37666594106195</v>
      </c>
      <c r="E53" s="30" t="n">
        <f aca="false">E52-C10*M52</f>
        <v>-1.13633643411051</v>
      </c>
      <c r="F53" s="25" t="n">
        <f aca="false">(1/(1+EXP(-(C53*0+D53*0+E53))))</f>
        <v>0.242993630934748</v>
      </c>
      <c r="G53" s="25" t="n">
        <f aca="false">(1/(1+EXP(-(C53*0+D53*1+E53))))</f>
        <v>0.903813107779379</v>
      </c>
      <c r="H53" s="25" t="n">
        <f aca="false">(1/(1+EXP(-(C53*1+D53*0+E53))))</f>
        <v>0.911136349851507</v>
      </c>
      <c r="I53" s="25" t="n">
        <f aca="false">(1/(1+EXP(-(C53*1+D53*1+E53))))</f>
        <v>0.996679306203387</v>
      </c>
      <c r="J53" s="31" t="n">
        <f aca="false">-(C15*LN(F53)+(1-C15)*LN(1-F53)+D15*LN(G53)+(1-D15)*LN(1-G53)+E15*LN(H53)+(1-E15)*LN(1-H53)+F15*LN(I53)+(1-F15)*LN(1-I53))/4</f>
        <v>0.118976308273713</v>
      </c>
      <c r="K53" s="30" t="n">
        <f aca="false">((F53-C15)*0+(G53-D15)*0+(H53-E15)*1+(I53-F15)*1)/4</f>
        <v>-0.0230460859862764</v>
      </c>
      <c r="L53" s="30" t="n">
        <f aca="false">((F53-C15)*0+(G53-D15)*1+(H53-E15)*0+(I53-F15)*1)/4</f>
        <v>-0.0248768965043085</v>
      </c>
      <c r="M53" s="30" t="n">
        <f aca="false">((F53-C15)+(G53-D15)+(H53-E15)+(I53-F15))/4</f>
        <v>0.0136555986922552</v>
      </c>
      <c r="N53" s="67" t="n">
        <f aca="false">(((F53&gt;=0.5)=C15)*1+((G53&gt;=0.5)=D15)*1+((H53&gt;=0.5)=E15)*1+((I53&gt;=0.5)=F15)*1)/4</f>
        <v>1</v>
      </c>
    </row>
    <row r="54" customFormat="false" ht="15" hidden="false" customHeight="false" outlineLevel="0" collapsed="false">
      <c r="B54" s="29" t="n">
        <v>36</v>
      </c>
      <c r="C54" s="30" t="n">
        <f aca="false">C53-C10*K53</f>
        <v>3.51001798848721</v>
      </c>
      <c r="D54" s="30" t="n">
        <f aca="false">D53-C10*L53</f>
        <v>3.42641973407057</v>
      </c>
      <c r="E54" s="30" t="n">
        <f aca="false">E53-C10*M53</f>
        <v>-1.16364763149502</v>
      </c>
      <c r="F54" s="25" t="n">
        <f aca="false">(1/(1+EXP(-(C54*0+D54*0+E54))))</f>
        <v>0.238005123439254</v>
      </c>
      <c r="G54" s="25" t="n">
        <f aca="false">(1/(1+EXP(-(C54*0+D54*1+E54))))</f>
        <v>0.905746551044789</v>
      </c>
      <c r="H54" s="25" t="n">
        <f aca="false">(1/(1+EXP(-(C54*1+D54*0+E54))))</f>
        <v>0.912645291468993</v>
      </c>
      <c r="I54" s="25" t="n">
        <f aca="false">(1/(1+EXP(-(C54*1+D54*1+E54))))</f>
        <v>0.996898583470788</v>
      </c>
      <c r="J54" s="31" t="n">
        <f aca="false">-(C15*LN(F54)+(1-C15)*LN(1-F54)+D15*LN(G54)+(1-D15)*LN(1-G54)+E15*LN(H54)+(1-E15)*LN(1-H54)+F15*LN(I54)+(1-F15)*LN(1-I54))/4</f>
        <v>0.11633135565289</v>
      </c>
      <c r="K54" s="30" t="n">
        <f aca="false">((F54-C15)*0+(G54-D15)*0+(H54-E15)*1+(I54-F15)*1)/4</f>
        <v>-0.0226140312650547</v>
      </c>
      <c r="L54" s="30" t="n">
        <f aca="false">((F54-C15)*0+(G54-D15)*1+(H54-E15)*0+(I54-F15)*1)/4</f>
        <v>-0.0243387163711058</v>
      </c>
      <c r="M54" s="30" t="n">
        <f aca="false">((F54-C15)+(G54-D15)+(H54-E15)+(I54-F15))/4</f>
        <v>0.0133238873559561</v>
      </c>
      <c r="N54" s="67" t="n">
        <f aca="false">(((F54&gt;=0.5)=C15)*1+((G54&gt;=0.5)=D15)*1+((H54&gt;=0.5)=E15)*1+((I54&gt;=0.5)=F15)*1)/4</f>
        <v>1</v>
      </c>
    </row>
    <row r="55" customFormat="false" ht="15" hidden="false" customHeight="false" outlineLevel="0" collapsed="false">
      <c r="B55" s="29" t="n">
        <v>37</v>
      </c>
      <c r="C55" s="30" t="n">
        <f aca="false">C54-C10*K54</f>
        <v>3.55524605101732</v>
      </c>
      <c r="D55" s="30" t="n">
        <f aca="false">D54-C10*L54</f>
        <v>3.47509716681278</v>
      </c>
      <c r="E55" s="30" t="n">
        <f aca="false">E54-C10*M54</f>
        <v>-1.19029540620693</v>
      </c>
      <c r="F55" s="25" t="n">
        <f aca="false">(1/(1+EXP(-(C55*0+D55*0+E55))))</f>
        <v>0.233206106769447</v>
      </c>
      <c r="G55" s="25" t="n">
        <f aca="false">(1/(1+EXP(-(C55*0+D55*1+E55))))</f>
        <v>0.907610481101129</v>
      </c>
      <c r="H55" s="25" t="n">
        <f aca="false">(1/(1+EXP(-(C55*1+D55*0+E55))))</f>
        <v>0.914115271073979</v>
      </c>
      <c r="I55" s="25" t="n">
        <f aca="false">(1/(1+EXP(-(C55*1+D55*1+E55))))</f>
        <v>0.997099732465831</v>
      </c>
      <c r="J55" s="31" t="n">
        <f aca="false">-(C15*LN(F55)+(1-C15)*LN(1-F55)+D15*LN(G55)+(1-D15)*LN(1-G55)+E15*LN(H55)+(1-E15)*LN(1-H55)+F15*LN(I55)+(1-F15)*LN(1-I55))/4</f>
        <v>0.113795072398178</v>
      </c>
      <c r="K55" s="30" t="n">
        <f aca="false">((F55-C15)*0+(G55-D15)*0+(H55-E15)*1+(I55-F15)*1)/4</f>
        <v>-0.0221962491150477</v>
      </c>
      <c r="L55" s="30" t="n">
        <f aca="false">((F55-C15)*0+(G55-D15)*1+(H55-E15)*0+(I55-F15)*1)/4</f>
        <v>-0.0238224466082602</v>
      </c>
      <c r="M55" s="30" t="n">
        <f aca="false">((F55-C15)+(G55-D15)+(H55-E15)+(I55-F15))/4</f>
        <v>0.0130078978525962</v>
      </c>
      <c r="N55" s="67" t="n">
        <f aca="false">(((F55&gt;=0.5)=C15)*1+((G55&gt;=0.5)=D15)*1+((H55&gt;=0.5)=E15)*1+((I55&gt;=0.5)=F15)*1)/4</f>
        <v>1</v>
      </c>
    </row>
    <row r="56" customFormat="false" ht="15" hidden="false" customHeight="false" outlineLevel="0" collapsed="false">
      <c r="B56" s="29" t="n">
        <v>38</v>
      </c>
      <c r="C56" s="30" t="n">
        <f aca="false">C55-C10*K55</f>
        <v>3.59963854924741</v>
      </c>
      <c r="D56" s="30" t="n">
        <f aca="false">D55-C10*L55</f>
        <v>3.5227420600293</v>
      </c>
      <c r="E56" s="30" t="n">
        <f aca="false">E55-C10*M55</f>
        <v>-1.21631120191212</v>
      </c>
      <c r="F56" s="25" t="n">
        <f aca="false">(1/(1+EXP(-(C56*0+D56*0+E56))))</f>
        <v>0.228586261923233</v>
      </c>
      <c r="G56" s="25" t="n">
        <f aca="false">(1/(1+EXP(-(C56*0+D56*1+E56))))</f>
        <v>0.909408241279722</v>
      </c>
      <c r="H56" s="25" t="n">
        <f aca="false">(1/(1+EXP(-(C56*1+D56*0+E56))))</f>
        <v>0.915547062867374</v>
      </c>
      <c r="I56" s="25" t="n">
        <f aca="false">(1/(1+EXP(-(C56*1+D56*1+E56))))</f>
        <v>0.997284525511873</v>
      </c>
      <c r="J56" s="31" t="n">
        <f aca="false">-(C15*LN(F56)+(1-C15)*LN(1-F56)+D15*LN(G56)+(1-D15)*LN(1-G56)+E15*LN(H56)+(1-E15)*LN(1-H56)+F15*LN(I56)+(1-F15)*LN(1-I56))/4</f>
        <v>0.111361069231008</v>
      </c>
      <c r="K56" s="30" t="n">
        <f aca="false">((F56-C15)*0+(G56-D15)*0+(H56-E15)*1+(I56-F15)*1)/4</f>
        <v>-0.0217921029051883</v>
      </c>
      <c r="L56" s="30" t="n">
        <f aca="false">((F56-C15)*0+(G56-D15)*1+(H56-E15)*0+(I56-F15)*1)/4</f>
        <v>-0.0233268083021012</v>
      </c>
      <c r="M56" s="30" t="n">
        <f aca="false">((F56-C15)+(G56-D15)+(H56-E15)+(I56-F15))/4</f>
        <v>0.0127065228955506</v>
      </c>
      <c r="N56" s="67" t="n">
        <f aca="false">(((F56&gt;=0.5)=C15)*1+((G56&gt;=0.5)=D15)*1+((H56&gt;=0.5)=E15)*1+((I56&gt;=0.5)=F15)*1)/4</f>
        <v>1</v>
      </c>
    </row>
    <row r="57" customFormat="false" ht="15" hidden="false" customHeight="false" outlineLevel="0" collapsed="false">
      <c r="B57" s="29" t="n">
        <v>39</v>
      </c>
      <c r="C57" s="30" t="n">
        <f aca="false">C56-C10*K56</f>
        <v>3.64322275505779</v>
      </c>
      <c r="D57" s="30" t="n">
        <f aca="false">D56-C10*L56</f>
        <v>3.5693956766335</v>
      </c>
      <c r="E57" s="30" t="n">
        <f aca="false">E56-C10*M56</f>
        <v>-1.24172424770322</v>
      </c>
      <c r="F57" s="25" t="n">
        <f aca="false">(1/(1+EXP(-(C57*0+D57*0+E57))))</f>
        <v>0.224135998071995</v>
      </c>
      <c r="G57" s="25" t="n">
        <f aca="false">(1/(1+EXP(-(C57*0+D57*1+E57))))</f>
        <v>0.911142992680452</v>
      </c>
      <c r="H57" s="25" t="n">
        <f aca="false">(1/(1+EXP(-(C57*1+D57*0+E57))))</f>
        <v>0.916941500831815</v>
      </c>
      <c r="I57" s="25" t="n">
        <f aca="false">(1/(1+EXP(-(C57*1+D57*1+E57))))</f>
        <v>0.997454537436718</v>
      </c>
      <c r="J57" s="31" t="n">
        <f aca="false">-(C15*LN(F57)+(1-C15)*LN(1-F57)+D15*LN(G57)+(1-D15)*LN(1-G57)+E15*LN(H57)+(1-E15)*LN(1-H57)+F15*LN(I57)+(1-F15)*LN(1-I57))/4</f>
        <v>0.109023442928909</v>
      </c>
      <c r="K57" s="30" t="n">
        <f aca="false">((F57-C15)*0+(G57-D15)*0+(H57-E15)*1+(I57-F15)*1)/4</f>
        <v>-0.0214009904328667</v>
      </c>
      <c r="L57" s="30" t="n">
        <f aca="false">((F57-C15)*0+(G57-D15)*1+(H57-E15)*0+(I57-F15)*1)/4</f>
        <v>-0.0228506174707074</v>
      </c>
      <c r="M57" s="30" t="n">
        <f aca="false">((F57-C15)+(G57-D15)+(H57-E15)+(I57-F15))/4</f>
        <v>0.0124187572552451</v>
      </c>
      <c r="N57" s="67" t="n">
        <f aca="false">(((F57&gt;=0.5)=C15)*1+((G57&gt;=0.5)=D15)*1+((H57&gt;=0.5)=E15)*1+((I57&gt;=0.5)=F15)*1)/4</f>
        <v>1</v>
      </c>
    </row>
    <row r="58" customFormat="false" ht="15" hidden="false" customHeight="false" outlineLevel="0" collapsed="false">
      <c r="B58" s="29" t="n">
        <v>40</v>
      </c>
      <c r="C58" s="30" t="n">
        <f aca="false">C57-C10*K57</f>
        <v>3.68602473592352</v>
      </c>
      <c r="D58" s="30" t="n">
        <f aca="false">D57-C10*L57</f>
        <v>3.61509691157492</v>
      </c>
      <c r="E58" s="30" t="n">
        <f aca="false">E57-C10*M57</f>
        <v>-1.26656176221371</v>
      </c>
      <c r="F58" s="25" t="n">
        <f aca="false">(1/(1+EXP(-(C58*0+D58*0+E58))))</f>
        <v>0.219846389789481</v>
      </c>
      <c r="G58" s="25" t="n">
        <f aca="false">(1/(1+EXP(-(C58*0+D58*1+E58))))</f>
        <v>0.912817722981249</v>
      </c>
      <c r="H58" s="25" t="n">
        <f aca="false">(1/(1+EXP(-(C58*1+D58*0+E58))))</f>
        <v>0.91829946289035</v>
      </c>
      <c r="I58" s="25" t="n">
        <f aca="false">(1/(1+EXP(-(C58*1+D58*1+E58))))</f>
        <v>0.997611170001048</v>
      </c>
      <c r="J58" s="31" t="n">
        <f aca="false">-(C15*LN(F58)+(1-C15)*LN(1-F58)+D15*LN(G58)+(1-D15)*LN(1-G58)+E15*LN(H58)+(1-E15)*LN(1-H58)+F15*LN(I58)+(1-F15)*LN(1-I58))/4</f>
        <v>0.106776731036343</v>
      </c>
      <c r="K58" s="30" t="n">
        <f aca="false">((F58-C15)*0+(G58-D15)*0+(H58-E15)*1+(I58-F15)*1)/4</f>
        <v>-0.0210223417771506</v>
      </c>
      <c r="L58" s="30" t="n">
        <f aca="false">((F58-C15)*0+(G58-D15)*1+(H58-E15)*0+(I58-F15)*1)/4</f>
        <v>-0.0223927767544256</v>
      </c>
      <c r="M58" s="30" t="n">
        <f aca="false">((F58-C15)+(G58-D15)+(H58-E15)+(I58-F15))/4</f>
        <v>0.0121436864155321</v>
      </c>
      <c r="N58" s="67" t="n">
        <f aca="false">(((F58&gt;=0.5)=C15)*1+((G58&gt;=0.5)=D15)*1+((H58&gt;=0.5)=E15)*1+((I58&gt;=0.5)=F15)*1)/4</f>
        <v>1</v>
      </c>
    </row>
    <row r="60" customFormat="false" ht="15.75" hidden="false" customHeight="true" outlineLevel="0" collapsed="false">
      <c r="B60" s="9" t="s">
        <v>484</v>
      </c>
      <c r="C60" s="26" t="str">
        <f aca="false">"w1: "&amp;IF(ROUND(C18,3)&lt;0,"("&amp;ROUND(C18,3)&amp;")",ROUND(C18,3)&amp;"")&amp;" − "&amp;IF(ROUND(C10,3)&lt;0,"("&amp;ROUND(C10,3)&amp;")",ROUND(C10,3)&amp;"")&amp;" × "&amp;IF(ROUND(K18,3)&lt;0,"("&amp;ROUND(K18,3)&amp;")",ROUND(K18,3)&amp;"")&amp;" = "&amp;IF(ROUND(C19,3)&lt;0,"("&amp;ROUND(C19,3)&amp;")",ROUND(C19,3)&amp;"")&amp;";   loss "&amp;IF(ROUND(J18,3)&lt;0,"("&amp;ROUND(J18,3)&amp;")",ROUND(J18,3)&amp;"")&amp;" → "&amp;IF(ROUND(J19,3)&lt;0,"("&amp;ROUND(J19,3)&amp;")",ROUND(J19,3)&amp;"")</f>
        <v>w1: 0.5 − 2 × (-0.195) = 0.89;   loss 0.634 → 0.448</v>
      </c>
      <c r="D60" s="26"/>
      <c r="E60" s="26"/>
      <c r="F60" s="26"/>
      <c r="G60" s="26"/>
      <c r="H60" s="26"/>
      <c r="I60" s="26"/>
      <c r="J60" s="26"/>
      <c r="K60" s="26"/>
      <c r="L60" s="26"/>
      <c r="M60" s="26"/>
      <c r="N60" s="26"/>
    </row>
    <row r="61" customFormat="false" ht="21.75" hidden="false" customHeight="true" outlineLevel="0" collapsed="false">
      <c r="B61" s="4" t="s">
        <v>485</v>
      </c>
      <c r="C61" s="4"/>
      <c r="D61" s="4"/>
      <c r="E61" s="4"/>
      <c r="F61" s="4"/>
      <c r="G61" s="4"/>
      <c r="H61" s="4"/>
      <c r="I61" s="4"/>
      <c r="J61" s="4"/>
      <c r="K61" s="4"/>
      <c r="L61" s="4"/>
      <c r="M61" s="4"/>
      <c r="N61" s="4"/>
    </row>
    <row r="62" customFormat="false" ht="18.75" hidden="false" customHeight="true" outlineLevel="0" collapsed="false">
      <c r="B62" s="33" t="s">
        <v>486</v>
      </c>
      <c r="C62" s="33"/>
      <c r="D62" s="33"/>
      <c r="E62" s="33"/>
      <c r="F62" s="33"/>
      <c r="G62" s="33"/>
      <c r="H62" s="33"/>
      <c r="I62" s="33"/>
      <c r="J62" s="33"/>
      <c r="K62" s="33"/>
      <c r="L62" s="33"/>
      <c r="M62" s="33"/>
      <c r="N62" s="33"/>
    </row>
    <row r="63" customFormat="false" ht="17.25" hidden="false" customHeight="true" outlineLevel="0" collapsed="false">
      <c r="B63" s="20" t="s">
        <v>468</v>
      </c>
      <c r="C63" s="20"/>
      <c r="D63" s="20"/>
      <c r="E63" s="20"/>
      <c r="F63" s="20"/>
    </row>
    <row r="64" customFormat="false" ht="15" hidden="false" customHeight="false" outlineLevel="0" collapsed="false">
      <c r="B64" s="15"/>
      <c r="C64" s="21" t="s">
        <v>469</v>
      </c>
      <c r="D64" s="21" t="s">
        <v>470</v>
      </c>
      <c r="E64" s="21" t="s">
        <v>471</v>
      </c>
      <c r="F64" s="21" t="s">
        <v>472</v>
      </c>
    </row>
    <row r="65" customFormat="false" ht="15" hidden="false" customHeight="false" outlineLevel="0" collapsed="false">
      <c r="B65" s="22"/>
      <c r="C65" s="58" t="n">
        <v>0</v>
      </c>
      <c r="D65" s="58" t="n">
        <v>1</v>
      </c>
      <c r="E65" s="58" t="n">
        <v>1</v>
      </c>
      <c r="F65" s="58" t="n">
        <v>0</v>
      </c>
    </row>
    <row r="67" customFormat="false" ht="30" hidden="false" customHeight="true" outlineLevel="0" collapsed="false">
      <c r="B67" s="21" t="s">
        <v>473</v>
      </c>
      <c r="C67" s="21" t="s">
        <v>474</v>
      </c>
      <c r="D67" s="21" t="s">
        <v>475</v>
      </c>
      <c r="E67" s="21" t="s">
        <v>189</v>
      </c>
      <c r="F67" s="21" t="s">
        <v>476</v>
      </c>
      <c r="G67" s="21" t="s">
        <v>477</v>
      </c>
      <c r="H67" s="21" t="s">
        <v>478</v>
      </c>
      <c r="I67" s="21" t="s">
        <v>479</v>
      </c>
      <c r="J67" s="21" t="s">
        <v>480</v>
      </c>
      <c r="K67" s="21" t="s">
        <v>481</v>
      </c>
      <c r="L67" s="21" t="s">
        <v>482</v>
      </c>
      <c r="M67" s="21" t="s">
        <v>233</v>
      </c>
      <c r="N67" s="21" t="s">
        <v>483</v>
      </c>
    </row>
    <row r="68" customFormat="false" ht="15" hidden="false" customHeight="false" outlineLevel="0" collapsed="false">
      <c r="B68" s="29" t="n">
        <v>0</v>
      </c>
      <c r="C68" s="30" t="n">
        <f aca="false">C7</f>
        <v>0.5</v>
      </c>
      <c r="D68" s="30" t="n">
        <f aca="false">C8</f>
        <v>-0.3</v>
      </c>
      <c r="E68" s="30" t="n">
        <f aca="false">C9</f>
        <v>0.1</v>
      </c>
      <c r="F68" s="25" t="n">
        <f aca="false">(1/(1+EXP(-(C68*0+D68*0+E68))))</f>
        <v>0.52497918747894</v>
      </c>
      <c r="G68" s="25" t="n">
        <f aca="false">(1/(1+EXP(-(C68*0+D68*1+E68))))</f>
        <v>0.450166002687522</v>
      </c>
      <c r="H68" s="25" t="n">
        <f aca="false">(1/(1+EXP(-(C68*1+D68*0+E68))))</f>
        <v>0.645656306225795</v>
      </c>
      <c r="I68" s="25" t="n">
        <f aca="false">(1/(1+EXP(-(C68*1+D68*1+E68))))</f>
        <v>0.574442516811659</v>
      </c>
      <c r="J68" s="31" t="n">
        <f aca="false">-(C65*LN(F68)+(1-C65)*LN(1-F68)+D65*LN(G68)+(1-D65)*LN(1-G68)+E65*LN(H68)+(1-E65)*LN(1-H68)+F65*LN(I68)+(1-F65)*LN(1-I68))/4</f>
        <v>0.708594681102394</v>
      </c>
      <c r="K68" s="30" t="n">
        <f aca="false">((F68-C65)*0+(G68-D65)*0+(H68-E65)*1+(I68-F65)*1)/4</f>
        <v>0.0550247057593636</v>
      </c>
      <c r="L68" s="30" t="n">
        <f aca="false">((F68-C65)*0+(G68-D65)*1+(H68-E65)*0+(I68-F65)*1)/4</f>
        <v>0.0061521298747953</v>
      </c>
      <c r="M68" s="30" t="n">
        <f aca="false">((F68-C65)+(G68-D65)+(H68-E65)+(I68-F65))/4</f>
        <v>0.0488110033009792</v>
      </c>
      <c r="N68" s="67" t="n">
        <f aca="false">(((F68&gt;=0.5)=C65)*1+((G68&gt;=0.5)=D65)*1+((H68&gt;=0.5)=E65)*1+((I68&gt;=0.5)=F65)*1)/4</f>
        <v>0.25</v>
      </c>
    </row>
    <row r="69" customFormat="false" ht="15" hidden="false" customHeight="false" outlineLevel="0" collapsed="false">
      <c r="B69" s="29" t="n">
        <v>1</v>
      </c>
      <c r="C69" s="30" t="n">
        <f aca="false">C68-C10*K68</f>
        <v>0.389950588481273</v>
      </c>
      <c r="D69" s="30" t="n">
        <f aca="false">D68-C10*L68</f>
        <v>-0.312304259749591</v>
      </c>
      <c r="E69" s="30" t="n">
        <f aca="false">E68-C10*M68</f>
        <v>0.00237799339804171</v>
      </c>
      <c r="F69" s="25" t="n">
        <f aca="false">(1/(1+EXP(-(C69*0+D69*0+E69))))</f>
        <v>0.500594498069361</v>
      </c>
      <c r="G69" s="25" t="n">
        <f aca="false">(1/(1+EXP(-(C69*0+D69*1+E69))))</f>
        <v>0.423132736517173</v>
      </c>
      <c r="H69" s="25" t="n">
        <f aca="false">(1/(1+EXP(-(C69*1+D69*0+E69))))</f>
        <v>0.596843132075066</v>
      </c>
      <c r="I69" s="25" t="n">
        <f aca="false">(1/(1+EXP(-(C69*1+D69*1+E69))))</f>
        <v>0.519995410966577</v>
      </c>
      <c r="J69" s="31" t="n">
        <f aca="false">-(C65*LN(F69)+(1-C65)*LN(1-F69)+D65*LN(G69)+(1-D65)*LN(1-G69)+E65*LN(H69)+(1-E65)*LN(1-H69)+F65*LN(I69)+(1-F65)*LN(1-I69))/4</f>
        <v>0.701116702615631</v>
      </c>
      <c r="K69" s="30" t="n">
        <f aca="false">((F69-C65)*0+(G69-D65)*0+(H69-E65)*1+(I69-F65)*1)/4</f>
        <v>0.0292096357604107</v>
      </c>
      <c r="L69" s="30" t="n">
        <f aca="false">((F69-C65)*0+(G69-D65)*1+(H69-E65)*0+(I69-F65)*1)/4</f>
        <v>-0.0142179631290625</v>
      </c>
      <c r="M69" s="30" t="n">
        <f aca="false">((F69-C65)+(G69-D65)+(H69-E65)+(I69-F65))/4</f>
        <v>0.010141444407044</v>
      </c>
      <c r="N69" s="67" t="n">
        <f aca="false">(((F69&gt;=0.5)=C65)*1+((G69&gt;=0.5)=D65)*1+((H69&gt;=0.5)=E65)*1+((I69&gt;=0.5)=F65)*1)/4</f>
        <v>0.25</v>
      </c>
    </row>
    <row r="70" customFormat="false" ht="15" hidden="false" customHeight="false" outlineLevel="0" collapsed="false">
      <c r="B70" s="29" t="n">
        <v>2</v>
      </c>
      <c r="C70" s="30" t="n">
        <f aca="false">C69-C10*K69</f>
        <v>0.331531316960451</v>
      </c>
      <c r="D70" s="30" t="n">
        <f aca="false">D69-C10*L69</f>
        <v>-0.283868333491466</v>
      </c>
      <c r="E70" s="30" t="n">
        <f aca="false">E69-C10*M69</f>
        <v>-0.0179048954160463</v>
      </c>
      <c r="F70" s="25" t="n">
        <f aca="false">(1/(1+EXP(-(C70*0+D70*0+E70))))</f>
        <v>0.495523895726445</v>
      </c>
      <c r="G70" s="25" t="n">
        <f aca="false">(1/(1+EXP(-(C70*0+D70*1+E70))))</f>
        <v>0.425124059970374</v>
      </c>
      <c r="H70" s="25" t="n">
        <f aca="false">(1/(1+EXP(-(C70*1+D70*0+E70))))</f>
        <v>0.577770181793232</v>
      </c>
      <c r="I70" s="25" t="n">
        <f aca="false">(1/(1+EXP(-(C70*1+D70*1+E70))))</f>
        <v>0.507438973059961</v>
      </c>
      <c r="J70" s="31" t="n">
        <f aca="false">-(C65*LN(F70)+(1-C65)*LN(1-F70)+D65*LN(G70)+(1-D65)*LN(1-G70)+E65*LN(H70)+(1-E65)*LN(1-H70)+F65*LN(I70)+(1-F65)*LN(1-I70))/4</f>
        <v>0.699081266131856</v>
      </c>
      <c r="K70" s="30" t="n">
        <f aca="false">((F70-C65)*0+(G70-D65)*0+(H70-E65)*1+(I70-F65)*1)/4</f>
        <v>0.0213022887132984</v>
      </c>
      <c r="L70" s="30" t="n">
        <f aca="false">((F70-C65)*0+(G70-D65)*1+(H70-E65)*0+(I70-F65)*1)/4</f>
        <v>-0.0168592417424162</v>
      </c>
      <c r="M70" s="30" t="n">
        <f aca="false">((F70-C65)+(G70-D65)+(H70-E65)+(I70-F65))/4</f>
        <v>0.00146427763750293</v>
      </c>
      <c r="N70" s="67" t="n">
        <f aca="false">(((F70&gt;=0.5)=C65)*1+((G70&gt;=0.5)=D65)*1+((H70&gt;=0.5)=E65)*1+((I70&gt;=0.5)=F65)*1)/4</f>
        <v>0.5</v>
      </c>
    </row>
    <row r="71" customFormat="false" ht="15" hidden="false" customHeight="false" outlineLevel="0" collapsed="false">
      <c r="B71" s="29" t="n">
        <v>3</v>
      </c>
      <c r="C71" s="30" t="n">
        <f aca="false">C70-C10*K70</f>
        <v>0.288926739533855</v>
      </c>
      <c r="D71" s="30" t="n">
        <f aca="false">D70-C10*L70</f>
        <v>-0.250149850006633</v>
      </c>
      <c r="E71" s="30" t="n">
        <f aca="false">E70-C10*M70</f>
        <v>-0.0208334506910522</v>
      </c>
      <c r="F71" s="25" t="n">
        <f aca="false">(1/(1+EXP(-(C71*0+D71*0+E71))))</f>
        <v>0.494791825702356</v>
      </c>
      <c r="G71" s="25" t="n">
        <f aca="false">(1/(1+EXP(-(C71*0+D71*1+E71))))</f>
        <v>0.4326657120909</v>
      </c>
      <c r="H71" s="25" t="n">
        <f aca="false">(1/(1+EXP(-(C71*1+D71*0+E71))))</f>
        <v>0.566624750408474</v>
      </c>
      <c r="I71" s="25" t="n">
        <f aca="false">(1/(1+EXP(-(C71*1+D71*1+E71))))</f>
        <v>0.504485739354686</v>
      </c>
      <c r="J71" s="31" t="n">
        <f aca="false">-(C65*LN(F71)+(1-C65)*LN(1-F71)+D65*LN(G71)+(1-D65)*LN(1-G71)+E65*LN(H71)+(1-E65)*LN(1-H71)+F65*LN(I71)+(1-F65)*LN(1-I71))/4</f>
        <v>0.697697935122206</v>
      </c>
      <c r="K71" s="30" t="n">
        <f aca="false">((F71-C65)*0+(G71-D65)*0+(H71-E65)*1+(I71-F65)*1)/4</f>
        <v>0.0177776224407898</v>
      </c>
      <c r="L71" s="30" t="n">
        <f aca="false">((F71-C65)*0+(G71-D65)*1+(H71-E65)*0+(I71-F65)*1)/4</f>
        <v>-0.0157121371386036</v>
      </c>
      <c r="M71" s="30" t="n">
        <f aca="false">((F71-C65)+(G71-D65)+(H71-E65)+(I71-F65))/4</f>
        <v>-0.000357993110896099</v>
      </c>
      <c r="N71" s="67" t="n">
        <f aca="false">(((F71&gt;=0.5)=C65)*1+((G71&gt;=0.5)=D65)*1+((H71&gt;=0.5)=E65)*1+((I71&gt;=0.5)=F65)*1)/4</f>
        <v>0.5</v>
      </c>
    </row>
    <row r="72" customFormat="false" ht="15" hidden="false" customHeight="false" outlineLevel="0" collapsed="false">
      <c r="B72" s="29" t="n">
        <v>4</v>
      </c>
      <c r="C72" s="30" t="n">
        <f aca="false">C71-C10*K71</f>
        <v>0.253371494652275</v>
      </c>
      <c r="D72" s="30" t="n">
        <f aca="false">D71-C10*L71</f>
        <v>-0.218725575729426</v>
      </c>
      <c r="E72" s="30" t="n">
        <f aca="false">E71-C10*M71</f>
        <v>-0.02011746446926</v>
      </c>
      <c r="F72" s="25" t="n">
        <f aca="false">(1/(1+EXP(-(C72*0+D72*0+E72))))</f>
        <v>0.49497080349638</v>
      </c>
      <c r="G72" s="25" t="n">
        <f aca="false">(1/(1+EXP(-(C72*0+D72*1+E72))))</f>
        <v>0.440571484955599</v>
      </c>
      <c r="H72" s="25" t="n">
        <f aca="false">(1/(1+EXP(-(C72*1+D72*0+E72))))</f>
        <v>0.558050547417417</v>
      </c>
      <c r="I72" s="25" t="n">
        <f aca="false">(1/(1+EXP(-(C72*1+D72*1+E72))))</f>
        <v>0.503632049727081</v>
      </c>
      <c r="J72" s="31" t="n">
        <f aca="false">-(C65*LN(F72)+(1-C65)*LN(1-F72)+D65*LN(G72)+(1-D65)*LN(1-G72)+E65*LN(H72)+(1-E65)*LN(1-H72)+F65*LN(I72)+(1-F65)*LN(1-I72))/4</f>
        <v>0.696641281970309</v>
      </c>
      <c r="K72" s="30" t="n">
        <f aca="false">((F72-C65)*0+(G72-D65)*0+(H72-E65)*1+(I72-F65)*1)/4</f>
        <v>0.0154206492861247</v>
      </c>
      <c r="L72" s="30" t="n">
        <f aca="false">((F72-C65)*0+(G72-D65)*1+(H72-E65)*0+(I72-F65)*1)/4</f>
        <v>-0.0139491163293299</v>
      </c>
      <c r="M72" s="30" t="n">
        <f aca="false">((F72-C65)+(G72-D65)+(H72-E65)+(I72-F65))/4</f>
        <v>-0.000693778600880546</v>
      </c>
      <c r="N72" s="67" t="n">
        <f aca="false">(((F72&gt;=0.5)=C65)*1+((G72&gt;=0.5)=D65)*1+((H72&gt;=0.5)=E65)*1+((I72&gt;=0.5)=F65)*1)/4</f>
        <v>0.5</v>
      </c>
    </row>
    <row r="73" customFormat="false" ht="15" hidden="false" customHeight="false" outlineLevel="0" collapsed="false">
      <c r="B73" s="29" t="n">
        <v>5</v>
      </c>
      <c r="C73" s="30" t="n">
        <f aca="false">C72-C10*K72</f>
        <v>0.222530196080026</v>
      </c>
      <c r="D73" s="30" t="n">
        <f aca="false">D72-C10*L72</f>
        <v>-0.190827343070766</v>
      </c>
      <c r="E73" s="30" t="n">
        <f aca="false">E72-C10*M72</f>
        <v>-0.0187299072674989</v>
      </c>
      <c r="F73" s="25" t="n">
        <f aca="false">(1/(1+EXP(-(C73*0+D73*0+E73))))</f>
        <v>0.495317660066407</v>
      </c>
      <c r="G73" s="25" t="n">
        <f aca="false">(1/(1+EXP(-(C73*0+D73*1+E73))))</f>
        <v>0.447801568959712</v>
      </c>
      <c r="H73" s="25" t="n">
        <f aca="false">(1/(1+EXP(-(C73*1+D73*0+E73))))</f>
        <v>0.550774452536038</v>
      </c>
      <c r="I73" s="25" t="n">
        <f aca="false">(1/(1+EXP(-(C73*1+D73*1+E73))))</f>
        <v>0.503243190950539</v>
      </c>
      <c r="J73" s="31" t="n">
        <f aca="false">-(C65*LN(F73)+(1-C65)*LN(1-F73)+D65*LN(G73)+(1-D65)*LN(1-G73)+E65*LN(H73)+(1-E65)*LN(1-H73)+F65*LN(I73)+(1-F65)*LN(1-I73))/4</f>
        <v>0.695828933675408</v>
      </c>
      <c r="K73" s="30" t="n">
        <f aca="false">((F73-C65)*0+(G73-D65)*0+(H73-E65)*1+(I73-F65)*1)/4</f>
        <v>0.0135044108716441</v>
      </c>
      <c r="L73" s="30" t="n">
        <f aca="false">((F73-C65)*0+(G73-D65)*1+(H73-E65)*0+(I73-F65)*1)/4</f>
        <v>-0.0122388100224373</v>
      </c>
      <c r="M73" s="30" t="n">
        <f aca="false">((F73-C65)+(G73-D65)+(H73-E65)+(I73-F65))/4</f>
        <v>-0.00071578187182611</v>
      </c>
      <c r="N73" s="67" t="n">
        <f aca="false">(((F73&gt;=0.5)=C65)*1+((G73&gt;=0.5)=D65)*1+((H73&gt;=0.5)=E65)*1+((I73&gt;=0.5)=F65)*1)/4</f>
        <v>0.5</v>
      </c>
    </row>
    <row r="74" customFormat="false" ht="15" hidden="false" customHeight="false" outlineLevel="0" collapsed="false">
      <c r="B74" s="29" t="n">
        <v>6</v>
      </c>
      <c r="C74" s="30" t="n">
        <f aca="false">C73-C10*K73</f>
        <v>0.195521374336738</v>
      </c>
      <c r="D74" s="30" t="n">
        <f aca="false">D73-C10*L73</f>
        <v>-0.166349723025892</v>
      </c>
      <c r="E74" s="30" t="n">
        <f aca="false">E73-C10*M73</f>
        <v>-0.0172983435238467</v>
      </c>
      <c r="F74" s="25" t="n">
        <f aca="false">(1/(1+EXP(-(C74*0+D74*0+E74))))</f>
        <v>0.495675521953933</v>
      </c>
      <c r="G74" s="25" t="n">
        <f aca="false">(1/(1+EXP(-(C74*0+D74*1+E74))))</f>
        <v>0.45421658770669</v>
      </c>
      <c r="H74" s="25" t="n">
        <f aca="false">(1/(1+EXP(-(C74*1+D74*0+E74))))</f>
        <v>0.544438194068037</v>
      </c>
      <c r="I74" s="25" t="n">
        <f aca="false">(1/(1+EXP(-(C74*1+D74*1+E74))))</f>
        <v>0.502968292075475</v>
      </c>
      <c r="J74" s="31" t="n">
        <f aca="false">-(C65*LN(F74)+(1-C65)*LN(1-F74)+D65*LN(G74)+(1-D65)*LN(1-G74)+E65*LN(H74)+(1-E65)*LN(1-H74)+F65*LN(I74)+(1-F65)*LN(1-I74))/4</f>
        <v>0.69520471263331</v>
      </c>
      <c r="K74" s="30" t="n">
        <f aca="false">((F74-C65)*0+(G74-D65)*0+(H74-E65)*1+(I74-F65)*1)/4</f>
        <v>0.0118516215358782</v>
      </c>
      <c r="L74" s="30" t="n">
        <f aca="false">((F74-C65)*0+(G74-D65)*1+(H74-E65)*0+(I74-F65)*1)/4</f>
        <v>-0.0107037800544587</v>
      </c>
      <c r="M74" s="30" t="n">
        <f aca="false">((F74-C65)+(G74-D65)+(H74-E65)+(I74-F65))/4</f>
        <v>-0.0006753510489661</v>
      </c>
      <c r="N74" s="67" t="n">
        <f aca="false">(((F74&gt;=0.5)=C65)*1+((G74&gt;=0.5)=D65)*1+((H74&gt;=0.5)=E65)*1+((I74&gt;=0.5)=F65)*1)/4</f>
        <v>0.5</v>
      </c>
    </row>
    <row r="75" customFormat="false" ht="15" hidden="false" customHeight="false" outlineLevel="0" collapsed="false">
      <c r="B75" s="29" t="n">
        <v>7</v>
      </c>
      <c r="C75" s="30" t="n">
        <f aca="false">C74-C10*K74</f>
        <v>0.171818131264981</v>
      </c>
      <c r="D75" s="30" t="n">
        <f aca="false">D74-C10*L74</f>
        <v>-0.144942162916974</v>
      </c>
      <c r="E75" s="30" t="n">
        <f aca="false">E74-C10*M74</f>
        <v>-0.0159476414259145</v>
      </c>
      <c r="F75" s="25" t="n">
        <f aca="false">(1/(1+EXP(-(C75*0+D75*0+E75))))</f>
        <v>0.496013174139707</v>
      </c>
      <c r="G75" s="25" t="n">
        <f aca="false">(1/(1+EXP(-(C75*0+D75*1+E75))))</f>
        <v>0.459864089857844</v>
      </c>
      <c r="H75" s="25" t="n">
        <f aca="false">(1/(1+EXP(-(C75*1+D75*0+E75))))</f>
        <v>0.53888891849179</v>
      </c>
      <c r="I75" s="25" t="n">
        <f aca="false">(1/(1+EXP(-(C75*1+D75*1+E75))))</f>
        <v>0.502732054540185</v>
      </c>
      <c r="J75" s="31" t="n">
        <f aca="false">-(C65*LN(F75)+(1-C65)*LN(1-F75)+D65*LN(G75)+(1-D65)*LN(1-G75)+E65*LN(H75)+(1-E65)*LN(1-H75)+F65*LN(I75)+(1-F65)*LN(1-I75))/4</f>
        <v>0.694725382586427</v>
      </c>
      <c r="K75" s="30" t="n">
        <f aca="false">((F75-C65)*0+(G75-D65)*0+(H75-E65)*1+(I75-F65)*1)/4</f>
        <v>0.0104052432579937</v>
      </c>
      <c r="L75" s="30" t="n">
        <f aca="false">((F75-C65)*0+(G75-D65)*1+(H75-E65)*0+(I75-F65)*1)/4</f>
        <v>-0.00935096390049273</v>
      </c>
      <c r="M75" s="30" t="n">
        <f aca="false">((F75-C65)+(G75-D65)+(H75-E65)+(I75-F65))/4</f>
        <v>-0.000625440742618472</v>
      </c>
      <c r="N75" s="67" t="n">
        <f aca="false">(((F75&gt;=0.5)=C65)*1+((G75&gt;=0.5)=D65)*1+((H75&gt;=0.5)=E65)*1+((I75&gt;=0.5)=F65)*1)/4</f>
        <v>0.5</v>
      </c>
    </row>
    <row r="76" customFormat="false" ht="15" hidden="false" customHeight="false" outlineLevel="0" collapsed="false">
      <c r="B76" s="29" t="n">
        <v>8</v>
      </c>
      <c r="C76" s="30" t="n">
        <f aca="false">C75-C10*K75</f>
        <v>0.151007644748994</v>
      </c>
      <c r="D76" s="30" t="n">
        <f aca="false">D75-C10*L75</f>
        <v>-0.126240235115989</v>
      </c>
      <c r="E76" s="30" t="n">
        <f aca="false">E75-C10*M75</f>
        <v>-0.0146967599406775</v>
      </c>
      <c r="F76" s="25" t="n">
        <f aca="false">(1/(1+EXP(-(C76*0+D76*0+E76))))</f>
        <v>0.496325876147215</v>
      </c>
      <c r="G76" s="25" t="n">
        <f aca="false">(1/(1+EXP(-(C76*0+D76*1+E76))))</f>
        <v>0.464823957806376</v>
      </c>
      <c r="H76" s="25" t="n">
        <f aca="false">(1/(1+EXP(-(C76*1+D76*0+E76))))</f>
        <v>0.53402505352161</v>
      </c>
      <c r="I76" s="25" t="n">
        <f aca="false">(1/(1+EXP(-(C76*1+D76*1+E76))))</f>
        <v>0.502517641145277</v>
      </c>
      <c r="J76" s="31" t="n">
        <f aca="false">-(C65*LN(F76)+(1-C65)*LN(1-F76)+D65*LN(G76)+(1-D65)*LN(1-G76)+E65*LN(H76)+(1-E65)*LN(1-H76)+F65*LN(I76)+(1-F65)*LN(1-I76))/4</f>
        <v>0.694357509286429</v>
      </c>
      <c r="K76" s="30" t="n">
        <f aca="false">((F76-C65)*0+(G76-D65)*0+(H76-E65)*1+(I76-F65)*1)/4</f>
        <v>0.00913567366672166</v>
      </c>
      <c r="L76" s="30" t="n">
        <f aca="false">((F76-C65)*0+(G76-D65)*1+(H76-E65)*0+(I76-F65)*1)/4</f>
        <v>-0.00816460026208679</v>
      </c>
      <c r="M76" s="30" t="n">
        <f aca="false">((F76-C65)+(G76-D65)+(H76-E65)+(I76-F65))/4</f>
        <v>-0.000576867844880508</v>
      </c>
      <c r="N76" s="67" t="n">
        <f aca="false">(((F76&gt;=0.5)=C65)*1+((G76&gt;=0.5)=D65)*1+((H76&gt;=0.5)=E65)*1+((I76&gt;=0.5)=F65)*1)/4</f>
        <v>0.5</v>
      </c>
    </row>
    <row r="77" customFormat="false" ht="15" hidden="false" customHeight="false" outlineLevel="0" collapsed="false">
      <c r="B77" s="29" t="n">
        <v>9</v>
      </c>
      <c r="C77" s="30" t="n">
        <f aca="false">C76-C10*K76</f>
        <v>0.13273629741555</v>
      </c>
      <c r="D77" s="30" t="n">
        <f aca="false">D76-C10*L76</f>
        <v>-0.109911034591815</v>
      </c>
      <c r="E77" s="30" t="n">
        <f aca="false">E76-C10*M76</f>
        <v>-0.0135430242509165</v>
      </c>
      <c r="F77" s="25" t="n">
        <f aca="false">(1/(1+EXP(-(C77*0+D77*0+E77))))</f>
        <v>0.496614295685771</v>
      </c>
      <c r="G77" s="25" t="n">
        <f aca="false">(1/(1+EXP(-(C77*0+D77*1+E77))))</f>
        <v>0.469175624628897</v>
      </c>
      <c r="H77" s="25" t="n">
        <f aca="false">(1/(1+EXP(-(C77*1+D77*0+E77))))</f>
        <v>0.529763089523978</v>
      </c>
      <c r="I77" s="25" t="n">
        <f aca="false">(1/(1+EXP(-(C77*1+D77*1+E77))))</f>
        <v>0.502320542981739</v>
      </c>
      <c r="J77" s="31" t="n">
        <f aca="false">-(C65*LN(F77)+(1-C65)*LN(1-F77)+D65*LN(G77)+(1-D65)*LN(1-G77)+E65*LN(H77)+(1-E65)*LN(1-H77)+F65*LN(I77)+(1-F65)*LN(1-I77))/4</f>
        <v>0.69407528812231</v>
      </c>
      <c r="K77" s="30" t="n">
        <f aca="false">((F77-C65)*0+(G77-D65)*0+(H77-E65)*1+(I77-F65)*1)/4</f>
        <v>0.00802090812642933</v>
      </c>
      <c r="L77" s="30" t="n">
        <f aca="false">((F77-C65)*0+(G77-D65)*1+(H77-E65)*0+(I77-F65)*1)/4</f>
        <v>-0.0071259580973409</v>
      </c>
      <c r="M77" s="30" t="n">
        <f aca="false">((F77-C65)+(G77-D65)+(H77-E65)+(I77-F65))/4</f>
        <v>-0.000531611794903658</v>
      </c>
      <c r="N77" s="67" t="n">
        <f aca="false">(((F77&gt;=0.5)=C65)*1+((G77&gt;=0.5)=D65)*1+((H77&gt;=0.5)=E65)*1+((I77&gt;=0.5)=F65)*1)/4</f>
        <v>0.5</v>
      </c>
    </row>
    <row r="78" customFormat="false" ht="15" hidden="false" customHeight="false" outlineLevel="0" collapsed="false">
      <c r="B78" s="29" t="n">
        <v>10</v>
      </c>
      <c r="C78" s="30" t="n">
        <f aca="false">C77-C10*K77</f>
        <v>0.116694481162692</v>
      </c>
      <c r="D78" s="30" t="n">
        <f aca="false">D77-C10*L77</f>
        <v>-0.0956591183971333</v>
      </c>
      <c r="E78" s="30" t="n">
        <f aca="false">E77-C10*M77</f>
        <v>-0.0124798006611092</v>
      </c>
      <c r="F78" s="25" t="n">
        <f aca="false">(1/(1+EXP(-(C78*0+D78*0+E78))))</f>
        <v>0.496880090327256</v>
      </c>
      <c r="G78" s="25" t="n">
        <f aca="false">(1/(1+EXP(-(C78*0+D78*1+E78))))</f>
        <v>0.472991584865785</v>
      </c>
      <c r="H78" s="25" t="n">
        <f aca="false">(1/(1+EXP(-(C78*1+D78*0+E78))))</f>
        <v>0.526030115616448</v>
      </c>
      <c r="I78" s="25" t="n">
        <f aca="false">(1/(1+EXP(-(C78*1+D78*1+E78))))</f>
        <v>0.502138877479396</v>
      </c>
      <c r="J78" s="31" t="n">
        <f aca="false">-(C65*LN(F78)+(1-C65)*LN(1-F78)+D65*LN(G78)+(1-D65)*LN(1-G78)+E65*LN(H78)+(1-E65)*LN(1-H78)+F65*LN(I78)+(1-F65)*LN(1-I78))/4</f>
        <v>0.693858838765089</v>
      </c>
      <c r="K78" s="30" t="n">
        <f aca="false">((F78-C65)*0+(G78-D65)*0+(H78-E65)*1+(I78-F65)*1)/4</f>
        <v>0.00704224827396083</v>
      </c>
      <c r="L78" s="30" t="n">
        <f aca="false">((F78-C65)*0+(G78-D65)*1+(H78-E65)*0+(I78-F65)*1)/4</f>
        <v>-0.00621738441370473</v>
      </c>
      <c r="M78" s="30" t="n">
        <f aca="false">((F78-C65)+(G78-D65)+(H78-E65)+(I78-F65))/4</f>
        <v>-0.000489832927778933</v>
      </c>
      <c r="N78" s="67" t="n">
        <f aca="false">(((F78&gt;=0.5)=C65)*1+((G78&gt;=0.5)=D65)*1+((H78&gt;=0.5)=E65)*1+((I78&gt;=0.5)=F65)*1)/4</f>
        <v>0.5</v>
      </c>
    </row>
    <row r="79" customFormat="false" ht="15" hidden="false" customHeight="false" outlineLevel="0" collapsed="false">
      <c r="B79" s="29" t="n">
        <v>11</v>
      </c>
      <c r="C79" s="30" t="n">
        <f aca="false">C78-C10*K78</f>
        <v>0.10260998461477</v>
      </c>
      <c r="D79" s="30" t="n">
        <f aca="false">D78-C10*L78</f>
        <v>-0.0832243495697238</v>
      </c>
      <c r="E79" s="30" t="n">
        <f aca="false">E78-C10*M78</f>
        <v>-0.0115001348055513</v>
      </c>
      <c r="F79" s="25" t="n">
        <f aca="false">(1/(1+EXP(-(C79*0+D79*0+E79))))</f>
        <v>0.497124997984203</v>
      </c>
      <c r="G79" s="25" t="n">
        <f aca="false">(1/(1+EXP(-(C79*0+D79*1+E79))))</f>
        <v>0.476336570053973</v>
      </c>
      <c r="H79" s="25" t="n">
        <f aca="false">(1/(1+EXP(-(C79*1+D79*0+E79))))</f>
        <v>0.522761719202021</v>
      </c>
      <c r="I79" s="25" t="n">
        <f aca="false">(1/(1+EXP(-(C79*1+D79*1+E79))))</f>
        <v>0.501971364844746</v>
      </c>
      <c r="J79" s="31" t="n">
        <f aca="false">-(C65*LN(F79)+(1-C65)*LN(1-F79)+D65*LN(G79)+(1-D65)*LN(1-G79)+E65*LN(H79)+(1-E65)*LN(1-H79)+F65*LN(I79)+(1-F65)*LN(1-I79))/4</f>
        <v>0.693692866306873</v>
      </c>
      <c r="K79" s="30" t="n">
        <f aca="false">((F79-C65)*0+(G79-D65)*0+(H79-E65)*1+(I79-F65)*1)/4</f>
        <v>0.00618327101169178</v>
      </c>
      <c r="L79" s="30" t="n">
        <f aca="false">((F79-C65)*0+(G79-D65)*1+(H79-E65)*0+(I79-F65)*1)/4</f>
        <v>-0.00542301627532033</v>
      </c>
      <c r="M79" s="30" t="n">
        <f aca="false">((F79-C65)+(G79-D65)+(H79-E65)+(I79-F65))/4</f>
        <v>-0.000451336978764177</v>
      </c>
      <c r="N79" s="67" t="n">
        <f aca="false">(((F79&gt;=0.5)=C65)*1+((G79&gt;=0.5)=D65)*1+((H79&gt;=0.5)=E65)*1+((I79&gt;=0.5)=F65)*1)/4</f>
        <v>0.5</v>
      </c>
    </row>
    <row r="80" customFormat="false" ht="15" hidden="false" customHeight="false" outlineLevel="0" collapsed="false">
      <c r="B80" s="29" t="n">
        <v>12</v>
      </c>
      <c r="C80" s="30" t="n">
        <f aca="false">C79-C10*K79</f>
        <v>0.0902434425913866</v>
      </c>
      <c r="D80" s="30" t="n">
        <f aca="false">D79-C10*L79</f>
        <v>-0.0723783170190832</v>
      </c>
      <c r="E80" s="30" t="n">
        <f aca="false">E79-C10*M79</f>
        <v>-0.010597460848023</v>
      </c>
      <c r="F80" s="25" t="n">
        <f aca="false">(1/(1+EXP(-(C80*0+D80*0+E80))))</f>
        <v>0.497350659582722</v>
      </c>
      <c r="G80" s="25" t="n">
        <f aca="false">(1/(1+EXP(-(C80*0+D80*1+E80))))</f>
        <v>0.479267949147629</v>
      </c>
      <c r="H80" s="25" t="n">
        <f aca="false">(1/(1+EXP(-(C80*1+D80*0+E80))))</f>
        <v>0.519900976423423</v>
      </c>
      <c r="I80" s="25" t="n">
        <f aca="false">(1/(1+EXP(-(C80*1+D80*1+E80))))</f>
        <v>0.501816908183812</v>
      </c>
      <c r="J80" s="31" t="n">
        <f aca="false">-(C65*LN(F80)+(1-C65)*LN(1-F80)+D65*LN(G80)+(1-D65)*LN(1-G80)+E65*LN(H80)+(1-E65)*LN(1-H80)+F65*LN(I80)+(1-F65)*LN(1-I80))/4</f>
        <v>0.693565616073719</v>
      </c>
      <c r="K80" s="30" t="n">
        <f aca="false">((F80-C65)*0+(G80-D65)*0+(H80-E65)*1+(I80-F65)*1)/4</f>
        <v>0.00542947115180878</v>
      </c>
      <c r="L80" s="30" t="n">
        <f aca="false">((F80-C65)*0+(G80-D65)*1+(H80-E65)*0+(I80-F65)*1)/4</f>
        <v>-0.00472878566713977</v>
      </c>
      <c r="M80" s="30" t="n">
        <f aca="false">((F80-C65)+(G80-D65)+(H80-E65)+(I80-F65))/4</f>
        <v>-0.000415876665603415</v>
      </c>
      <c r="N80" s="67" t="n">
        <f aca="false">(((F80&gt;=0.5)=C65)*1+((G80&gt;=0.5)=D65)*1+((H80&gt;=0.5)=E65)*1+((I80&gt;=0.5)=F65)*1)/4</f>
        <v>0.5</v>
      </c>
    </row>
    <row r="81" customFormat="false" ht="15" hidden="false" customHeight="false" outlineLevel="0" collapsed="false">
      <c r="B81" s="29" t="n">
        <v>13</v>
      </c>
      <c r="C81" s="30" t="n">
        <f aca="false">C80-C10*K80</f>
        <v>0.0793845002877691</v>
      </c>
      <c r="D81" s="30" t="n">
        <f aca="false">D80-C10*L80</f>
        <v>-0.0629207456848036</v>
      </c>
      <c r="E81" s="30" t="n">
        <f aca="false">E80-C10*M80</f>
        <v>-0.00976570751681613</v>
      </c>
      <c r="F81" s="25" t="n">
        <f aca="false">(1/(1+EXP(-(C81*0+D81*0+E81))))</f>
        <v>0.497558592523656</v>
      </c>
      <c r="G81" s="25" t="n">
        <f aca="false">(1/(1+EXP(-(C81*0+D81*1+E81))))</f>
        <v>0.48183638301297</v>
      </c>
      <c r="H81" s="25" t="n">
        <f aca="false">(1/(1+EXP(-(C81*1+D81*0+E81))))</f>
        <v>0.517397671874982</v>
      </c>
      <c r="I81" s="25" t="n">
        <f aca="false">(1/(1+EXP(-(C81*1+D81*1+E81))))</f>
        <v>0.501674505511147</v>
      </c>
      <c r="J81" s="31" t="n">
        <f aca="false">-(C65*LN(F81)+(1-C65)*LN(1-F81)+D65*LN(G81)+(1-D65)*LN(1-G81)+E65*LN(H81)+(1-E65)*LN(1-H81)+F65*LN(I81)+(1-F65)*LN(1-I81))/4</f>
        <v>0.693468061436934</v>
      </c>
      <c r="K81" s="30" t="n">
        <f aca="false">((F81-C65)*0+(G81-D65)*0+(H81-E65)*1+(I81-F65)*1)/4</f>
        <v>0.00476804434653225</v>
      </c>
      <c r="L81" s="30" t="n">
        <f aca="false">((F81-C65)*0+(G81-D65)*1+(H81-E65)*0+(I81-F65)*1)/4</f>
        <v>-0.00412227786897065</v>
      </c>
      <c r="M81" s="30" t="n">
        <f aca="false">((F81-C65)+(G81-D65)+(H81-E65)+(I81-F65))/4</f>
        <v>-0.000383211769311082</v>
      </c>
      <c r="N81" s="67" t="n">
        <f aca="false">(((F81&gt;=0.5)=C65)*1+((G81&gt;=0.5)=D65)*1+((H81&gt;=0.5)=E65)*1+((I81&gt;=0.5)=F65)*1)/4</f>
        <v>0.5</v>
      </c>
    </row>
    <row r="82" customFormat="false" ht="15" hidden="false" customHeight="false" outlineLevel="0" collapsed="false">
      <c r="B82" s="29" t="n">
        <v>14</v>
      </c>
      <c r="C82" s="30" t="n">
        <f aca="false">C81-C10*K81</f>
        <v>0.0698484115947046</v>
      </c>
      <c r="D82" s="30" t="n">
        <f aca="false">D81-C10*L81</f>
        <v>-0.0546761899468623</v>
      </c>
      <c r="E82" s="30" t="n">
        <f aca="false">E81-C10*M81</f>
        <v>-0.00899928397819397</v>
      </c>
      <c r="F82" s="25" t="n">
        <f aca="false">(1/(1+EXP(-(C82*0+D82*0+E82))))</f>
        <v>0.497750194189204</v>
      </c>
      <c r="G82" s="25" t="n">
        <f aca="false">(1/(1+EXP(-(C82*0+D82*1+E82))))</f>
        <v>0.484086508014026</v>
      </c>
      <c r="H82" s="25" t="n">
        <f aca="false">(1/(1+EXP(-(C82*1+D82*0+E82))))</f>
        <v>0.515207589871115</v>
      </c>
      <c r="I82" s="25" t="n">
        <f aca="false">(1/(1+EXP(-(C82*1+D82*1+E82))))</f>
        <v>0.501543229516998</v>
      </c>
      <c r="J82" s="31" t="n">
        <f aca="false">-(C65*LN(F82)+(1-C65)*LN(1-F82)+D65*LN(G82)+(1-D65)*LN(1-G82)+E65*LN(H82)+(1-E65)*LN(1-H82)+F65*LN(I82)+(1-F65)*LN(1-I82))/4</f>
        <v>0.693393274884073</v>
      </c>
      <c r="K82" s="30" t="n">
        <f aca="false">((F82-C65)*0+(G82-D65)*0+(H82-E65)*1+(I82-F65)*1)/4</f>
        <v>0.00418770484702816</v>
      </c>
      <c r="L82" s="30" t="n">
        <f aca="false">((F82-C65)*0+(G82-D65)*1+(H82-E65)*0+(I82-F65)*1)/4</f>
        <v>-0.00359256561724408</v>
      </c>
      <c r="M82" s="30" t="n">
        <f aca="false">((F82-C65)+(G82-D65)+(H82-E65)+(I82-F65))/4</f>
        <v>-0.000353119602164442</v>
      </c>
      <c r="N82" s="67" t="n">
        <f aca="false">(((F82&gt;=0.5)=C65)*1+((G82&gt;=0.5)=D65)*1+((H82&gt;=0.5)=E65)*1+((I82&gt;=0.5)=F65)*1)/4</f>
        <v>0.5</v>
      </c>
    </row>
    <row r="83" customFormat="false" ht="15" hidden="false" customHeight="false" outlineLevel="0" collapsed="false">
      <c r="B83" s="29" t="n">
        <v>15</v>
      </c>
      <c r="C83" s="30" t="n">
        <f aca="false">C82-C10*K82</f>
        <v>0.0614730019006483</v>
      </c>
      <c r="D83" s="30" t="n">
        <f aca="false">D82-C10*L82</f>
        <v>-0.0474910587123741</v>
      </c>
      <c r="E83" s="30" t="n">
        <f aca="false">E82-C10*M82</f>
        <v>-0.00829304477386508</v>
      </c>
      <c r="F83" s="25" t="n">
        <f aca="false">(1/(1+EXP(-(C83*0+D83*0+E83))))</f>
        <v>0.49792675068876</v>
      </c>
      <c r="G83" s="25" t="n">
        <f aca="false">(1/(1+EXP(-(C83*0+D83*1+E83))))</f>
        <v>0.486057589517264</v>
      </c>
      <c r="H83" s="25" t="n">
        <f aca="false">(1/(1+EXP(-(C83*1+D83*0+E83))))</f>
        <v>0.51329185686229</v>
      </c>
      <c r="I83" s="25" t="n">
        <f aca="false">(1/(1+EXP(-(C83*1+D83*1+E83))))</f>
        <v>0.501422220767927</v>
      </c>
      <c r="J83" s="31" t="n">
        <f aca="false">-(C65*LN(F83)+(1-C65)*LN(1-F83)+D65*LN(G83)+(1-D65)*LN(1-G83)+E65*LN(H83)+(1-E65)*LN(1-H83)+F65*LN(I83)+(1-F65)*LN(1-I83))/4</f>
        <v>0.693335942289892</v>
      </c>
      <c r="K83" s="30" t="n">
        <f aca="false">((F83-C65)*0+(G83-D65)*0+(H83-E65)*1+(I83-F65)*1)/4</f>
        <v>0.00367851940755407</v>
      </c>
      <c r="L83" s="30" t="n">
        <f aca="false">((F83-C65)*0+(G83-D65)*1+(H83-E65)*0+(I83-F65)*1)/4</f>
        <v>-0.00313004742870246</v>
      </c>
      <c r="M83" s="30" t="n">
        <f aca="false">((F83-C65)+(G83-D65)+(H83-E65)+(I83-F65))/4</f>
        <v>-0.000325395540940104</v>
      </c>
      <c r="N83" s="67" t="n">
        <f aca="false">(((F83&gt;=0.5)=C65)*1+((G83&gt;=0.5)=D65)*1+((H83&gt;=0.5)=E65)*1+((I83&gt;=0.5)=F65)*1)/4</f>
        <v>0.5</v>
      </c>
    </row>
    <row r="84" customFormat="false" ht="15" hidden="false" customHeight="false" outlineLevel="0" collapsed="false">
      <c r="B84" s="29" t="n">
        <v>16</v>
      </c>
      <c r="C84" s="30" t="n">
        <f aca="false">C83-C10*K83</f>
        <v>0.0541159630855401</v>
      </c>
      <c r="D84" s="30" t="n">
        <f aca="false">D83-C10*L83</f>
        <v>-0.0412309638549692</v>
      </c>
      <c r="E84" s="30" t="n">
        <f aca="false">E83-C10*M83</f>
        <v>-0.00764225369198487</v>
      </c>
      <c r="F84" s="25" t="n">
        <f aca="false">(1/(1+EXP(-(C84*0+D84*0+E84))))</f>
        <v>0.498089445875668</v>
      </c>
      <c r="G84" s="25" t="n">
        <f aca="false">(1/(1+EXP(-(C84*0+D84*1+E84))))</f>
        <v>0.487784127077211</v>
      </c>
      <c r="H84" s="25" t="n">
        <f aca="false">(1/(1+EXP(-(C84*1+D84*0+E84))))</f>
        <v>0.511616336671166</v>
      </c>
      <c r="I84" s="25" t="n">
        <f aca="false">(1/(1+EXP(-(C84*1+D84*1+E84))))</f>
        <v>0.501310683382486</v>
      </c>
      <c r="J84" s="31" t="n">
        <f aca="false">-(C65*LN(F84)+(1-C65)*LN(1-F84)+D65*LN(G84)+(1-D65)*LN(1-G84)+E65*LN(H84)+(1-E65)*LN(1-H84)+F65*LN(I84)+(1-F65)*LN(1-I84))/4</f>
        <v>0.693291988537569</v>
      </c>
      <c r="K84" s="30" t="n">
        <f aca="false">((F84-C65)*0+(G84-D65)*0+(H84-E65)*1+(I84-F65)*1)/4</f>
        <v>0.00323175501341308</v>
      </c>
      <c r="L84" s="30" t="n">
        <f aca="false">((F84-C65)*0+(G84-D65)*1+(H84-E65)*0+(I84-F65)*1)/4</f>
        <v>-0.00272629738507582</v>
      </c>
      <c r="M84" s="30" t="n">
        <f aca="false">((F84-C65)+(G84-D65)+(H84-E65)+(I84-F65))/4</f>
        <v>-0.000299851748367136</v>
      </c>
      <c r="N84" s="67" t="n">
        <f aca="false">(((F84&gt;=0.5)=C65)*1+((G84&gt;=0.5)=D65)*1+((H84&gt;=0.5)=E65)*1+((I84&gt;=0.5)=F65)*1)/4</f>
        <v>0.5</v>
      </c>
    </row>
    <row r="85" customFormat="false" ht="15" hidden="false" customHeight="false" outlineLevel="0" collapsed="false">
      <c r="B85" s="29" t="n">
        <v>17</v>
      </c>
      <c r="C85" s="30" t="n">
        <f aca="false">C84-C10*K84</f>
        <v>0.047652453058714</v>
      </c>
      <c r="D85" s="30" t="n">
        <f aca="false">D84-C10*L84</f>
        <v>-0.0357783690848176</v>
      </c>
      <c r="E85" s="30" t="n">
        <f aca="false">E84-C10*M84</f>
        <v>-0.0070425501952506</v>
      </c>
      <c r="F85" s="25" t="n">
        <f aca="false">(1/(1+EXP(-(C85*0+D85*0+E85))))</f>
        <v>0.498239369728088</v>
      </c>
      <c r="G85" s="25" t="n">
        <f aca="false">(1/(1+EXP(-(C85*0+D85*1+E85))))</f>
        <v>0.489296405666981</v>
      </c>
      <c r="H85" s="25" t="n">
        <f aca="false">(1/(1+EXP(-(C85*1+D85*0+E85))))</f>
        <v>0.510151080687629</v>
      </c>
      <c r="I85" s="25" t="n">
        <f aca="false">(1/(1+EXP(-(C85*1+D85*1+E85))))</f>
        <v>0.501207881094959</v>
      </c>
      <c r="J85" s="31" t="n">
        <f aca="false">-(C65*LN(F85)+(1-C65)*LN(1-F85)+D65*LN(G85)+(1-D65)*LN(1-G85)+E65*LN(H85)+(1-E65)*LN(1-H85)+F65*LN(I85)+(1-F65)*LN(1-I85))/4</f>
        <v>0.693258289405585</v>
      </c>
      <c r="K85" s="30" t="n">
        <f aca="false">((F85-C65)*0+(G85-D65)*0+(H85-E65)*1+(I85-F65)*1)/4</f>
        <v>0.00283974044564694</v>
      </c>
      <c r="L85" s="30" t="n">
        <f aca="false">((F85-C65)*0+(G85-D65)*1+(H85-E65)*0+(I85-F65)*1)/4</f>
        <v>-0.0023739283095148</v>
      </c>
      <c r="M85" s="30" t="n">
        <f aca="false">((F85-C65)+(G85-D65)+(H85-E65)+(I85-F65))/4</f>
        <v>-0.000276315705585589</v>
      </c>
      <c r="N85" s="67" t="n">
        <f aca="false">(((F85&gt;=0.5)=C65)*1+((G85&gt;=0.5)=D65)*1+((H85&gt;=0.5)=E65)*1+((I85&gt;=0.5)=F65)*1)/4</f>
        <v>0.5</v>
      </c>
    </row>
    <row r="86" customFormat="false" ht="15" hidden="false" customHeight="false" outlineLevel="0" collapsed="false">
      <c r="B86" s="29" t="n">
        <v>18</v>
      </c>
      <c r="C86" s="30" t="n">
        <f aca="false">C85-C10*K85</f>
        <v>0.0419729721674201</v>
      </c>
      <c r="D86" s="30" t="n">
        <f aca="false">D85-C10*L85</f>
        <v>-0.031030512465788</v>
      </c>
      <c r="E86" s="30" t="n">
        <f aca="false">E85-C10*M85</f>
        <v>-0.00648991878407942</v>
      </c>
      <c r="F86" s="25" t="n">
        <f aca="false">(1/(1+EXP(-(C86*0+D86*0+E86))))</f>
        <v>0.498377525998731</v>
      </c>
      <c r="G86" s="25" t="n">
        <f aca="false">(1/(1+EXP(-(C86*0+D86*1+E86))))</f>
        <v>0.490620992462145</v>
      </c>
      <c r="H86" s="25" t="n">
        <f aca="false">(1/(1+EXP(-(C86*1+D86*0+E86))))</f>
        <v>0.508869832737281</v>
      </c>
      <c r="I86" s="25" t="n">
        <f aca="false">(1/(1+EXP(-(C86*1+D86*1+E86))))</f>
        <v>0.501113133390388</v>
      </c>
      <c r="J86" s="31" t="n">
        <f aca="false">-(C65*LN(F86)+(1-C65)*LN(1-F86)+D65*LN(G86)+(1-D65)*LN(1-G86)+E65*LN(H86)+(1-E65)*LN(1-H86)+F65*LN(I86)+(1-F65)*LN(1-I86))/4</f>
        <v>0.693232450100597</v>
      </c>
      <c r="K86" s="30" t="n">
        <f aca="false">((F86-C65)*0+(G86-D65)*0+(H86-E65)*1+(I86-F65)*1)/4</f>
        <v>0.00249574153191734</v>
      </c>
      <c r="L86" s="30" t="n">
        <f aca="false">((F86-C65)*0+(G86-D65)*1+(H86-E65)*0+(I86-F65)*1)/4</f>
        <v>-0.00206646853686665</v>
      </c>
      <c r="M86" s="30" t="n">
        <f aca="false">((F86-C65)+(G86-D65)+(H86-E65)+(I86-F65))/4</f>
        <v>-0.000254628852863703</v>
      </c>
      <c r="N86" s="67" t="n">
        <f aca="false">(((F86&gt;=0.5)=C65)*1+((G86&gt;=0.5)=D65)*1+((H86&gt;=0.5)=E65)*1+((I86&gt;=0.5)=F65)*1)/4</f>
        <v>0.5</v>
      </c>
    </row>
    <row r="87" customFormat="false" ht="15" hidden="false" customHeight="false" outlineLevel="0" collapsed="false">
      <c r="B87" s="29" t="n">
        <v>19</v>
      </c>
      <c r="C87" s="30" t="n">
        <f aca="false">C86-C10*K86</f>
        <v>0.0369814891035854</v>
      </c>
      <c r="D87" s="30" t="n">
        <f aca="false">D86-C10*L86</f>
        <v>-0.0268975753920547</v>
      </c>
      <c r="E87" s="30" t="n">
        <f aca="false">E86-C10*M86</f>
        <v>-0.00598066107835202</v>
      </c>
      <c r="F87" s="25" t="n">
        <f aca="false">(1/(1+EXP(-(C87*0+D87*0+E87))))</f>
        <v>0.498504839187024</v>
      </c>
      <c r="G87" s="25" t="n">
        <f aca="false">(1/(1+EXP(-(C87*0+D87*1+E87))))</f>
        <v>0.49178118123288</v>
      </c>
      <c r="H87" s="25" t="n">
        <f aca="false">(1/(1+EXP(-(C87*1+D87*0+E87))))</f>
        <v>0.507749586370387</v>
      </c>
      <c r="I87" s="25" t="n">
        <f aca="false">(1/(1+EXP(-(C87*1+D87*1+E87))))</f>
        <v>0.501025811719023</v>
      </c>
      <c r="J87" s="31" t="n">
        <f aca="false">-(C65*LN(F87)+(1-C65)*LN(1-F87)+D65*LN(G87)+(1-D65)*LN(1-G87)+E65*LN(H87)+(1-E65)*LN(1-H87)+F65*LN(I87)+(1-F65)*LN(1-I87))/4</f>
        <v>0.693212635170238</v>
      </c>
      <c r="K87" s="30" t="n">
        <f aca="false">((F87-C65)*0+(G87-D65)*0+(H87-E65)*1+(I87-F65)*1)/4</f>
        <v>0.00219384952235241</v>
      </c>
      <c r="L87" s="30" t="n">
        <f aca="false">((F87-C65)*0+(G87-D65)*1+(H87-E65)*0+(I87-F65)*1)/4</f>
        <v>-0.00179825176202433</v>
      </c>
      <c r="M87" s="30" t="n">
        <f aca="false">((F87-C65)+(G87-D65)+(H87-E65)+(I87-F65))/4</f>
        <v>-0.00023464537267176</v>
      </c>
      <c r="N87" s="67" t="n">
        <f aca="false">(((F87&gt;=0.5)=C65)*1+((G87&gt;=0.5)=D65)*1+((H87&gt;=0.5)=E65)*1+((I87&gt;=0.5)=F65)*1)/4</f>
        <v>0.5</v>
      </c>
    </row>
    <row r="88" customFormat="false" ht="15" hidden="false" customHeight="false" outlineLevel="0" collapsed="false">
      <c r="B88" s="29" t="n">
        <v>20</v>
      </c>
      <c r="C88" s="30" t="n">
        <f aca="false">C87-C10*K87</f>
        <v>0.0325937900588806</v>
      </c>
      <c r="D88" s="30" t="n">
        <f aca="false">D87-C10*L87</f>
        <v>-0.023301071868006</v>
      </c>
      <c r="E88" s="30" t="n">
        <f aca="false">E87-C10*M87</f>
        <v>-0.0055113703330085</v>
      </c>
      <c r="F88" s="25" t="n">
        <f aca="false">(1/(1+EXP(-(C88*0+D88*0+E88))))</f>
        <v>0.498622160904425</v>
      </c>
      <c r="G88" s="25" t="n">
        <f aca="false">(1/(1+EXP(-(C88*0+D88*1+E88))))</f>
        <v>0.492797387717665</v>
      </c>
      <c r="H88" s="25" t="n">
        <f aca="false">(1/(1+EXP(-(C88*1+D88*0+E88))))</f>
        <v>0.506770191132595</v>
      </c>
      <c r="I88" s="25" t="n">
        <f aca="false">(1/(1+EXP(-(C88*1+D88*1+E88))))</f>
        <v>0.500945335838053</v>
      </c>
      <c r="J88" s="31" t="n">
        <f aca="false">-(C65*LN(F88)+(1-C65)*LN(1-F88)+D65*LN(G88)+(1-D65)*LN(1-G88)+E65*LN(H88)+(1-E65)*LN(1-H88)+F65*LN(I88)+(1-F65)*LN(1-I88))/4</f>
        <v>0.693197437963198</v>
      </c>
      <c r="K88" s="30" t="n">
        <f aca="false">((F88-C65)*0+(G88-D65)*0+(H88-E65)*1+(I88-F65)*1)/4</f>
        <v>0.00192888174266184</v>
      </c>
      <c r="L88" s="30" t="n">
        <f aca="false">((F88-C65)*0+(G88-D65)*1+(H88-E65)*0+(I88-F65)*1)/4</f>
        <v>-0.00156431911107069</v>
      </c>
      <c r="M88" s="30" t="n">
        <f aca="false">((F88-C65)+(G88-D65)+(H88-E65)+(I88-F65))/4</f>
        <v>-0.000216231101815817</v>
      </c>
      <c r="N88" s="67" t="n">
        <f aca="false">(((F88&gt;=0.5)=C65)*1+((G88&gt;=0.5)=D65)*1+((H88&gt;=0.5)=E65)*1+((I88&gt;=0.5)=F65)*1)/4</f>
        <v>0.5</v>
      </c>
    </row>
    <row r="89" customFormat="false" ht="15" hidden="false" customHeight="false" outlineLevel="0" collapsed="false">
      <c r="B89" s="29" t="n">
        <v>21</v>
      </c>
      <c r="C89" s="30" t="n">
        <f aca="false">C88-C10*K88</f>
        <v>0.0287360265735569</v>
      </c>
      <c r="D89" s="30" t="n">
        <f aca="false">D88-C10*L88</f>
        <v>-0.0201724336458646</v>
      </c>
      <c r="E89" s="30" t="n">
        <f aca="false">E88-C10*M88</f>
        <v>-0.00507890812937686</v>
      </c>
      <c r="F89" s="25" t="n">
        <f aca="false">(1/(1+EXP(-(C89*0+D89*0+E89))))</f>
        <v>0.498730275697065</v>
      </c>
      <c r="G89" s="25" t="n">
        <f aca="false">(1/(1+EXP(-(C89*0+D89*1+E89))))</f>
        <v>0.493687499972712</v>
      </c>
      <c r="H89" s="25" t="n">
        <f aca="false">(1/(1+EXP(-(C89*1+D89*0+E89))))</f>
        <v>0.505914003794706</v>
      </c>
      <c r="I89" s="25" t="n">
        <f aca="false">(1/(1+EXP(-(C89*1+D89*1+E89))))</f>
        <v>0.500871170318025</v>
      </c>
      <c r="J89" s="31" t="n">
        <f aca="false">-(C65*LN(F89)+(1-C65)*LN(1-F89)+D65*LN(G89)+(1-D65)*LN(1-G89)+E65*LN(H89)+(1-E65)*LN(1-H89)+F65*LN(I89)+(1-F65)*LN(1-I89))/4</f>
        <v>0.693185780492024</v>
      </c>
      <c r="K89" s="30" t="n">
        <f aca="false">((F89-C65)*0+(G89-D65)*0+(H89-E65)*1+(I89-F65)*1)/4</f>
        <v>0.00169629352818268</v>
      </c>
      <c r="L89" s="30" t="n">
        <f aca="false">((F89-C65)*0+(G89-D65)*1+(H89-E65)*0+(I89-F65)*1)/4</f>
        <v>-0.0013603324273157</v>
      </c>
      <c r="M89" s="30" t="n">
        <f aca="false">((F89-C65)+(G89-D65)+(H89-E65)+(I89-F65))/4</f>
        <v>-0.000199262554372942</v>
      </c>
      <c r="N89" s="67" t="n">
        <f aca="false">(((F89&gt;=0.5)=C65)*1+((G89&gt;=0.5)=D65)*1+((H89&gt;=0.5)=E65)*1+((I89&gt;=0.5)=F65)*1)/4</f>
        <v>0.5</v>
      </c>
    </row>
    <row r="90" customFormat="false" ht="15" hidden="false" customHeight="false" outlineLevel="0" collapsed="false">
      <c r="B90" s="29" t="n">
        <v>22</v>
      </c>
      <c r="C90" s="30" t="n">
        <f aca="false">C89-C10*K89</f>
        <v>0.0253434395171915</v>
      </c>
      <c r="D90" s="30" t="n">
        <f aca="false">D89-C10*L89</f>
        <v>-0.0174517687912332</v>
      </c>
      <c r="E90" s="30" t="n">
        <f aca="false">E89-C10*M89</f>
        <v>-0.00468038302063098</v>
      </c>
      <c r="F90" s="25" t="n">
        <f aca="false">(1/(1+EXP(-(C90*0+D90*0+E90))))</f>
        <v>0.498829906380846</v>
      </c>
      <c r="G90" s="25" t="n">
        <f aca="false">(1/(1+EXP(-(C90*0+D90*1+E90))))</f>
        <v>0.494467187890958</v>
      </c>
      <c r="H90" s="25" t="n">
        <f aca="false">(1/(1+EXP(-(C90*1+D90*0+E90))))</f>
        <v>0.50516558033328</v>
      </c>
      <c r="I90" s="25" t="n">
        <f aca="false">(1/(1+EXP(-(C90*1+D90*1+E90))))</f>
        <v>0.500802821236416</v>
      </c>
      <c r="J90" s="31" t="n">
        <f aca="false">-(C65*LN(F90)+(1-C65)*LN(1-F90)+D65*LN(G90)+(1-D65)*LN(1-G90)+E65*LN(H90)+(1-E65)*LN(1-H90)+F65*LN(I90)+(1-F65)*LN(1-I90))/4</f>
        <v>0.693176836646966</v>
      </c>
      <c r="K90" s="30" t="n">
        <f aca="false">((F90-C65)*0+(G90-D65)*0+(H90-E65)*1+(I90-F65)*1)/4</f>
        <v>0.00149210039242412</v>
      </c>
      <c r="L90" s="30" t="n">
        <f aca="false">((F90-C65)*0+(G90-D65)*1+(H90-E65)*0+(I90-F65)*1)/4</f>
        <v>-0.00118249771815637</v>
      </c>
      <c r="M90" s="30" t="n">
        <f aca="false">((F90-C65)+(G90-D65)+(H90-E65)+(I90-F65))/4</f>
        <v>-0.000183626039624824</v>
      </c>
      <c r="N90" s="67" t="n">
        <f aca="false">(((F90&gt;=0.5)=C65)*1+((G90&gt;=0.5)=D65)*1+((H90&gt;=0.5)=E65)*1+((I90&gt;=0.5)=F65)*1)/4</f>
        <v>0.5</v>
      </c>
    </row>
    <row r="91" customFormat="false" ht="15" hidden="false" customHeight="false" outlineLevel="0" collapsed="false">
      <c r="B91" s="29" t="n">
        <v>23</v>
      </c>
      <c r="C91" s="30" t="n">
        <f aca="false">C90-C10*K90</f>
        <v>0.0223592387323433</v>
      </c>
      <c r="D91" s="30" t="n">
        <f aca="false">D90-C10*L90</f>
        <v>-0.0150867733549205</v>
      </c>
      <c r="E91" s="30" t="n">
        <f aca="false">E90-C10*M90</f>
        <v>-0.00431313094138133</v>
      </c>
      <c r="F91" s="25" t="n">
        <f aca="false">(1/(1+EXP(-(C91*0+D91*0+E91))))</f>
        <v>0.498921718936268</v>
      </c>
      <c r="G91" s="25" t="n">
        <f aca="false">(1/(1+EXP(-(C91*0+D91*1+E91))))</f>
        <v>0.495150176030116</v>
      </c>
      <c r="H91" s="25" t="n">
        <f aca="false">(1/(1+EXP(-(C91*1+D91*0+E91))))</f>
        <v>0.504511404515651</v>
      </c>
      <c r="I91" s="25" t="n">
        <f aca="false">(1/(1+EXP(-(C91*1+D91*1+E91))))</f>
        <v>0.500739833069077</v>
      </c>
      <c r="J91" s="31" t="n">
        <f aca="false">-(C65*LN(F91)+(1-C65)*LN(1-F91)+D65*LN(G91)+(1-D65)*LN(1-G91)+E65*LN(H91)+(1-E65)*LN(1-H91)+F65*LN(I91)+(1-F65)*LN(1-I91))/4</f>
        <v>0.69316997333225</v>
      </c>
      <c r="K91" s="30" t="n">
        <f aca="false">((F91-C65)*0+(G91-D65)*0+(H91-E65)*1+(I91-F65)*1)/4</f>
        <v>0.00131280939618192</v>
      </c>
      <c r="L91" s="30" t="n">
        <f aca="false">((F91-C65)*0+(G91-D65)*1+(H91-E65)*0+(I91-F65)*1)/4</f>
        <v>-0.00102749772520197</v>
      </c>
      <c r="M91" s="30" t="n">
        <f aca="false">((F91-C65)+(G91-D65)+(H91-E65)+(I91-F65))/4</f>
        <v>-0.000169216862222127</v>
      </c>
      <c r="N91" s="67" t="n">
        <f aca="false">(((F91&gt;=0.5)=C65)*1+((G91&gt;=0.5)=D65)*1+((H91&gt;=0.5)=E65)*1+((I91&gt;=0.5)=F65)*1)/4</f>
        <v>0.5</v>
      </c>
    </row>
    <row r="92" customFormat="false" ht="15" hidden="false" customHeight="false" outlineLevel="0" collapsed="false">
      <c r="B92" s="29" t="n">
        <v>24</v>
      </c>
      <c r="C92" s="30" t="n">
        <f aca="false">C91-C10*K91</f>
        <v>0.0197336199399795</v>
      </c>
      <c r="D92" s="30" t="n">
        <f aca="false">D91-C10*L91</f>
        <v>-0.0130317779045165</v>
      </c>
      <c r="E92" s="30" t="n">
        <f aca="false">E91-C10*M91</f>
        <v>-0.00397469721693708</v>
      </c>
      <c r="F92" s="25" t="n">
        <f aca="false">(1/(1+EXP(-(C92*0+D92*0+E92))))</f>
        <v>0.499006327003954</v>
      </c>
      <c r="G92" s="25" t="n">
        <f aca="false">(1/(1+EXP(-(C92*0+D92*1+E92))))</f>
        <v>0.495748483687841</v>
      </c>
      <c r="H92" s="25" t="n">
        <f aca="false">(1/(1+EXP(-(C92*1+D92*0+E92))))</f>
        <v>0.503939649148862</v>
      </c>
      <c r="I92" s="25" t="n">
        <f aca="false">(1/(1+EXP(-(C92*1+D92*1+E92))))</f>
        <v>0.500681785782077</v>
      </c>
      <c r="J92" s="31" t="n">
        <f aca="false">-(C65*LN(F92)+(1-C65)*LN(1-F92)+D65*LN(G92)+(1-D65)*LN(1-G92)+E65*LN(H92)+(1-E65)*LN(1-H92)+F65*LN(I92)+(1-F65)*LN(1-I92))/4</f>
        <v>0.6931647053509</v>
      </c>
      <c r="K92" s="30" t="n">
        <f aca="false">((F92-C65)*0+(G92-D65)*0+(H92-E65)*1+(I92-F65)*1)/4</f>
        <v>0.0011553587327347</v>
      </c>
      <c r="L92" s="30" t="n">
        <f aca="false">((F92-C65)*0+(G92-D65)*1+(H92-E65)*0+(I92-F65)*1)/4</f>
        <v>-0.000892432632520535</v>
      </c>
      <c r="M92" s="30" t="n">
        <f aca="false">((F92-C65)+(G92-D65)+(H92-E65)+(I92-F65))/4</f>
        <v>-0.000155938594316535</v>
      </c>
      <c r="N92" s="67" t="n">
        <f aca="false">(((F92&gt;=0.5)=C65)*1+((G92&gt;=0.5)=D65)*1+((H92&gt;=0.5)=E65)*1+((I92&gt;=0.5)=F65)*1)/4</f>
        <v>0.5</v>
      </c>
    </row>
    <row r="93" customFormat="false" ht="15" hidden="false" customHeight="false" outlineLevel="0" collapsed="false">
      <c r="B93" s="29" t="n">
        <v>25</v>
      </c>
      <c r="C93" s="30" t="n">
        <f aca="false">C92-C10*K92</f>
        <v>0.0174229024745101</v>
      </c>
      <c r="D93" s="30" t="n">
        <f aca="false">D92-C10*L92</f>
        <v>-0.0112469126394755</v>
      </c>
      <c r="E93" s="30" t="n">
        <f aca="false">E92-C10*M92</f>
        <v>-0.00366282002830401</v>
      </c>
      <c r="F93" s="25" t="n">
        <f aca="false">(1/(1+EXP(-(C93*0+D93*0+E93))))</f>
        <v>0.4990842960167</v>
      </c>
      <c r="G93" s="25" t="n">
        <f aca="false">(1/(1+EXP(-(C93*0+D93*1+E93))))</f>
        <v>0.496272635882259</v>
      </c>
      <c r="H93" s="25" t="n">
        <f aca="false">(1/(1+EXP(-(C93*1+D93*0+E93))))</f>
        <v>0.503439966334825</v>
      </c>
      <c r="I93" s="25" t="n">
        <f aca="false">(1/(1+EXP(-(C93*1+D93*1+E93))))</f>
        <v>0.500628292120991</v>
      </c>
      <c r="J93" s="31" t="n">
        <f aca="false">-(C65*LN(F93)+(1-C65)*LN(1-F93)+D65*LN(G93)+(1-D65)*LN(1-G93)+E65*LN(H93)+(1-E65)*LN(1-H93)+F65*LN(I93)+(1-F65)*LN(1-I93))/4</f>
        <v>0.693160660832079</v>
      </c>
      <c r="K93" s="30" t="n">
        <f aca="false">((F93-C65)*0+(G93-D65)*0+(H93-E65)*1+(I93-F65)*1)/4</f>
        <v>0.00101706461395382</v>
      </c>
      <c r="L93" s="30" t="n">
        <f aca="false">((F93-C65)*0+(G93-D65)*1+(H93-E65)*0+(I93-F65)*1)/4</f>
        <v>-0.000774767999187548</v>
      </c>
      <c r="M93" s="30" t="n">
        <f aca="false">((F93-C65)+(G93-D65)+(H93-E65)+(I93-F65))/4</f>
        <v>-0.000143702411306373</v>
      </c>
      <c r="N93" s="67" t="n">
        <f aca="false">(((F93&gt;=0.5)=C65)*1+((G93&gt;=0.5)=D65)*1+((H93&gt;=0.5)=E65)*1+((I93&gt;=0.5)=F65)*1)/4</f>
        <v>0.5</v>
      </c>
    </row>
    <row r="94" customFormat="false" ht="15" hidden="false" customHeight="false" outlineLevel="0" collapsed="false">
      <c r="B94" s="29" t="n">
        <v>26</v>
      </c>
      <c r="C94" s="30" t="n">
        <f aca="false">C93-C10*K93</f>
        <v>0.0153887732466024</v>
      </c>
      <c r="D94" s="30" t="n">
        <f aca="false">D93-C10*L93</f>
        <v>-0.00969737664110038</v>
      </c>
      <c r="E94" s="30" t="n">
        <f aca="false">E93-C10*M93</f>
        <v>-0.00337541520569126</v>
      </c>
      <c r="F94" s="25" t="n">
        <f aca="false">(1/(1+EXP(-(C94*0+D94*0+E94))))</f>
        <v>0.499156146999775</v>
      </c>
      <c r="G94" s="25" t="n">
        <f aca="false">(1/(1+EXP(-(C94*0+D94*1+E94))))</f>
        <v>0.496731848581517</v>
      </c>
      <c r="H94" s="25" t="n">
        <f aca="false">(1/(1+EXP(-(C94*1+D94*0+E94))))</f>
        <v>0.503003303390393</v>
      </c>
      <c r="I94" s="25" t="n">
        <f aca="false">(1/(1+EXP(-(C94*1+D94*1+E94))))</f>
        <v>0.500578995091153</v>
      </c>
      <c r="J94" s="31" t="n">
        <f aca="false">-(C65*LN(F94)+(1-C65)*LN(1-F94)+D65*LN(G94)+(1-D65)*LN(1-G94)+E65*LN(H94)+(1-E65)*LN(1-H94)+F65*LN(I94)+(1-F65)*LN(1-I94))/4</f>
        <v>0.693157554740082</v>
      </c>
      <c r="K94" s="30" t="n">
        <f aca="false">((F94-C65)*0+(G94-D65)*0+(H94-E65)*1+(I94-F65)*1)/4</f>
        <v>0.000895574620386447</v>
      </c>
      <c r="L94" s="30" t="n">
        <f aca="false">((F94-C65)*0+(G94-D65)*1+(H94-E65)*0+(I94-F65)*1)/4</f>
        <v>-0.000672289081832478</v>
      </c>
      <c r="M94" s="30" t="n">
        <f aca="false">((F94-C65)+(G94-D65)+(H94-E65)+(I94-F65))/4</f>
        <v>-0.000132426484290488</v>
      </c>
      <c r="N94" s="67" t="n">
        <f aca="false">(((F94&gt;=0.5)=C65)*1+((G94&gt;=0.5)=D65)*1+((H94&gt;=0.5)=E65)*1+((I94&gt;=0.5)=F65)*1)/4</f>
        <v>0.5</v>
      </c>
    </row>
    <row r="95" customFormat="false" ht="15" hidden="false" customHeight="false" outlineLevel="0" collapsed="false">
      <c r="B95" s="29" t="n">
        <v>27</v>
      </c>
      <c r="C95" s="30" t="n">
        <f aca="false">C94-C10*K94</f>
        <v>0.0135976240058295</v>
      </c>
      <c r="D95" s="30" t="n">
        <f aca="false">D94-C10*L94</f>
        <v>-0.00835279847743542</v>
      </c>
      <c r="E95" s="30" t="n">
        <f aca="false">E94-C10*M94</f>
        <v>-0.00311056223711029</v>
      </c>
      <c r="F95" s="25" t="n">
        <f aca="false">(1/(1+EXP(-(C95*0+D95*0+E95))))</f>
        <v>0.499222360067733</v>
      </c>
      <c r="G95" s="25" t="n">
        <f aca="false">(1/(1+EXP(-(C95*0+D95*1+E95))))</f>
        <v>0.497134191203964</v>
      </c>
      <c r="H95" s="25" t="n">
        <f aca="false">(1/(1+EXP(-(C95*1+D95*0+E95))))</f>
        <v>0.502621741414299</v>
      </c>
      <c r="I95" s="25" t="n">
        <f aca="false">(1/(1+EXP(-(C95*1+D95*1+E95))))</f>
        <v>0.500533565620285</v>
      </c>
      <c r="J95" s="31" t="n">
        <f aca="false">-(C65*LN(F95)+(1-C65)*LN(1-F95)+D65*LN(G95)+(1-D65)*LN(1-G95)+E65*LN(H95)+(1-E65)*LN(1-H95)+F65*LN(I95)+(1-F65)*LN(1-I95))/4</f>
        <v>0.693155168577208</v>
      </c>
      <c r="K95" s="30" t="n">
        <f aca="false">((F95-C65)*0+(G95-D65)*0+(H95-E65)*1+(I95-F65)*1)/4</f>
        <v>0.000788826758646</v>
      </c>
      <c r="L95" s="30" t="n">
        <f aca="false">((F95-C65)*0+(G95-D65)*1+(H95-E65)*0+(I95-F65)*1)/4</f>
        <v>-0.000583060793937745</v>
      </c>
      <c r="M95" s="30" t="n">
        <f aca="false">((F95-C65)+(G95-D65)+(H95-E65)+(I95-F65))/4</f>
        <v>-0.000122035423429617</v>
      </c>
      <c r="N95" s="67" t="n">
        <f aca="false">(((F95&gt;=0.5)=C65)*1+((G95&gt;=0.5)=D65)*1+((H95&gt;=0.5)=E65)*1+((I95&gt;=0.5)=F65)*1)/4</f>
        <v>0.5</v>
      </c>
    </row>
    <row r="96" customFormat="false" ht="15" hidden="false" customHeight="false" outlineLevel="0" collapsed="false">
      <c r="B96" s="29" t="n">
        <v>28</v>
      </c>
      <c r="C96" s="30" t="n">
        <f aca="false">C95-C10*K95</f>
        <v>0.0120199704885375</v>
      </c>
      <c r="D96" s="30" t="n">
        <f aca="false">D95-C10*L95</f>
        <v>-0.00718667688955993</v>
      </c>
      <c r="E96" s="30" t="n">
        <f aca="false">E95-C10*M95</f>
        <v>-0.00286649139025105</v>
      </c>
      <c r="F96" s="25" t="n">
        <f aca="false">(1/(1+EXP(-(C96*0+D96*0+E96))))</f>
        <v>0.499283377643131</v>
      </c>
      <c r="G96" s="25" t="n">
        <f aca="false">(1/(1+EXP(-(C96*0+D96*1+E96))))</f>
        <v>0.497486729097238</v>
      </c>
      <c r="H96" s="25" t="n">
        <f aca="false">(1/(1+EXP(-(C96*1+D96*0+E96))))</f>
        <v>0.502288353796892</v>
      </c>
      <c r="I96" s="25" t="n">
        <f aca="false">(1/(1+EXP(-(C96*1+D96*1+E96))))</f>
        <v>0.500491700393678</v>
      </c>
      <c r="J96" s="31" t="n">
        <f aca="false">-(C65*LN(F96)+(1-C65)*LN(1-F96)+D65*LN(G96)+(1-D65)*LN(1-G96)+E65*LN(H96)+(1-E65)*LN(1-H96)+F65*LN(I96)+(1-F65)*LN(1-I96))/4</f>
        <v>0.693153334832894</v>
      </c>
      <c r="K96" s="30" t="n">
        <f aca="false">((F96-C65)*0+(G96-D65)*0+(H96-E65)*1+(I96-F65)*1)/4</f>
        <v>0.000695013547642398</v>
      </c>
      <c r="L96" s="30" t="n">
        <f aca="false">((F96-C65)*0+(G96-D65)*1+(H96-E65)*0+(I96-F65)*1)/4</f>
        <v>-0.000505392627271034</v>
      </c>
      <c r="M96" s="30" t="n">
        <f aca="false">((F96-C65)+(G96-D65)+(H96-E65)+(I96-F65))/4</f>
        <v>-0.000112459767265316</v>
      </c>
      <c r="N96" s="67" t="n">
        <f aca="false">(((F96&gt;=0.5)=C65)*1+((G96&gt;=0.5)=D65)*1+((H96&gt;=0.5)=E65)*1+((I96&gt;=0.5)=F65)*1)/4</f>
        <v>0.5</v>
      </c>
    </row>
    <row r="97" customFormat="false" ht="15" hidden="false" customHeight="false" outlineLevel="0" collapsed="false">
      <c r="B97" s="29" t="n">
        <v>29</v>
      </c>
      <c r="C97" s="30" t="n">
        <f aca="false">C96-C10*K96</f>
        <v>0.0106299433932527</v>
      </c>
      <c r="D97" s="30" t="n">
        <f aca="false">D96-C10*L96</f>
        <v>-0.00617589163501786</v>
      </c>
      <c r="E97" s="30" t="n">
        <f aca="false">E96-C10*M96</f>
        <v>-0.00264157185572042</v>
      </c>
      <c r="F97" s="25" t="n">
        <f aca="false">(1/(1+EXP(-(C97*0+D97*0+E97))))</f>
        <v>0.499339607420083</v>
      </c>
      <c r="G97" s="25" t="n">
        <f aca="false">(1/(1+EXP(-(C97*0+D97*1+E97))))</f>
        <v>0.497795648409229</v>
      </c>
      <c r="H97" s="25" t="n">
        <f aca="false">(1/(1+EXP(-(C97*1+D97*0+E97))))</f>
        <v>0.501997082264231</v>
      </c>
      <c r="I97" s="25" t="n">
        <f aca="false">(1/(1+EXP(-(C97*1+D97*1+E97))))</f>
        <v>0.500453119851584</v>
      </c>
      <c r="J97" s="31" t="n">
        <f aca="false">-(C65*LN(F97)+(1-C65)*LN(1-F97)+D65*LN(G97)+(1-D65)*LN(1-G97)+E65*LN(H97)+(1-E65)*LN(1-H97)+F65*LN(I97)+(1-F65)*LN(1-I97))/4</f>
        <v>0.693151925069429</v>
      </c>
      <c r="K97" s="30" t="n">
        <f aca="false">((F97-C65)*0+(G97-D65)*0+(H97-E65)*1+(I97-F65)*1)/4</f>
        <v>0.000612550528953593</v>
      </c>
      <c r="L97" s="30" t="n">
        <f aca="false">((F97-C65)*0+(G97-D65)*1+(H97-E65)*0+(I97-F65)*1)/4</f>
        <v>-0.000437807934796808</v>
      </c>
      <c r="M97" s="30" t="n">
        <f aca="false">((F97-C65)+(G97-D65)+(H97-E65)+(I97-F65))/4</f>
        <v>-0.000103635513718531</v>
      </c>
      <c r="N97" s="67" t="n">
        <f aca="false">(((F97&gt;=0.5)=C65)*1+((G97&gt;=0.5)=D65)*1+((H97&gt;=0.5)=E65)*1+((I97&gt;=0.5)=F65)*1)/4</f>
        <v>0.5</v>
      </c>
    </row>
    <row r="98" customFormat="false" ht="15" hidden="false" customHeight="false" outlineLevel="0" collapsed="false">
      <c r="B98" s="29" t="n">
        <v>30</v>
      </c>
      <c r="C98" s="30" t="n">
        <f aca="false">C97-C10*K97</f>
        <v>0.00940484233534555</v>
      </c>
      <c r="D98" s="30" t="n">
        <f aca="false">D97-C10*L97</f>
        <v>-0.00530027576542425</v>
      </c>
      <c r="E98" s="30" t="n">
        <f aca="false">E97-C10*M97</f>
        <v>-0.00243430082828336</v>
      </c>
      <c r="F98" s="25" t="n">
        <f aca="false">(1/(1+EXP(-(C98*0+D98*0+E98))))</f>
        <v>0.499391425093455</v>
      </c>
      <c r="G98" s="25" t="n">
        <f aca="false">(1/(1+EXP(-(C98*0+D98*1+E98))))</f>
        <v>0.498066365491324</v>
      </c>
      <c r="H98" s="25" t="n">
        <f aca="false">(1/(1+EXP(-(C98*1+D98*0+E98))))</f>
        <v>0.501742628320804</v>
      </c>
      <c r="I98" s="25" t="n">
        <f aca="false">(1/(1+EXP(-(C98*1+D98*1+E98))))</f>
        <v>0.500417566338333</v>
      </c>
      <c r="J98" s="31" t="n">
        <f aca="false">-(C65*LN(F98)+(1-C65)*LN(1-F98)+D65*LN(G98)+(1-D65)*LN(1-G98)+E65*LN(H98)+(1-E65)*LN(1-H98)+F65*LN(I98)+(1-F65)*LN(1-I98))/4</f>
        <v>0.693150840793785</v>
      </c>
      <c r="K98" s="30" t="n">
        <f aca="false">((F98-C65)*0+(G98-D65)*0+(H98-E65)*1+(I98-F65)*1)/4</f>
        <v>0.00054004866478416</v>
      </c>
      <c r="L98" s="30" t="n">
        <f aca="false">((F98-C65)*0+(G98-D65)*1+(H98-E65)*0+(I98-F65)*1)/4</f>
        <v>-0.000379017042585889</v>
      </c>
      <c r="M98" s="30" t="n">
        <f aca="false">((F98-C65)+(G98-D65)+(H98-E65)+(I98-F65))/4</f>
        <v>-9.55036890212535E-005</v>
      </c>
      <c r="N98" s="67" t="n">
        <f aca="false">(((F98&gt;=0.5)=C65)*1+((G98&gt;=0.5)=D65)*1+((H98&gt;=0.5)=E65)*1+((I98&gt;=0.5)=F65)*1)/4</f>
        <v>0.5</v>
      </c>
    </row>
    <row r="99" customFormat="false" ht="15" hidden="false" customHeight="false" outlineLevel="0" collapsed="false">
      <c r="B99" s="29" t="n">
        <v>31</v>
      </c>
      <c r="C99" s="30" t="n">
        <f aca="false">C98-C10*K98</f>
        <v>0.00832474500577723</v>
      </c>
      <c r="D99" s="30" t="n">
        <f aca="false">D98-C10*L98</f>
        <v>-0.00454224168025247</v>
      </c>
      <c r="E99" s="30" t="n">
        <f aca="false">E98-C10*M98</f>
        <v>-0.00224329345024085</v>
      </c>
      <c r="F99" s="25" t="n">
        <f aca="false">(1/(1+EXP(-(C99*0+D99*0+E99))))</f>
        <v>0.499439176872629</v>
      </c>
      <c r="G99" s="25" t="n">
        <f aca="false">(1/(1+EXP(-(C99*0+D99*1+E99))))</f>
        <v>0.498303622726299</v>
      </c>
      <c r="H99" s="25" t="n">
        <f aca="false">(1/(1+EXP(-(C99*1+D99*0+E99))))</f>
        <v>0.501520358203136</v>
      </c>
      <c r="I99" s="25" t="n">
        <f aca="false">(1/(1+EXP(-(C99*1+D99*1+E99))))</f>
        <v>0.500384802392849</v>
      </c>
      <c r="J99" s="31" t="n">
        <f aca="false">-(C65*LN(F99)+(1-C65)*LN(1-F99)+D65*LN(G99)+(1-D65)*LN(1-G99)+E65*LN(H99)+(1-E65)*LN(1-H99)+F65*LN(I99)+(1-F65)*LN(1-I99))/4</f>
        <v>0.693150006463882</v>
      </c>
      <c r="K99" s="30" t="n">
        <f aca="false">((F99-C65)*0+(G99-D65)*0+(H99-E65)*1+(I99-F65)*1)/4</f>
        <v>0.000476290148996389</v>
      </c>
      <c r="L99" s="30" t="n">
        <f aca="false">((F99-C65)*0+(G99-D65)*1+(H99-E65)*0+(I99-F65)*1)/4</f>
        <v>-0.000327893720213024</v>
      </c>
      <c r="M99" s="30" t="n">
        <f aca="false">((F99-C65)+(G99-D65)+(H99-E65)+(I99-F65))/4</f>
        <v>-8.80099512717836E-005</v>
      </c>
      <c r="N99" s="67" t="n">
        <f aca="false">(((F99&gt;=0.5)=C65)*1+((G99&gt;=0.5)=D65)*1+((H99&gt;=0.5)=E65)*1+((I99&gt;=0.5)=F65)*1)/4</f>
        <v>0.5</v>
      </c>
    </row>
    <row r="100" customFormat="false" ht="15" hidden="false" customHeight="false" outlineLevel="0" collapsed="false">
      <c r="B100" s="29" t="n">
        <v>32</v>
      </c>
      <c r="C100" s="30" t="n">
        <f aca="false">C99-C10*K99</f>
        <v>0.00737216470778446</v>
      </c>
      <c r="D100" s="30" t="n">
        <f aca="false">D99-C10*L99</f>
        <v>-0.00388645423982642</v>
      </c>
      <c r="E100" s="30" t="n">
        <f aca="false">E99-C10*M99</f>
        <v>-0.00206727354769728</v>
      </c>
      <c r="F100" s="25" t="n">
        <f aca="false">(1/(1+EXP(-(C100*0+D100*0+E100))))</f>
        <v>0.499483181797133</v>
      </c>
      <c r="G100" s="25" t="n">
        <f aca="false">(1/(1+EXP(-(C100*0+D100*1+E100))))</f>
        <v>0.498511572449792</v>
      </c>
      <c r="H100" s="25" t="n">
        <f aca="false">(1/(1+EXP(-(C100*1+D100*0+E100))))</f>
        <v>0.501326219679832</v>
      </c>
      <c r="I100" s="25" t="n">
        <f aca="false">(1/(1+EXP(-(C100*1+D100*1+E100))))</f>
        <v>0.50035460917061</v>
      </c>
      <c r="J100" s="31" t="n">
        <f aca="false">-(C65*LN(F100)+(1-C65)*LN(1-F100)+D65*LN(G100)+(1-D65)*LN(1-G100)+E65*LN(H100)+(1-E65)*LN(1-H100)+F65*LN(I100)+(1-F65)*LN(1-I100))/4</f>
        <v>0.693149364129999</v>
      </c>
      <c r="K100" s="30" t="n">
        <f aca="false">((F100-C65)*0+(G100-D65)*0+(H100-E65)*1+(I100-F65)*1)/4</f>
        <v>0.000420207212610407</v>
      </c>
      <c r="L100" s="30" t="n">
        <f aca="false">((F100-C65)*0+(G100-D65)*1+(H100-E65)*0+(I100-F65)*1)/4</f>
        <v>-0.000283454594899507</v>
      </c>
      <c r="M100" s="30" t="n">
        <f aca="false">((F100-C65)+(G100-D65)+(H100-E65)+(I100-F65))/4</f>
        <v>-8.11042256584349E-005</v>
      </c>
      <c r="N100" s="67" t="n">
        <f aca="false">(((F100&gt;=0.5)=C65)*1+((G100&gt;=0.5)=D65)*1+((H100&gt;=0.5)=E65)*1+((I100&gt;=0.5)=F65)*1)/4</f>
        <v>0.5</v>
      </c>
    </row>
    <row r="101" customFormat="false" ht="15" hidden="false" customHeight="false" outlineLevel="0" collapsed="false">
      <c r="B101" s="29" t="n">
        <v>33</v>
      </c>
      <c r="C101" s="30" t="n">
        <f aca="false">C100-C10*K100</f>
        <v>0.00653175028256364</v>
      </c>
      <c r="D101" s="30" t="n">
        <f aca="false">D100-C10*L100</f>
        <v>-0.00331954505002741</v>
      </c>
      <c r="E101" s="30" t="n">
        <f aca="false">E100-C10*M100</f>
        <v>-0.00190506509638042</v>
      </c>
      <c r="F101" s="25" t="n">
        <f aca="false">(1/(1+EXP(-(C101*0+D101*0+E101))))</f>
        <v>0.499523733869947</v>
      </c>
      <c r="G101" s="25" t="n">
        <f aca="false">(1/(1+EXP(-(C101*0+D101*1+E101))))</f>
        <v>0.498693850434512</v>
      </c>
      <c r="H101" s="25" t="n">
        <f aca="false">(1/(1+EXP(-(C101*1+D101*0+E101))))</f>
        <v>0.501156669233221</v>
      </c>
      <c r="I101" s="25" t="n">
        <f aca="false">(1/(1+EXP(-(C101*1+D101*1+E101))))</f>
        <v>0.50032678498751</v>
      </c>
      <c r="J101" s="31" t="n">
        <f aca="false">-(C65*LN(F101)+(1-C65)*LN(1-F101)+D65*LN(G101)+(1-D65)*LN(1-G101)+E65*LN(H101)+(1-E65)*LN(1-H101)+F65*LN(I101)+(1-F65)*LN(1-I101))/4</f>
        <v>0.693148869328837</v>
      </c>
      <c r="K101" s="30" t="n">
        <f aca="false">((F101-C65)*0+(G101-D65)*0+(H101-E65)*1+(I101-F65)*1)/4</f>
        <v>0.000370863555182621</v>
      </c>
      <c r="L101" s="30" t="n">
        <f aca="false">((F101-C65)*0+(G101-D65)*1+(H101-E65)*0+(I101-F65)*1)/4</f>
        <v>-0.000244841144494662</v>
      </c>
      <c r="M101" s="30" t="n">
        <f aca="false">((F101-C65)+(G101-D65)+(H101-E65)+(I101-F65))/4</f>
        <v>-7.47403687028359E-005</v>
      </c>
      <c r="N101" s="67" t="n">
        <f aca="false">(((F101&gt;=0.5)=C65)*1+((G101&gt;=0.5)=D65)*1+((H101&gt;=0.5)=E65)*1+((I101&gt;=0.5)=F65)*1)/4</f>
        <v>0.5</v>
      </c>
    </row>
    <row r="102" customFormat="false" ht="15" hidden="false" customHeight="false" outlineLevel="0" collapsed="false">
      <c r="B102" s="29" t="n">
        <v>34</v>
      </c>
      <c r="C102" s="30" t="n">
        <f aca="false">C101-C10*K101</f>
        <v>0.0057900231721984</v>
      </c>
      <c r="D102" s="30" t="n">
        <f aca="false">D101-C10*L101</f>
        <v>-0.00282986276103808</v>
      </c>
      <c r="E102" s="30" t="n">
        <f aca="false">E101-C10*M101</f>
        <v>-0.00175558435897474</v>
      </c>
      <c r="F102" s="25" t="n">
        <f aca="false">(1/(1+EXP(-(C102*0+D102*0+E102))))</f>
        <v>0.499561104022982</v>
      </c>
      <c r="G102" s="25" t="n">
        <f aca="false">(1/(1+EXP(-(C102*0+D102*1+E102))))</f>
        <v>0.498853640228641</v>
      </c>
      <c r="H102" s="25" t="n">
        <f aca="false">(1/(1+EXP(-(C102*1+D102*0+E102))))</f>
        <v>0.501008608335239</v>
      </c>
      <c r="I102" s="25" t="n">
        <f aca="false">(1/(1+EXP(-(C102*1+D102*1+E102))))</f>
        <v>0.500301143976633</v>
      </c>
      <c r="J102" s="31" t="n">
        <f aca="false">-(C65*LN(F102)+(1-C65)*LN(1-F102)+D65*LN(G102)+(1-D65)*LN(1-G102)+E65*LN(H102)+(1-E65)*LN(1-H102)+F65*LN(I102)+(1-F65)*LN(1-I102))/4</f>
        <v>0.693148487937189</v>
      </c>
      <c r="K102" s="30" t="n">
        <f aca="false">((F102-C65)*0+(G102-D65)*0+(H102-E65)*1+(I102-F65)*1)/4</f>
        <v>0.000327438077967895</v>
      </c>
      <c r="L102" s="30" t="n">
        <f aca="false">((F102-C65)*0+(G102-D65)*1+(H102-E65)*0+(I102-F65)*1)/4</f>
        <v>-0.000211303948681629</v>
      </c>
      <c r="M102" s="30" t="n">
        <f aca="false">((F102-C65)+(G102-D65)+(H102-E65)+(I102-F65))/4</f>
        <v>-6.88758591264049E-005</v>
      </c>
      <c r="N102" s="67" t="n">
        <f aca="false">(((F102&gt;=0.5)=C65)*1+((G102&gt;=0.5)=D65)*1+((H102&gt;=0.5)=E65)*1+((I102&gt;=0.5)=F65)*1)/4</f>
        <v>0.5</v>
      </c>
    </row>
    <row r="103" customFormat="false" ht="15" hidden="false" customHeight="false" outlineLevel="0" collapsed="false">
      <c r="B103" s="29" t="n">
        <v>35</v>
      </c>
      <c r="C103" s="30" t="n">
        <f aca="false">C102-C10*K102</f>
        <v>0.00513514701626261</v>
      </c>
      <c r="D103" s="30" t="n">
        <f aca="false">D102-C10*L102</f>
        <v>-0.00240725486367482</v>
      </c>
      <c r="E103" s="30" t="n">
        <f aca="false">E102-C10*M102</f>
        <v>-0.00161783264072193</v>
      </c>
      <c r="F103" s="25" t="n">
        <f aca="false">(1/(1+EXP(-(C103*0+D103*0+E103))))</f>
        <v>0.499595541928038</v>
      </c>
      <c r="G103" s="25" t="n">
        <f aca="false">(1/(1+EXP(-(C103*0+D103*1+E103))))</f>
        <v>0.498993729482477</v>
      </c>
      <c r="H103" s="25" t="n">
        <f aca="false">(1/(1+EXP(-(C103*1+D103*0+E103))))</f>
        <v>0.500879327687335</v>
      </c>
      <c r="I103" s="25" t="n">
        <f aca="false">(1/(1+EXP(-(C103*1+D103*1+E103))))</f>
        <v>0.50027751484947</v>
      </c>
      <c r="J103" s="31" t="n">
        <f aca="false">-(C65*LN(F103)+(1-C65)*LN(1-F103)+D65*LN(G103)+(1-D65)*LN(1-G103)+E65*LN(H103)+(1-E65)*LN(1-H103)+F65*LN(I103)+(1-F65)*LN(1-I103))/4</f>
        <v>0.693148193760781</v>
      </c>
      <c r="K103" s="30" t="n">
        <f aca="false">((F103-C65)*0+(G103-D65)*0+(H103-E65)*1+(I103-F65)*1)/4</f>
        <v>0.000289210634201176</v>
      </c>
      <c r="L103" s="30" t="n">
        <f aca="false">((F103-C65)*0+(G103-D65)*1+(H103-E65)*0+(I103-F65)*1)/4</f>
        <v>-0.000182188917013326</v>
      </c>
      <c r="M103" s="30" t="n">
        <f aca="false">((F103-C65)+(G103-D65)+(H103-E65)+(I103-F65))/4</f>
        <v>-6.34715131700436E-005</v>
      </c>
      <c r="N103" s="67" t="n">
        <f aca="false">(((F103&gt;=0.5)=C65)*1+((G103&gt;=0.5)=D65)*1+((H103&gt;=0.5)=E65)*1+((I103&gt;=0.5)=F65)*1)/4</f>
        <v>0.5</v>
      </c>
    </row>
    <row r="104" customFormat="false" ht="15" hidden="false" customHeight="false" outlineLevel="0" collapsed="false">
      <c r="B104" s="29" t="n">
        <v>36</v>
      </c>
      <c r="C104" s="30" t="n">
        <f aca="false">C103-C10*K103</f>
        <v>0.00455672574786026</v>
      </c>
      <c r="D104" s="30" t="n">
        <f aca="false">D103-C10*L103</f>
        <v>-0.00204287702964817</v>
      </c>
      <c r="E104" s="30" t="n">
        <f aca="false">E103-C10*M103</f>
        <v>-0.00149088961438185</v>
      </c>
      <c r="F104" s="25" t="n">
        <f aca="false">(1/(1+EXP(-(C104*0+D104*0+E104))))</f>
        <v>0.499627277665444</v>
      </c>
      <c r="G104" s="25" t="n">
        <f aca="false">(1/(1+EXP(-(C104*0+D104*1+E104))))</f>
        <v>0.499116559258323</v>
      </c>
      <c r="H104" s="25" t="n">
        <f aca="false">(1/(1+EXP(-(C104*1+D104*0+E104))))</f>
        <v>0.500766458433019</v>
      </c>
      <c r="I104" s="25" t="n">
        <f aca="false">(1/(1+EXP(-(C104*1+D104*1+E104))))</f>
        <v>0.500255739753656</v>
      </c>
      <c r="J104" s="31" t="n">
        <f aca="false">-(C65*LN(F104)+(1-C65)*LN(1-F104)+D65*LN(G104)+(1-D65)*LN(1-G104)+E65*LN(H104)+(1-E65)*LN(1-H104)+F65*LN(I104)+(1-F65)*LN(1-I104))/4</f>
        <v>0.69314796668634</v>
      </c>
      <c r="K104" s="30" t="n">
        <f aca="false">((F104-C65)*0+(G104-D65)*0+(H104-E65)*1+(I104-F65)*1)/4</f>
        <v>0.000255549546668704</v>
      </c>
      <c r="L104" s="30" t="n">
        <f aca="false">((F104-C65)*0+(G104-D65)*1+(H104-E65)*0+(I104-F65)*1)/4</f>
        <v>-0.000156925247005141</v>
      </c>
      <c r="M104" s="30" t="n">
        <f aca="false">((F104-C65)+(G104-D65)+(H104-E65)+(I104-F65))/4</f>
        <v>-5.84912223895451E-005</v>
      </c>
      <c r="N104" s="67" t="n">
        <f aca="false">(((F104&gt;=0.5)=C65)*1+((G104&gt;=0.5)=D65)*1+((H104&gt;=0.5)=E65)*1+((I104&gt;=0.5)=F65)*1)/4</f>
        <v>0.5</v>
      </c>
    </row>
    <row r="105" customFormat="false" ht="15" hidden="false" customHeight="false" outlineLevel="0" collapsed="false">
      <c r="B105" s="29" t="n">
        <v>37</v>
      </c>
      <c r="C105" s="30" t="n">
        <f aca="false">C104-C10*K104</f>
        <v>0.00404562665452285</v>
      </c>
      <c r="D105" s="30" t="n">
        <f aca="false">D104-C10*L104</f>
        <v>-0.00172902653563789</v>
      </c>
      <c r="E105" s="30" t="n">
        <f aca="false">E104-C10*M104</f>
        <v>-0.00137390716960276</v>
      </c>
      <c r="F105" s="25" t="n">
        <f aca="false">(1/(1+EXP(-(C105*0+D105*0+E105))))</f>
        <v>0.499656523261629</v>
      </c>
      <c r="G105" s="25" t="n">
        <f aca="false">(1/(1+EXP(-(C105*0+D105*1+E105))))</f>
        <v>0.499224267196099</v>
      </c>
      <c r="H105" s="25" t="n">
        <f aca="false">(1/(1+EXP(-(C105*1+D105*0+E105))))</f>
        <v>0.500667929473919</v>
      </c>
      <c r="I105" s="25" t="n">
        <f aca="false">(1/(1+EXP(-(C105*1+D105*1+E105))))</f>
        <v>0.500235673219868</v>
      </c>
      <c r="J105" s="31" t="n">
        <f aca="false">-(C65*LN(F105)+(1-C65)*LN(1-F105)+D65*LN(G105)+(1-D65)*LN(1-G105)+E65*LN(H105)+(1-E65)*LN(1-H105)+F65*LN(I105)+(1-F65)*LN(1-I105))/4</f>
        <v>0.693147791265174</v>
      </c>
      <c r="K105" s="30" t="n">
        <f aca="false">((F105-C65)*0+(G105-D65)*0+(H105-E65)*1+(I105-F65)*1)/4</f>
        <v>0.000225900673446577</v>
      </c>
      <c r="L105" s="30" t="n">
        <f aca="false">((F105-C65)*0+(G105-D65)*1+(H105-E65)*0+(I105-F65)*1)/4</f>
        <v>-0.000135014896008395</v>
      </c>
      <c r="M105" s="30" t="n">
        <f aca="false">((F105-C65)+(G105-D65)+(H105-E65)+(I105-F65))/4</f>
        <v>-5.39017121215235E-005</v>
      </c>
      <c r="N105" s="67" t="n">
        <f aca="false">(((F105&gt;=0.5)=C65)*1+((G105&gt;=0.5)=D65)*1+((H105&gt;=0.5)=E65)*1+((I105&gt;=0.5)=F65)*1)/4</f>
        <v>0.5</v>
      </c>
    </row>
    <row r="106" customFormat="false" ht="15" hidden="false" customHeight="false" outlineLevel="0" collapsed="false">
      <c r="B106" s="29" t="n">
        <v>38</v>
      </c>
      <c r="C106" s="30" t="n">
        <f aca="false">C105-C10*K105</f>
        <v>0.00359382530762969</v>
      </c>
      <c r="D106" s="30" t="n">
        <f aca="false">D105-C10*L105</f>
        <v>-0.0014589967436211</v>
      </c>
      <c r="E106" s="30" t="n">
        <f aca="false">E105-C10*M105</f>
        <v>-0.00126610374535971</v>
      </c>
      <c r="F106" s="25" t="n">
        <f aca="false">(1/(1+EXP(-(C106*0+D106*0+E106))))</f>
        <v>0.499683474105943</v>
      </c>
      <c r="G106" s="25" t="n">
        <f aca="false">(1/(1+EXP(-(C106*0+D106*1+E106))))</f>
        <v>0.49931872529936</v>
      </c>
      <c r="H106" s="25" t="n">
        <f aca="false">(1/(1+EXP(-(C106*1+D106*0+E106))))</f>
        <v>0.500581930127812</v>
      </c>
      <c r="I106" s="25" t="n">
        <f aca="false">(1/(1+EXP(-(C106*1+D106*1+E106))))</f>
        <v>0.500217181191004</v>
      </c>
      <c r="J106" s="31" t="n">
        <f aca="false">-(C65*LN(F106)+(1-C65)*LN(1-F106)+D65*LN(G106)+(1-D65)*LN(1-G106)+E65*LN(H106)+(1-E65)*LN(1-H106)+F65*LN(I106)+(1-F65)*LN(1-I106))/4</f>
        <v>0.693147655627389</v>
      </c>
      <c r="K106" s="30" t="n">
        <f aca="false">((F106-C65)*0+(G106-D65)*0+(H106-E65)*1+(I106-F65)*1)/4</f>
        <v>0.000199777829703957</v>
      </c>
      <c r="L106" s="30" t="n">
        <f aca="false">((F106-C65)*0+(G106-D65)*1+(H106-E65)*0+(I106-F65)*1)/4</f>
        <v>-0.000116023377409069</v>
      </c>
      <c r="M106" s="30" t="n">
        <f aca="false">((F106-C65)+(G106-D65)+(H106-E65)+(I106-F65))/4</f>
        <v>-4.96723189702397E-005</v>
      </c>
      <c r="N106" s="67" t="n">
        <f aca="false">(((F106&gt;=0.5)=C65)*1+((G106&gt;=0.5)=D65)*1+((H106&gt;=0.5)=E65)*1+((I106&gt;=0.5)=F65)*1)/4</f>
        <v>0.5</v>
      </c>
    </row>
    <row r="107" customFormat="false" ht="15" hidden="false" customHeight="false" outlineLevel="0" collapsed="false">
      <c r="B107" s="29" t="n">
        <v>39</v>
      </c>
      <c r="C107" s="30" t="n">
        <f aca="false">C106-C10*K106</f>
        <v>0.00319426964822178</v>
      </c>
      <c r="D107" s="30" t="n">
        <f aca="false">D106-C10*L106</f>
        <v>-0.00122694998880296</v>
      </c>
      <c r="E107" s="30" t="n">
        <f aca="false">E106-C10*M106</f>
        <v>-0.00116675910741923</v>
      </c>
      <c r="F107" s="25" t="n">
        <f aca="false">(1/(1+EXP(-(C107*0+D107*0+E107))))</f>
        <v>0.499708310256236</v>
      </c>
      <c r="G107" s="25" t="n">
        <f aca="false">(1/(1+EXP(-(C107*0+D107*1+E107))))</f>
        <v>0.499401573011686</v>
      </c>
      <c r="H107" s="25" t="n">
        <f aca="false">(1/(1+EXP(-(C107*1+D107*0+E107))))</f>
        <v>0.500506877461561</v>
      </c>
      <c r="I107" s="25" t="n">
        <f aca="false">(1/(1+EXP(-(C107*1+D107*1+E107))))</f>
        <v>0.500200140127311</v>
      </c>
      <c r="J107" s="31" t="n">
        <f aca="false">-(C65*LN(F107)+(1-C65)*LN(1-F107)+D65*LN(G107)+(1-D65)*LN(1-G107)+E65*LN(H107)+(1-E65)*LN(1-H107)+F65*LN(I107)+(1-F65)*LN(1-I107))/4</f>
        <v>0.693147550649448</v>
      </c>
      <c r="K107" s="30" t="n">
        <f aca="false">((F107-C65)*0+(G107-D65)*0+(H107-E65)*1+(I107-F65)*1)/4</f>
        <v>0.000176754397218037</v>
      </c>
      <c r="L107" s="30" t="n">
        <f aca="false">((F107-C65)*0+(G107-D65)*1+(H107-E65)*0+(I107-F65)*1)/4</f>
        <v>-9.95717152509346E-005</v>
      </c>
      <c r="M107" s="30" t="n">
        <f aca="false">((F107-C65)+(G107-D65)+(H107-E65)+(I107-F65))/4</f>
        <v>-4.57747858016999E-005</v>
      </c>
      <c r="N107" s="67" t="n">
        <f aca="false">(((F107&gt;=0.5)=C65)*1+((G107&gt;=0.5)=D65)*1+((H107&gt;=0.5)=E65)*1+((I107&gt;=0.5)=F65)*1)/4</f>
        <v>0.5</v>
      </c>
    </row>
    <row r="108" customFormat="false" ht="15" hidden="false" customHeight="false" outlineLevel="0" collapsed="false">
      <c r="B108" s="29" t="n">
        <v>40</v>
      </c>
      <c r="C108" s="30" t="n">
        <f aca="false">C107-C10*K107</f>
        <v>0.00284076085378571</v>
      </c>
      <c r="D108" s="30" t="n">
        <f aca="false">D107-C10*L107</f>
        <v>-0.00102780655830109</v>
      </c>
      <c r="E108" s="30" t="n">
        <f aca="false">E107-C10*M107</f>
        <v>-0.00107520953581583</v>
      </c>
      <c r="F108" s="25" t="n">
        <f aca="false">(1/(1+EXP(-(C108*0+D108*0+E108))))</f>
        <v>0.499731197641942</v>
      </c>
      <c r="G108" s="25" t="n">
        <f aca="false">(1/(1+EXP(-(C108*0+D108*1+E108))))</f>
        <v>0.499474246170241</v>
      </c>
      <c r="H108" s="25" t="n">
        <f aca="false">(1/(1+EXP(-(C108*1+D108*0+E108))))</f>
        <v>0.500441387714836</v>
      </c>
      <c r="I108" s="25" t="n">
        <f aca="false">(1/(1+EXP(-(C108*1+D108*1+E108))))</f>
        <v>0.500184436181552</v>
      </c>
      <c r="J108" s="31" t="n">
        <f aca="false">-(C65*LN(F108)+(1-C65)*LN(1-F108)+D65*LN(G108)+(1-D65)*LN(1-G108)+E65*LN(H108)+(1-E65)*LN(1-H108)+F65*LN(I108)+(1-F65)*LN(1-I108))/4</f>
        <v>0.693147469315875</v>
      </c>
      <c r="K108" s="30" t="n">
        <f aca="false">((F108-C65)*0+(G108-D65)*0+(H108-E65)*1+(I108-F65)*1)/4</f>
        <v>0.000156455974096914</v>
      </c>
      <c r="L108" s="30" t="n">
        <f aca="false">((F108-C65)*0+(G108-D65)*1+(H108-E65)*0+(I108-F65)*1)/4</f>
        <v>-8.532941205186E-005</v>
      </c>
      <c r="M108" s="30" t="n">
        <f aca="false">((F108-C65)+(G108-D65)+(H108-E65)+(I108-F65))/4</f>
        <v>-4.21830728573325E-005</v>
      </c>
      <c r="N108" s="67" t="n">
        <f aca="false">(((F108&gt;=0.5)=C65)*1+((G108&gt;=0.5)=D65)*1+((H108&gt;=0.5)=E65)*1+((I108&gt;=0.5)=F65)*1)/4</f>
        <v>0.5</v>
      </c>
    </row>
    <row r="110" customFormat="false" ht="21.75" hidden="false" customHeight="true" outlineLevel="0" collapsed="false">
      <c r="B110" s="4" t="s">
        <v>487</v>
      </c>
      <c r="C110" s="4"/>
      <c r="D110" s="4"/>
      <c r="E110" s="4"/>
      <c r="F110" s="4"/>
      <c r="G110" s="4"/>
      <c r="H110" s="4"/>
      <c r="I110" s="4"/>
      <c r="J110" s="4"/>
      <c r="K110" s="4"/>
      <c r="L110" s="4"/>
      <c r="M110" s="4"/>
      <c r="N110" s="4"/>
    </row>
    <row r="128" customFormat="false" ht="15.75" hidden="false" customHeight="true" outlineLevel="0" collapsed="false">
      <c r="B128" s="22" t="s">
        <v>488</v>
      </c>
      <c r="C128" s="68" t="n">
        <f aca="false">N58</f>
        <v>1</v>
      </c>
    </row>
    <row r="129" customFormat="false" ht="17.25" hidden="false" customHeight="true" outlineLevel="0" collapsed="false">
      <c r="B129" s="22" t="s">
        <v>489</v>
      </c>
      <c r="C129" s="68" t="n">
        <f aca="false">N108</f>
        <v>0.5</v>
      </c>
      <c r="D129" s="38" t="s">
        <v>490</v>
      </c>
      <c r="E129" s="38"/>
      <c r="F129" s="38"/>
      <c r="G129" s="38"/>
      <c r="H129" s="38"/>
      <c r="I129" s="38"/>
      <c r="J129" s="38"/>
      <c r="K129" s="38"/>
      <c r="L129" s="38"/>
      <c r="M129" s="38"/>
      <c r="N129" s="38"/>
    </row>
    <row r="130" customFormat="false" ht="17.25" hidden="false" customHeight="true" outlineLevel="0" collapsed="false">
      <c r="B130" s="22" t="s">
        <v>491</v>
      </c>
      <c r="C130" s="30" t="n">
        <f aca="false">J108</f>
        <v>0.693147469315875</v>
      </c>
      <c r="D130" s="38" t="s">
        <v>492</v>
      </c>
      <c r="E130" s="38"/>
      <c r="F130" s="38"/>
      <c r="G130" s="38"/>
      <c r="H130" s="38"/>
      <c r="I130" s="38"/>
      <c r="J130" s="38"/>
      <c r="K130" s="38"/>
      <c r="L130" s="38"/>
      <c r="M130" s="38"/>
      <c r="N130" s="38"/>
    </row>
    <row r="131" customFormat="false" ht="17.25" hidden="false" customHeight="true" outlineLevel="0" collapsed="false">
      <c r="B131" s="34" t="s">
        <v>493</v>
      </c>
      <c r="C131" s="34"/>
      <c r="D131" s="34"/>
      <c r="E131" s="34"/>
      <c r="F131" s="34"/>
      <c r="G131" s="34"/>
      <c r="H131" s="34"/>
      <c r="I131" s="34"/>
      <c r="J131" s="34"/>
      <c r="K131" s="34"/>
      <c r="L131" s="34"/>
      <c r="M131" s="34"/>
      <c r="N131" s="34"/>
    </row>
    <row r="132" customFormat="false" ht="17.25" hidden="false" customHeight="true" outlineLevel="0" collapsed="false">
      <c r="B132" s="32" t="s">
        <v>494</v>
      </c>
      <c r="C132" s="32"/>
      <c r="D132" s="32"/>
      <c r="E132" s="32"/>
      <c r="F132" s="32"/>
      <c r="G132" s="32"/>
      <c r="H132" s="32"/>
      <c r="I132" s="32"/>
      <c r="J132" s="32"/>
      <c r="K132" s="32"/>
      <c r="L132" s="32"/>
      <c r="M132" s="32"/>
      <c r="N132" s="32"/>
    </row>
  </sheetData>
  <mergeCells count="18">
    <mergeCell ref="B1:N1"/>
    <mergeCell ref="B2:N2"/>
    <mergeCell ref="B4:N4"/>
    <mergeCell ref="B5:N5"/>
    <mergeCell ref="B6:N6"/>
    <mergeCell ref="D7:N7"/>
    <mergeCell ref="B11:N11"/>
    <mergeCell ref="B12:N12"/>
    <mergeCell ref="B13:F13"/>
    <mergeCell ref="C60:N60"/>
    <mergeCell ref="B61:N61"/>
    <mergeCell ref="B62:N62"/>
    <mergeCell ref="B63:F63"/>
    <mergeCell ref="B110:N110"/>
    <mergeCell ref="D129:N129"/>
    <mergeCell ref="D130:N130"/>
    <mergeCell ref="B131:N131"/>
    <mergeCell ref="B132:N13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C9C9"/>
    <pageSetUpPr fitToPage="true"/>
  </sheetPr>
  <dimension ref="B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495</v>
      </c>
      <c r="C1" s="1"/>
      <c r="D1" s="1"/>
      <c r="E1" s="1"/>
      <c r="F1" s="1"/>
      <c r="G1" s="1"/>
      <c r="H1" s="1"/>
      <c r="I1" s="1"/>
      <c r="J1" s="1"/>
      <c r="K1" s="1"/>
      <c r="L1" s="1"/>
      <c r="M1" s="1"/>
      <c r="N1" s="1"/>
    </row>
    <row r="2" customFormat="false" ht="17.25" hidden="false" customHeight="true" outlineLevel="0" collapsed="false">
      <c r="B2" s="2" t="s">
        <v>496</v>
      </c>
      <c r="C2" s="2"/>
      <c r="D2" s="2"/>
      <c r="E2" s="2"/>
      <c r="F2" s="2"/>
      <c r="G2" s="2"/>
      <c r="H2" s="2"/>
      <c r="I2" s="2"/>
      <c r="J2" s="2"/>
      <c r="K2" s="2"/>
      <c r="L2" s="2"/>
      <c r="M2" s="2"/>
      <c r="N2" s="2"/>
    </row>
    <row r="4" customFormat="false" ht="34.5" hidden="false" customHeight="true" outlineLevel="0" collapsed="false">
      <c r="B4" s="3" t="s">
        <v>497</v>
      </c>
      <c r="C4" s="3"/>
      <c r="D4" s="3"/>
      <c r="E4" s="3"/>
      <c r="F4" s="3"/>
      <c r="G4" s="3"/>
      <c r="H4" s="3"/>
      <c r="I4" s="3"/>
      <c r="J4" s="3"/>
      <c r="K4" s="3"/>
      <c r="L4" s="3"/>
      <c r="M4" s="3"/>
      <c r="N4" s="3"/>
    </row>
    <row r="5" customFormat="false" ht="20.25" hidden="false" customHeight="true" outlineLevel="0" collapsed="false">
      <c r="B5" s="42" t="s">
        <v>498</v>
      </c>
      <c r="C5" s="42"/>
      <c r="D5" s="42"/>
      <c r="E5" s="42"/>
      <c r="F5" s="42"/>
      <c r="G5" s="42"/>
      <c r="H5" s="42"/>
      <c r="I5" s="42"/>
      <c r="J5" s="42"/>
      <c r="K5" s="42"/>
      <c r="L5" s="42"/>
      <c r="M5" s="42"/>
      <c r="N5" s="42"/>
    </row>
    <row r="6" customFormat="false" ht="15.75" hidden="false" customHeight="true" outlineLevel="0" collapsed="false">
      <c r="B6" s="22" t="s">
        <v>499</v>
      </c>
      <c r="C6" s="23" t="n">
        <v>1</v>
      </c>
    </row>
    <row r="7" customFormat="false" ht="15.75" hidden="false" customHeight="true" outlineLevel="0" collapsed="false">
      <c r="B7" s="22" t="s">
        <v>500</v>
      </c>
      <c r="C7" s="23" t="n">
        <v>1.5</v>
      </c>
    </row>
    <row r="8" customFormat="false" ht="17.25" hidden="false" customHeight="true" outlineLevel="0" collapsed="false">
      <c r="B8" s="22" t="s">
        <v>501</v>
      </c>
      <c r="C8" s="23" t="n">
        <v>1</v>
      </c>
      <c r="D8" s="38" t="s">
        <v>502</v>
      </c>
      <c r="E8" s="38"/>
      <c r="F8" s="38"/>
      <c r="G8" s="38"/>
      <c r="H8" s="38"/>
      <c r="I8" s="38"/>
      <c r="J8" s="38"/>
      <c r="K8" s="38"/>
      <c r="L8" s="38"/>
      <c r="M8" s="38"/>
      <c r="N8" s="38"/>
    </row>
    <row r="9" customFormat="false" ht="31.5" hidden="false" customHeight="true" outlineLevel="0" collapsed="false">
      <c r="B9" s="10" t="s">
        <v>503</v>
      </c>
      <c r="C9" s="10" t="s">
        <v>504</v>
      </c>
      <c r="D9" s="10"/>
      <c r="E9" s="10" t="s">
        <v>505</v>
      </c>
      <c r="F9" s="10"/>
      <c r="G9" s="10" t="s">
        <v>506</v>
      </c>
      <c r="H9" s="10"/>
      <c r="I9" s="10" t="s">
        <v>507</v>
      </c>
      <c r="J9" s="10"/>
      <c r="K9" s="10"/>
      <c r="L9" s="10" t="s">
        <v>508</v>
      </c>
      <c r="M9" s="10"/>
      <c r="N9" s="10"/>
    </row>
    <row r="10" customFormat="false" ht="17.25" hidden="false" customHeight="true" outlineLevel="0" collapsed="false">
      <c r="B10" s="36" t="n">
        <v>1</v>
      </c>
      <c r="C10" s="69" t="n">
        <f aca="false">(C6*0.25)^B10</f>
        <v>0.25</v>
      </c>
      <c r="D10" s="69"/>
      <c r="E10" s="69" t="n">
        <f aca="false">(C6*(1-TANH(C8)^2))^B10</f>
        <v>0.419974341614026</v>
      </c>
      <c r="F10" s="69"/>
      <c r="G10" s="69" t="n">
        <f aca="false">(C6*1)^B10</f>
        <v>1</v>
      </c>
      <c r="H10" s="69"/>
      <c r="I10" s="69" t="n">
        <f aca="false">(C7*1)^B10</f>
        <v>1.5</v>
      </c>
      <c r="J10" s="69"/>
      <c r="K10" s="69"/>
      <c r="L10" s="69" t="n">
        <f aca="false">1</f>
        <v>1</v>
      </c>
      <c r="M10" s="69"/>
      <c r="N10" s="69"/>
    </row>
    <row r="11" customFormat="false" ht="17.25" hidden="false" customHeight="true" outlineLevel="0" collapsed="false">
      <c r="B11" s="36" t="n">
        <v>2</v>
      </c>
      <c r="C11" s="70" t="n">
        <f aca="false">(C6*0.25)^B11</f>
        <v>0.0625</v>
      </c>
      <c r="D11" s="70"/>
      <c r="E11" s="70" t="n">
        <f aca="false">(C6*(1-TANH(C8)^2))^B11</f>
        <v>0.176378447614135</v>
      </c>
      <c r="F11" s="70"/>
      <c r="G11" s="70" t="n">
        <f aca="false">(C6*1)^B11</f>
        <v>1</v>
      </c>
      <c r="H11" s="70"/>
      <c r="I11" s="70" t="n">
        <f aca="false">(C7*1)^B11</f>
        <v>2.25</v>
      </c>
      <c r="J11" s="70"/>
      <c r="K11" s="70"/>
      <c r="L11" s="70" t="n">
        <f aca="false">1</f>
        <v>1</v>
      </c>
      <c r="M11" s="70"/>
      <c r="N11" s="70"/>
    </row>
    <row r="12" customFormat="false" ht="17.25" hidden="false" customHeight="true" outlineLevel="0" collapsed="false">
      <c r="B12" s="36" t="n">
        <v>3</v>
      </c>
      <c r="C12" s="69" t="n">
        <f aca="false">(C6*0.25)^B12</f>
        <v>0.015625</v>
      </c>
      <c r="D12" s="69"/>
      <c r="E12" s="69" t="n">
        <f aca="false">(C6*(1-TANH(C8)^2))^B12</f>
        <v>0.0740744224116502</v>
      </c>
      <c r="F12" s="69"/>
      <c r="G12" s="69" t="n">
        <f aca="false">(C6*1)^B12</f>
        <v>1</v>
      </c>
      <c r="H12" s="69"/>
      <c r="I12" s="69" t="n">
        <f aca="false">(C7*1)^B12</f>
        <v>3.375</v>
      </c>
      <c r="J12" s="69"/>
      <c r="K12" s="69"/>
      <c r="L12" s="69" t="n">
        <f aca="false">1</f>
        <v>1</v>
      </c>
      <c r="M12" s="69"/>
      <c r="N12" s="69"/>
    </row>
    <row r="13" customFormat="false" ht="17.25" hidden="false" customHeight="true" outlineLevel="0" collapsed="false">
      <c r="B13" s="36" t="n">
        <v>5</v>
      </c>
      <c r="C13" s="70" t="n">
        <f aca="false">(C6*0.25)^B13</f>
        <v>0.0009765625</v>
      </c>
      <c r="D13" s="70"/>
      <c r="E13" s="70" t="n">
        <f aca="false">(C6*(1-TANH(C8)^2))^B13</f>
        <v>0.0130651316328805</v>
      </c>
      <c r="F13" s="70"/>
      <c r="G13" s="70" t="n">
        <f aca="false">(C6*1)^B13</f>
        <v>1</v>
      </c>
      <c r="H13" s="70"/>
      <c r="I13" s="70" t="n">
        <f aca="false">(C7*1)^B13</f>
        <v>7.59375</v>
      </c>
      <c r="J13" s="70"/>
      <c r="K13" s="70"/>
      <c r="L13" s="70" t="n">
        <f aca="false">1</f>
        <v>1</v>
      </c>
      <c r="M13" s="70"/>
      <c r="N13" s="70"/>
    </row>
    <row r="14" customFormat="false" ht="17.25" hidden="false" customHeight="true" outlineLevel="0" collapsed="false">
      <c r="B14" s="36" t="n">
        <v>10</v>
      </c>
      <c r="C14" s="69" t="n">
        <f aca="false">(C6*0.25)^B14</f>
        <v>9.5367431640625E-007</v>
      </c>
      <c r="D14" s="69"/>
      <c r="E14" s="69" t="n">
        <f aca="false">(C6*(1-TANH(C8)^2))^B14</f>
        <v>0.000170697664584496</v>
      </c>
      <c r="F14" s="69"/>
      <c r="G14" s="69" t="n">
        <f aca="false">(C6*1)^B14</f>
        <v>1</v>
      </c>
      <c r="H14" s="69"/>
      <c r="I14" s="69" t="n">
        <f aca="false">(C7*1)^B14</f>
        <v>57.6650390625</v>
      </c>
      <c r="J14" s="69"/>
      <c r="K14" s="69"/>
      <c r="L14" s="69" t="n">
        <f aca="false">1</f>
        <v>1</v>
      </c>
      <c r="M14" s="69"/>
      <c r="N14" s="69"/>
    </row>
    <row r="15" customFormat="false" ht="17.25" hidden="false" customHeight="true" outlineLevel="0" collapsed="false">
      <c r="B15" s="36" t="n">
        <v>15</v>
      </c>
      <c r="C15" s="70" t="n">
        <f aca="false">(C6*0.25)^B15</f>
        <v>9.31322574615479E-010</v>
      </c>
      <c r="D15" s="70"/>
      <c r="E15" s="70" t="n">
        <f aca="false">(C6*(1-TANH(C8)^2))^B15</f>
        <v>2.23018745722173E-006</v>
      </c>
      <c r="F15" s="70"/>
      <c r="G15" s="70" t="n">
        <f aca="false">(C6*1)^B15</f>
        <v>1</v>
      </c>
      <c r="H15" s="70"/>
      <c r="I15" s="70" t="n">
        <f aca="false">(C7*1)^B15</f>
        <v>437.893890380859</v>
      </c>
      <c r="J15" s="70"/>
      <c r="K15" s="70"/>
      <c r="L15" s="70" t="n">
        <f aca="false">1</f>
        <v>1</v>
      </c>
      <c r="M15" s="70"/>
      <c r="N15" s="70"/>
    </row>
    <row r="16" customFormat="false" ht="17.25" hidden="false" customHeight="true" outlineLevel="0" collapsed="false">
      <c r="B16" s="36" t="n">
        <v>20</v>
      </c>
      <c r="C16" s="69" t="n">
        <f aca="false">(C6*0.25)^B16</f>
        <v>9.09494701772928E-013</v>
      </c>
      <c r="D16" s="69"/>
      <c r="E16" s="69" t="n">
        <f aca="false">(C6*(1-TANH(C8)^2))^B16</f>
        <v>2.9137692694601E-008</v>
      </c>
      <c r="F16" s="69"/>
      <c r="G16" s="69" t="n">
        <f aca="false">(C6*1)^B16</f>
        <v>1</v>
      </c>
      <c r="H16" s="69"/>
      <c r="I16" s="69" t="n">
        <f aca="false">(C7*1)^B16</f>
        <v>3325.25673007965</v>
      </c>
      <c r="J16" s="69"/>
      <c r="K16" s="69"/>
      <c r="L16" s="69" t="n">
        <f aca="false">1</f>
        <v>1</v>
      </c>
      <c r="M16" s="69"/>
      <c r="N16" s="69"/>
    </row>
    <row r="17" customFormat="false" ht="17.25" hidden="false" customHeight="true" outlineLevel="0" collapsed="false">
      <c r="B17" s="36" t="n">
        <v>30</v>
      </c>
      <c r="C17" s="70" t="n">
        <f aca="false">(C6*0.25)^B17</f>
        <v>8.67361737988404E-019</v>
      </c>
      <c r="D17" s="70"/>
      <c r="E17" s="70" t="n">
        <f aca="false">(C6*(1-TANH(C8)^2))^B17</f>
        <v>4.97373609434911E-012</v>
      </c>
      <c r="F17" s="70"/>
      <c r="G17" s="70" t="n">
        <f aca="false">(C6*1)^B17</f>
        <v>1</v>
      </c>
      <c r="H17" s="70"/>
      <c r="I17" s="70" t="n">
        <f aca="false">(C7*1)^B17</f>
        <v>191751.059232884</v>
      </c>
      <c r="J17" s="70"/>
      <c r="K17" s="70"/>
      <c r="L17" s="70" t="n">
        <f aca="false">1</f>
        <v>1</v>
      </c>
      <c r="M17" s="70"/>
      <c r="N17" s="70"/>
    </row>
    <row r="18" customFormat="false" ht="31.5" hidden="false" customHeight="true" outlineLevel="0" collapsed="false">
      <c r="B18" s="5" t="s">
        <v>509</v>
      </c>
      <c r="C18" s="5"/>
      <c r="D18" s="5"/>
      <c r="E18" s="5"/>
      <c r="F18" s="5"/>
      <c r="G18" s="5"/>
      <c r="H18" s="5"/>
      <c r="I18" s="5"/>
      <c r="J18" s="5"/>
      <c r="K18" s="5"/>
      <c r="L18" s="5"/>
      <c r="M18" s="5"/>
      <c r="N18" s="5"/>
    </row>
    <row r="19" customFormat="false" ht="21.75" hidden="false" customHeight="true" outlineLevel="0" collapsed="false">
      <c r="B19" s="4" t="s">
        <v>510</v>
      </c>
      <c r="C19" s="4"/>
      <c r="D19" s="4"/>
      <c r="E19" s="4"/>
      <c r="F19" s="4"/>
      <c r="G19" s="4"/>
      <c r="H19" s="4"/>
      <c r="I19" s="4"/>
      <c r="J19" s="4"/>
      <c r="K19" s="4"/>
      <c r="L19" s="4"/>
      <c r="M19" s="4"/>
      <c r="N19" s="4"/>
    </row>
    <row r="20" customFormat="false" ht="17.25" hidden="false" customHeight="true" outlineLevel="0" collapsed="false">
      <c r="B20" s="10" t="s">
        <v>511</v>
      </c>
      <c r="C20" s="10"/>
      <c r="D20" s="10"/>
      <c r="E20" s="10"/>
      <c r="F20" s="10" t="s">
        <v>512</v>
      </c>
      <c r="G20" s="10"/>
      <c r="H20" s="10"/>
      <c r="I20" s="10"/>
      <c r="J20" s="10"/>
      <c r="K20" s="10"/>
      <c r="L20" s="10" t="s">
        <v>513</v>
      </c>
      <c r="M20" s="10"/>
      <c r="N20" s="10"/>
    </row>
    <row r="21" customFormat="false" ht="17.25" hidden="false" customHeight="true" outlineLevel="0" collapsed="false">
      <c r="B21" s="18" t="s">
        <v>514</v>
      </c>
      <c r="C21" s="18"/>
      <c r="D21" s="18"/>
      <c r="E21" s="18"/>
      <c r="F21" s="12" t="s">
        <v>515</v>
      </c>
      <c r="G21" s="12"/>
      <c r="H21" s="12"/>
      <c r="I21" s="12"/>
      <c r="J21" s="12"/>
      <c r="K21" s="12"/>
      <c r="L21" s="12" t="s">
        <v>472</v>
      </c>
      <c r="M21" s="12"/>
      <c r="N21" s="12"/>
    </row>
    <row r="22" customFormat="false" ht="17.25" hidden="false" customHeight="true" outlineLevel="0" collapsed="false">
      <c r="B22" s="9" t="s">
        <v>516</v>
      </c>
      <c r="C22" s="9"/>
      <c r="D22" s="9"/>
      <c r="E22" s="9"/>
      <c r="F22" s="15" t="s">
        <v>517</v>
      </c>
      <c r="G22" s="15"/>
      <c r="H22" s="15"/>
      <c r="I22" s="15"/>
      <c r="J22" s="15"/>
      <c r="K22" s="15"/>
      <c r="L22" s="15" t="s">
        <v>471</v>
      </c>
      <c r="M22" s="15"/>
      <c r="N22" s="15"/>
    </row>
    <row r="23" customFormat="false" ht="17.25" hidden="false" customHeight="true" outlineLevel="0" collapsed="false">
      <c r="B23" s="18" t="s">
        <v>518</v>
      </c>
      <c r="C23" s="18"/>
      <c r="D23" s="18"/>
      <c r="E23" s="18"/>
      <c r="F23" s="12" t="s">
        <v>519</v>
      </c>
      <c r="G23" s="12"/>
      <c r="H23" s="12"/>
      <c r="I23" s="12"/>
      <c r="J23" s="12"/>
      <c r="K23" s="12"/>
      <c r="L23" s="12" t="s">
        <v>471</v>
      </c>
      <c r="M23" s="12"/>
      <c r="N23" s="12"/>
    </row>
    <row r="24" customFormat="false" ht="17.25" hidden="false" customHeight="true" outlineLevel="0" collapsed="false">
      <c r="B24" s="9" t="s">
        <v>520</v>
      </c>
      <c r="C24" s="9"/>
      <c r="D24" s="9"/>
      <c r="E24" s="9"/>
      <c r="F24" s="15" t="s">
        <v>521</v>
      </c>
      <c r="G24" s="15"/>
      <c r="H24" s="15"/>
      <c r="I24" s="15"/>
      <c r="J24" s="15"/>
      <c r="K24" s="15"/>
      <c r="L24" s="15" t="s">
        <v>522</v>
      </c>
      <c r="M24" s="15"/>
      <c r="N24" s="15"/>
    </row>
    <row r="25" customFormat="false" ht="17.25" hidden="false" customHeight="true" outlineLevel="0" collapsed="false">
      <c r="B25" s="18" t="s">
        <v>523</v>
      </c>
      <c r="C25" s="18"/>
      <c r="D25" s="18"/>
      <c r="E25" s="18"/>
      <c r="F25" s="12" t="s">
        <v>524</v>
      </c>
      <c r="G25" s="12"/>
      <c r="H25" s="12"/>
      <c r="I25" s="12"/>
      <c r="J25" s="12"/>
      <c r="K25" s="12"/>
      <c r="L25" s="12" t="s">
        <v>525</v>
      </c>
      <c r="M25" s="12"/>
      <c r="N25" s="12"/>
    </row>
    <row r="26" customFormat="false" ht="18.75" hidden="false" customHeight="true" outlineLevel="0" collapsed="false">
      <c r="B26" s="33" t="s">
        <v>98</v>
      </c>
      <c r="C26" s="33"/>
      <c r="D26" s="33"/>
      <c r="E26" s="33"/>
      <c r="F26" s="33"/>
      <c r="G26" s="33"/>
      <c r="H26" s="33"/>
      <c r="I26" s="33"/>
      <c r="J26" s="33"/>
      <c r="K26" s="33"/>
      <c r="L26" s="33"/>
      <c r="M26" s="33"/>
      <c r="N26" s="33"/>
    </row>
    <row r="27" customFormat="false" ht="17.25" hidden="false" customHeight="true" outlineLevel="0" collapsed="false">
      <c r="B27" s="34" t="s">
        <v>526</v>
      </c>
      <c r="C27" s="34"/>
      <c r="D27" s="34"/>
      <c r="E27" s="34"/>
      <c r="F27" s="34"/>
      <c r="G27" s="34"/>
      <c r="H27" s="34"/>
      <c r="I27" s="34"/>
      <c r="J27" s="34"/>
      <c r="K27" s="34"/>
      <c r="L27" s="34"/>
      <c r="M27" s="34"/>
      <c r="N27" s="34"/>
    </row>
    <row r="28" customFormat="false" ht="17.25" hidden="false" customHeight="true" outlineLevel="0" collapsed="false">
      <c r="B28" s="35" t="s">
        <v>527</v>
      </c>
      <c r="C28" s="35"/>
      <c r="D28" s="35"/>
      <c r="E28" s="35"/>
      <c r="F28" s="35"/>
      <c r="G28" s="35"/>
      <c r="H28" s="35"/>
      <c r="I28" s="35"/>
      <c r="J28" s="35"/>
      <c r="K28" s="35"/>
      <c r="L28" s="35"/>
      <c r="M28" s="35"/>
      <c r="N28" s="35"/>
    </row>
    <row r="29" customFormat="false" ht="17.25" hidden="false" customHeight="true" outlineLevel="0" collapsed="false">
      <c r="B29" s="34" t="s">
        <v>528</v>
      </c>
      <c r="C29" s="34"/>
      <c r="D29" s="34"/>
      <c r="E29" s="34"/>
      <c r="F29" s="34"/>
      <c r="G29" s="34"/>
      <c r="H29" s="34"/>
      <c r="I29" s="34"/>
      <c r="J29" s="34"/>
      <c r="K29" s="34"/>
      <c r="L29" s="34"/>
      <c r="M29" s="34"/>
      <c r="N29" s="34"/>
    </row>
    <row r="30" customFormat="false" ht="17.25" hidden="false" customHeight="true" outlineLevel="0" collapsed="false">
      <c r="B30" s="35" t="s">
        <v>529</v>
      </c>
      <c r="C30" s="35"/>
      <c r="D30" s="35"/>
      <c r="E30" s="35"/>
      <c r="F30" s="35"/>
      <c r="G30" s="35"/>
      <c r="H30" s="35"/>
      <c r="I30" s="35"/>
      <c r="J30" s="35"/>
      <c r="K30" s="35"/>
      <c r="L30" s="35"/>
      <c r="M30" s="35"/>
      <c r="N30" s="35"/>
    </row>
  </sheetData>
  <mergeCells count="75">
    <mergeCell ref="B1:N1"/>
    <mergeCell ref="B2:N2"/>
    <mergeCell ref="B4:N4"/>
    <mergeCell ref="B5:N5"/>
    <mergeCell ref="D8:N8"/>
    <mergeCell ref="C9:D9"/>
    <mergeCell ref="E9:F9"/>
    <mergeCell ref="G9:H9"/>
    <mergeCell ref="I9:K9"/>
    <mergeCell ref="L9:N9"/>
    <mergeCell ref="C10:D10"/>
    <mergeCell ref="E10:F10"/>
    <mergeCell ref="G10:H10"/>
    <mergeCell ref="I10:K10"/>
    <mergeCell ref="L10:N10"/>
    <mergeCell ref="C11:D11"/>
    <mergeCell ref="E11:F11"/>
    <mergeCell ref="G11:H11"/>
    <mergeCell ref="I11:K11"/>
    <mergeCell ref="L11:N11"/>
    <mergeCell ref="C12:D12"/>
    <mergeCell ref="E12:F12"/>
    <mergeCell ref="G12:H12"/>
    <mergeCell ref="I12:K12"/>
    <mergeCell ref="L12:N12"/>
    <mergeCell ref="C13:D13"/>
    <mergeCell ref="E13:F13"/>
    <mergeCell ref="G13:H13"/>
    <mergeCell ref="I13:K13"/>
    <mergeCell ref="L13:N13"/>
    <mergeCell ref="C14:D14"/>
    <mergeCell ref="E14:F14"/>
    <mergeCell ref="G14:H14"/>
    <mergeCell ref="I14:K14"/>
    <mergeCell ref="L14:N14"/>
    <mergeCell ref="C15:D15"/>
    <mergeCell ref="E15:F15"/>
    <mergeCell ref="G15:H15"/>
    <mergeCell ref="I15:K15"/>
    <mergeCell ref="L15:N15"/>
    <mergeCell ref="C16:D16"/>
    <mergeCell ref="E16:F16"/>
    <mergeCell ref="G16:H16"/>
    <mergeCell ref="I16:K16"/>
    <mergeCell ref="L16:N16"/>
    <mergeCell ref="C17:D17"/>
    <mergeCell ref="E17:F17"/>
    <mergeCell ref="G17:H17"/>
    <mergeCell ref="I17:K17"/>
    <mergeCell ref="L17:N17"/>
    <mergeCell ref="B18:N18"/>
    <mergeCell ref="B19:N19"/>
    <mergeCell ref="B20:E20"/>
    <mergeCell ref="F20:K20"/>
    <mergeCell ref="L20:N20"/>
    <mergeCell ref="B21:E21"/>
    <mergeCell ref="F21:K21"/>
    <mergeCell ref="L21:N21"/>
    <mergeCell ref="B22:E22"/>
    <mergeCell ref="F22:K22"/>
    <mergeCell ref="L22:N22"/>
    <mergeCell ref="B23:E23"/>
    <mergeCell ref="F23:K23"/>
    <mergeCell ref="L23:N23"/>
    <mergeCell ref="B24:E24"/>
    <mergeCell ref="F24:K24"/>
    <mergeCell ref="L24:N24"/>
    <mergeCell ref="B25:E25"/>
    <mergeCell ref="F25:K25"/>
    <mergeCell ref="L25:N25"/>
    <mergeCell ref="B26:N26"/>
    <mergeCell ref="B27:N27"/>
    <mergeCell ref="B28:N28"/>
    <mergeCell ref="B29:N29"/>
    <mergeCell ref="B30:N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C9C9"/>
    <pageSetUpPr fitToPage="true"/>
  </sheetPr>
  <dimension ref="B1:N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530</v>
      </c>
      <c r="C1" s="1"/>
      <c r="D1" s="1"/>
      <c r="E1" s="1"/>
      <c r="F1" s="1"/>
      <c r="G1" s="1"/>
      <c r="H1" s="1"/>
      <c r="I1" s="1"/>
      <c r="J1" s="1"/>
      <c r="K1" s="1"/>
      <c r="L1" s="1"/>
      <c r="M1" s="1"/>
      <c r="N1" s="1"/>
    </row>
    <row r="2" customFormat="false" ht="17.25" hidden="false" customHeight="true" outlineLevel="0" collapsed="false">
      <c r="B2" s="2" t="s">
        <v>531</v>
      </c>
      <c r="C2" s="2"/>
      <c r="D2" s="2"/>
      <c r="E2" s="2"/>
      <c r="F2" s="2"/>
      <c r="G2" s="2"/>
      <c r="H2" s="2"/>
      <c r="I2" s="2"/>
      <c r="J2" s="2"/>
      <c r="K2" s="2"/>
      <c r="L2" s="2"/>
      <c r="M2" s="2"/>
      <c r="N2" s="2"/>
    </row>
    <row r="4" customFormat="false" ht="34.5" hidden="false" customHeight="true" outlineLevel="0" collapsed="false">
      <c r="B4" s="3" t="s">
        <v>532</v>
      </c>
      <c r="C4" s="3"/>
      <c r="D4" s="3"/>
      <c r="E4" s="3"/>
      <c r="F4" s="3"/>
      <c r="G4" s="3"/>
      <c r="H4" s="3"/>
      <c r="I4" s="3"/>
      <c r="J4" s="3"/>
      <c r="K4" s="3"/>
      <c r="L4" s="3"/>
      <c r="M4" s="3"/>
      <c r="N4" s="3"/>
    </row>
    <row r="5" customFormat="false" ht="17.25" hidden="false" customHeight="true" outlineLevel="0" collapsed="false">
      <c r="B5" s="10" t="s">
        <v>533</v>
      </c>
      <c r="C5" s="10"/>
      <c r="D5" s="10" t="s">
        <v>534</v>
      </c>
      <c r="E5" s="10"/>
      <c r="F5" s="10"/>
      <c r="G5" s="10"/>
      <c r="H5" s="10"/>
      <c r="I5" s="10"/>
      <c r="J5" s="10"/>
      <c r="K5" s="10"/>
      <c r="L5" s="10"/>
      <c r="M5" s="10"/>
      <c r="N5" s="10"/>
    </row>
    <row r="6" customFormat="false" ht="17.25" hidden="false" customHeight="true" outlineLevel="0" collapsed="false">
      <c r="B6" s="18" t="s">
        <v>535</v>
      </c>
      <c r="C6" s="18"/>
      <c r="D6" s="12" t="s">
        <v>536</v>
      </c>
      <c r="E6" s="12"/>
      <c r="F6" s="12"/>
      <c r="G6" s="12"/>
      <c r="H6" s="12"/>
      <c r="I6" s="12"/>
      <c r="J6" s="12"/>
      <c r="K6" s="12"/>
      <c r="L6" s="12"/>
      <c r="M6" s="12"/>
      <c r="N6" s="12"/>
    </row>
    <row r="7" customFormat="false" ht="17.25" hidden="false" customHeight="true" outlineLevel="0" collapsed="false">
      <c r="B7" s="9" t="s">
        <v>537</v>
      </c>
      <c r="C7" s="9"/>
      <c r="D7" s="15" t="s">
        <v>538</v>
      </c>
      <c r="E7" s="15"/>
      <c r="F7" s="15"/>
      <c r="G7" s="15"/>
      <c r="H7" s="15"/>
      <c r="I7" s="15"/>
      <c r="J7" s="15"/>
      <c r="K7" s="15"/>
      <c r="L7" s="15"/>
      <c r="M7" s="15"/>
      <c r="N7" s="15"/>
    </row>
    <row r="8" customFormat="false" ht="17.25" hidden="false" customHeight="true" outlineLevel="0" collapsed="false">
      <c r="B8" s="18" t="s">
        <v>539</v>
      </c>
      <c r="C8" s="18"/>
      <c r="D8" s="12" t="s">
        <v>540</v>
      </c>
      <c r="E8" s="12"/>
      <c r="F8" s="12"/>
      <c r="G8" s="12"/>
      <c r="H8" s="12"/>
      <c r="I8" s="12"/>
      <c r="J8" s="12"/>
      <c r="K8" s="12"/>
      <c r="L8" s="12"/>
      <c r="M8" s="12"/>
      <c r="N8" s="12"/>
    </row>
    <row r="9" customFormat="false" ht="21.75" hidden="false" customHeight="true" outlineLevel="0" collapsed="false">
      <c r="B9" s="4" t="s">
        <v>541</v>
      </c>
      <c r="C9" s="4"/>
      <c r="D9" s="4"/>
      <c r="E9" s="4"/>
      <c r="F9" s="4"/>
      <c r="G9" s="4"/>
      <c r="H9" s="4"/>
      <c r="I9" s="4"/>
      <c r="J9" s="4"/>
      <c r="K9" s="4"/>
      <c r="L9" s="4"/>
      <c r="M9" s="4"/>
      <c r="N9" s="4"/>
    </row>
    <row r="10" customFormat="false" ht="31.5" hidden="false" customHeight="true" outlineLevel="0" collapsed="false">
      <c r="B10" s="52" t="s">
        <v>542</v>
      </c>
      <c r="C10" s="52"/>
      <c r="D10" s="52"/>
      <c r="E10" s="52"/>
      <c r="F10" s="52"/>
      <c r="G10" s="52"/>
      <c r="H10" s="52"/>
      <c r="I10" s="52"/>
      <c r="J10" s="52"/>
      <c r="K10" s="52"/>
      <c r="L10" s="52"/>
      <c r="M10" s="52"/>
      <c r="N10" s="52"/>
    </row>
    <row r="11" customFormat="false" ht="15.75" hidden="false" customHeight="true" outlineLevel="0" collapsed="false">
      <c r="B11" s="22" t="s">
        <v>543</v>
      </c>
      <c r="C11" s="28" t="n">
        <v>0.05</v>
      </c>
    </row>
    <row r="12" customFormat="false" ht="15.75" hidden="false" customHeight="true" outlineLevel="0" collapsed="false">
      <c r="B12" s="22" t="s">
        <v>544</v>
      </c>
      <c r="C12" s="27" t="n">
        <v>0.5</v>
      </c>
    </row>
    <row r="13" customFormat="false" ht="15.75" hidden="false" customHeight="true" outlineLevel="0" collapsed="false">
      <c r="B13" s="22" t="s">
        <v>545</v>
      </c>
      <c r="C13" s="28" t="n">
        <v>0.2</v>
      </c>
    </row>
    <row r="14" customFormat="false" ht="15.75" hidden="false" customHeight="true" outlineLevel="0" collapsed="false">
      <c r="B14" s="22" t="s">
        <v>546</v>
      </c>
      <c r="C14" s="27" t="n">
        <v>0.9</v>
      </c>
    </row>
    <row r="15" customFormat="false" ht="15.75" hidden="false" customHeight="true" outlineLevel="0" collapsed="false">
      <c r="B15" s="22" t="s">
        <v>547</v>
      </c>
      <c r="C15" s="28" t="n">
        <v>0.999</v>
      </c>
    </row>
    <row r="16" customFormat="false" ht="30" hidden="false" customHeight="true" outlineLevel="0" collapsed="false">
      <c r="B16" s="21" t="s">
        <v>215</v>
      </c>
      <c r="C16" s="21" t="s">
        <v>548</v>
      </c>
      <c r="D16" s="21" t="s">
        <v>549</v>
      </c>
      <c r="E16" s="21" t="s">
        <v>550</v>
      </c>
      <c r="F16" s="21" t="s">
        <v>551</v>
      </c>
      <c r="G16" s="21" t="s">
        <v>552</v>
      </c>
      <c r="H16" s="21" t="s">
        <v>553</v>
      </c>
      <c r="I16" s="21" t="s">
        <v>554</v>
      </c>
      <c r="J16" s="21" t="s">
        <v>555</v>
      </c>
    </row>
    <row r="17" customFormat="false" ht="15" hidden="false" customHeight="false" outlineLevel="0" collapsed="false">
      <c r="B17" s="29" t="n">
        <v>0</v>
      </c>
      <c r="C17" s="30" t="n">
        <v>-4</v>
      </c>
      <c r="D17" s="30" t="n">
        <v>1</v>
      </c>
      <c r="E17" s="53" t="n">
        <f aca="false">C17^2+10*D17^2</f>
        <v>26</v>
      </c>
      <c r="F17" s="30" t="n">
        <v>0</v>
      </c>
      <c r="G17" s="30" t="n">
        <v>0</v>
      </c>
      <c r="H17" s="30" t="n">
        <v>-4</v>
      </c>
      <c r="I17" s="30" t="n">
        <v>1</v>
      </c>
      <c r="J17" s="53" t="n">
        <f aca="false">H17^2+10*I17^2</f>
        <v>26</v>
      </c>
    </row>
    <row r="18" customFormat="false" ht="15" hidden="false" customHeight="false" outlineLevel="0" collapsed="false">
      <c r="B18" s="29" t="n">
        <v>1</v>
      </c>
      <c r="C18" s="30" t="n">
        <f aca="false">C17-C11*2*C17</f>
        <v>-3.6</v>
      </c>
      <c r="D18" s="30" t="n">
        <f aca="false">D17-C11*20*D17</f>
        <v>0</v>
      </c>
      <c r="E18" s="53" t="n">
        <f aca="false">C18^2+10*D18^2</f>
        <v>12.96</v>
      </c>
      <c r="F18" s="30" t="n">
        <f aca="false">C12*F17+2*H17</f>
        <v>-8</v>
      </c>
      <c r="G18" s="30" t="n">
        <f aca="false">C12*G17+20*I17</f>
        <v>20</v>
      </c>
      <c r="H18" s="30" t="n">
        <f aca="false">H17-C11*F18</f>
        <v>-3.6</v>
      </c>
      <c r="I18" s="30" t="n">
        <f aca="false">I17-C11*G18</f>
        <v>0</v>
      </c>
      <c r="J18" s="53" t="n">
        <f aca="false">H18^2+10*I18^2</f>
        <v>12.96</v>
      </c>
    </row>
    <row r="19" customFormat="false" ht="15" hidden="false" customHeight="false" outlineLevel="0" collapsed="false">
      <c r="B19" s="29" t="n">
        <v>2</v>
      </c>
      <c r="C19" s="30" t="n">
        <f aca="false">C18-C11*2*C18</f>
        <v>-3.24</v>
      </c>
      <c r="D19" s="30" t="n">
        <f aca="false">D18-C11*20*D18</f>
        <v>0</v>
      </c>
      <c r="E19" s="53" t="n">
        <f aca="false">C19^2+10*D19^2</f>
        <v>10.4976</v>
      </c>
      <c r="F19" s="30" t="n">
        <f aca="false">C12*F18+2*H18</f>
        <v>-11.2</v>
      </c>
      <c r="G19" s="30" t="n">
        <f aca="false">C12*G18+20*I18</f>
        <v>10</v>
      </c>
      <c r="H19" s="30" t="n">
        <f aca="false">H18-C11*F19</f>
        <v>-3.04</v>
      </c>
      <c r="I19" s="30" t="n">
        <f aca="false">I18-C11*G19</f>
        <v>-0.5</v>
      </c>
      <c r="J19" s="53" t="n">
        <f aca="false">H19^2+10*I19^2</f>
        <v>11.7416</v>
      </c>
    </row>
    <row r="20" customFormat="false" ht="15" hidden="false" customHeight="false" outlineLevel="0" collapsed="false">
      <c r="B20" s="29" t="n">
        <v>3</v>
      </c>
      <c r="C20" s="30" t="n">
        <f aca="false">C19-C11*2*C19</f>
        <v>-2.916</v>
      </c>
      <c r="D20" s="30" t="n">
        <f aca="false">D19-C11*20*D19</f>
        <v>0</v>
      </c>
      <c r="E20" s="53" t="n">
        <f aca="false">C20^2+10*D20^2</f>
        <v>8.503056</v>
      </c>
      <c r="F20" s="30" t="n">
        <f aca="false">C12*F19+2*H19</f>
        <v>-11.68</v>
      </c>
      <c r="G20" s="30" t="n">
        <f aca="false">C12*G19+20*I19</f>
        <v>-5</v>
      </c>
      <c r="H20" s="30" t="n">
        <f aca="false">H19-C11*F20</f>
        <v>-2.456</v>
      </c>
      <c r="I20" s="30" t="n">
        <f aca="false">I19-C11*G20</f>
        <v>-0.25</v>
      </c>
      <c r="J20" s="53" t="n">
        <f aca="false">H20^2+10*I20^2</f>
        <v>6.656936</v>
      </c>
    </row>
    <row r="21" customFormat="false" ht="15" hidden="false" customHeight="false" outlineLevel="0" collapsed="false">
      <c r="B21" s="29" t="n">
        <v>4</v>
      </c>
      <c r="C21" s="30" t="n">
        <f aca="false">C20-C11*2*C20</f>
        <v>-2.6244</v>
      </c>
      <c r="D21" s="30" t="n">
        <f aca="false">D20-C11*20*D20</f>
        <v>0</v>
      </c>
      <c r="E21" s="53" t="n">
        <f aca="false">C21^2+10*D21^2</f>
        <v>6.88747536</v>
      </c>
      <c r="F21" s="30" t="n">
        <f aca="false">C12*F20+2*H20</f>
        <v>-10.752</v>
      </c>
      <c r="G21" s="30" t="n">
        <f aca="false">C12*G20+20*I20</f>
        <v>-7.5</v>
      </c>
      <c r="H21" s="30" t="n">
        <f aca="false">H20-C11*F21</f>
        <v>-1.9184</v>
      </c>
      <c r="I21" s="30" t="n">
        <f aca="false">I20-C11*G21</f>
        <v>0.125</v>
      </c>
      <c r="J21" s="53" t="n">
        <f aca="false">H21^2+10*I21^2</f>
        <v>3.83650856</v>
      </c>
    </row>
    <row r="22" customFormat="false" ht="15" hidden="false" customHeight="false" outlineLevel="0" collapsed="false">
      <c r="B22" s="29" t="n">
        <v>5</v>
      </c>
      <c r="C22" s="30" t="n">
        <f aca="false">C21-C11*2*C21</f>
        <v>-2.36196</v>
      </c>
      <c r="D22" s="30" t="n">
        <f aca="false">D21-C11*20*D21</f>
        <v>0</v>
      </c>
      <c r="E22" s="53" t="n">
        <f aca="false">C22^2+10*D22^2</f>
        <v>5.5788550416</v>
      </c>
      <c r="F22" s="30" t="n">
        <f aca="false">C12*F21+2*H21</f>
        <v>-9.2128</v>
      </c>
      <c r="G22" s="30" t="n">
        <f aca="false">C12*G21+20*I21</f>
        <v>-1.25</v>
      </c>
      <c r="H22" s="30" t="n">
        <f aca="false">H21-C11*F22</f>
        <v>-1.45776</v>
      </c>
      <c r="I22" s="30" t="n">
        <f aca="false">I21-C11*G22</f>
        <v>0.1875</v>
      </c>
      <c r="J22" s="53" t="n">
        <f aca="false">H22^2+10*I22^2</f>
        <v>2.4766267176</v>
      </c>
    </row>
    <row r="23" customFormat="false" ht="15" hidden="false" customHeight="false" outlineLevel="0" collapsed="false">
      <c r="B23" s="29" t="n">
        <v>6</v>
      </c>
      <c r="C23" s="30" t="n">
        <f aca="false">C22-C11*2*C22</f>
        <v>-2.125764</v>
      </c>
      <c r="D23" s="30" t="n">
        <f aca="false">D22-C11*20*D22</f>
        <v>0</v>
      </c>
      <c r="E23" s="53" t="n">
        <f aca="false">C23^2+10*D23^2</f>
        <v>4.518872583696</v>
      </c>
      <c r="F23" s="30" t="n">
        <f aca="false">C12*F22+2*H22</f>
        <v>-7.52192</v>
      </c>
      <c r="G23" s="30" t="n">
        <f aca="false">C12*G22+20*I22</f>
        <v>3.125</v>
      </c>
      <c r="H23" s="30" t="n">
        <f aca="false">H22-C11*F23</f>
        <v>-1.081664</v>
      </c>
      <c r="I23" s="30" t="n">
        <f aca="false">I22-C11*G23</f>
        <v>0.03125</v>
      </c>
      <c r="J23" s="53" t="n">
        <f aca="false">H23^2+10*I23^2</f>
        <v>1.179762633896</v>
      </c>
    </row>
    <row r="24" customFormat="false" ht="15" hidden="false" customHeight="false" outlineLevel="0" collapsed="false">
      <c r="B24" s="29" t="n">
        <v>7</v>
      </c>
      <c r="C24" s="30" t="n">
        <f aca="false">C23-C11*2*C23</f>
        <v>-1.9131876</v>
      </c>
      <c r="D24" s="30" t="n">
        <f aca="false">D23-C11*20*D23</f>
        <v>0</v>
      </c>
      <c r="E24" s="53" t="n">
        <f aca="false">C24^2+10*D24^2</f>
        <v>3.66028679279376</v>
      </c>
      <c r="F24" s="30" t="n">
        <f aca="false">C12*F23+2*H23</f>
        <v>-5.924288</v>
      </c>
      <c r="G24" s="30" t="n">
        <f aca="false">C12*G23+20*I23</f>
        <v>2.1875</v>
      </c>
      <c r="H24" s="30" t="n">
        <f aca="false">H23-C11*F24</f>
        <v>-0.7854496</v>
      </c>
      <c r="I24" s="30" t="n">
        <f aca="false">I23-C11*G24</f>
        <v>-0.078125</v>
      </c>
      <c r="J24" s="53" t="n">
        <f aca="false">H24^2+10*I24^2</f>
        <v>0.67796623039016</v>
      </c>
    </row>
    <row r="25" customFormat="false" ht="15" hidden="false" customHeight="false" outlineLevel="0" collapsed="false">
      <c r="B25" s="29" t="n">
        <v>8</v>
      </c>
      <c r="C25" s="30" t="n">
        <f aca="false">C24-C11*2*C24</f>
        <v>-1.72186884</v>
      </c>
      <c r="D25" s="30" t="n">
        <f aca="false">D24-C11*20*D24</f>
        <v>0</v>
      </c>
      <c r="E25" s="53" t="n">
        <f aca="false">C25^2+10*D25^2</f>
        <v>2.96483230216295</v>
      </c>
      <c r="F25" s="30" t="n">
        <f aca="false">C12*F24+2*H24</f>
        <v>-4.5330432</v>
      </c>
      <c r="G25" s="30" t="n">
        <f aca="false">C12*G24+20*I24</f>
        <v>-0.46875</v>
      </c>
      <c r="H25" s="30" t="n">
        <f aca="false">H24-C11*F25</f>
        <v>-0.55879744</v>
      </c>
      <c r="I25" s="30" t="n">
        <f aca="false">I24-C11*G25</f>
        <v>-0.0546875</v>
      </c>
      <c r="J25" s="53" t="n">
        <f aca="false">H25^2+10*I25^2</f>
        <v>0.342161805513054</v>
      </c>
    </row>
    <row r="26" customFormat="false" ht="15" hidden="false" customHeight="false" outlineLevel="0" collapsed="false">
      <c r="B26" s="29" t="n">
        <v>9</v>
      </c>
      <c r="C26" s="30" t="n">
        <f aca="false">C25-C11*2*C25</f>
        <v>-1.549681956</v>
      </c>
      <c r="D26" s="30" t="n">
        <f aca="false">D25-C11*20*D25</f>
        <v>0</v>
      </c>
      <c r="E26" s="53" t="n">
        <f aca="false">C26^2+10*D26^2</f>
        <v>2.40151416475199</v>
      </c>
      <c r="F26" s="30" t="n">
        <f aca="false">C12*F25+2*H25</f>
        <v>-3.38411648</v>
      </c>
      <c r="G26" s="30" t="n">
        <f aca="false">C12*G25+20*I25</f>
        <v>-1.328125</v>
      </c>
      <c r="H26" s="30" t="n">
        <f aca="false">H25-C11*F26</f>
        <v>-0.389591616</v>
      </c>
      <c r="I26" s="30" t="n">
        <f aca="false">I25-C11*G26</f>
        <v>0.01171875</v>
      </c>
      <c r="J26" s="53" t="n">
        <f aca="false">H26^2+10*I26^2</f>
        <v>0.153154918273117</v>
      </c>
    </row>
    <row r="27" customFormat="false" ht="15" hidden="false" customHeight="false" outlineLevel="0" collapsed="false">
      <c r="B27" s="29" t="n">
        <v>10</v>
      </c>
      <c r="C27" s="30" t="n">
        <f aca="false">C26-C11*2*C26</f>
        <v>-1.3947137604</v>
      </c>
      <c r="D27" s="30" t="n">
        <f aca="false">D26-C11*20*D26</f>
        <v>0</v>
      </c>
      <c r="E27" s="53" t="n">
        <f aca="false">C27^2+10*D27^2</f>
        <v>1.94522647344911</v>
      </c>
      <c r="F27" s="30" t="n">
        <f aca="false">C12*F26+2*H26</f>
        <v>-2.471241472</v>
      </c>
      <c r="G27" s="30" t="n">
        <f aca="false">C12*G26+20*I26</f>
        <v>-0.4296875</v>
      </c>
      <c r="H27" s="30" t="n">
        <f aca="false">H26-C11*F27</f>
        <v>-0.2660295424</v>
      </c>
      <c r="I27" s="30" t="n">
        <f aca="false">I26-C11*G27</f>
        <v>0.033203125</v>
      </c>
      <c r="J27" s="53" t="n">
        <f aca="false">H27^2+10*I27^2</f>
        <v>0.0817961925272097</v>
      </c>
    </row>
    <row r="28" customFormat="false" ht="15" hidden="false" customHeight="false" outlineLevel="0" collapsed="false">
      <c r="B28" s="29" t="n">
        <v>11</v>
      </c>
      <c r="C28" s="30" t="n">
        <f aca="false">C27-C11*2*C27</f>
        <v>-1.25524238436</v>
      </c>
      <c r="D28" s="30" t="n">
        <f aca="false">D27-C11*20*D27</f>
        <v>0</v>
      </c>
      <c r="E28" s="53" t="n">
        <f aca="false">C28^2+10*D28^2</f>
        <v>1.57563344349378</v>
      </c>
      <c r="F28" s="30" t="n">
        <f aca="false">C12*F27+2*H27</f>
        <v>-1.7676798208</v>
      </c>
      <c r="G28" s="30" t="n">
        <f aca="false">C12*G27+20*I27</f>
        <v>0.44921875</v>
      </c>
      <c r="H28" s="30" t="n">
        <f aca="false">H27-C11*F28</f>
        <v>-0.17764555136</v>
      </c>
      <c r="I28" s="30" t="n">
        <f aca="false">I27-C11*G28</f>
        <v>0.0107421875</v>
      </c>
      <c r="J28" s="53" t="n">
        <f aca="false">H28^2+10*I28^2</f>
        <v>0.03271188784085</v>
      </c>
    </row>
    <row r="29" customFormat="false" ht="15" hidden="false" customHeight="false" outlineLevel="0" collapsed="false">
      <c r="B29" s="29" t="n">
        <v>12</v>
      </c>
      <c r="C29" s="30" t="n">
        <f aca="false">C28-C11*2*C28</f>
        <v>-1.129718145924</v>
      </c>
      <c r="D29" s="30" t="n">
        <f aca="false">D28-C11*20*D28</f>
        <v>0</v>
      </c>
      <c r="E29" s="53" t="n">
        <f aca="false">C29^2+10*D29^2</f>
        <v>1.27626308922996</v>
      </c>
      <c r="F29" s="30" t="n">
        <f aca="false">C12*F28+2*H28</f>
        <v>-1.23913101312</v>
      </c>
      <c r="G29" s="30" t="n">
        <f aca="false">C12*G28+20*I28</f>
        <v>0.439453125</v>
      </c>
      <c r="H29" s="30" t="n">
        <f aca="false">H28-C11*F29</f>
        <v>-0.115689000704</v>
      </c>
      <c r="I29" s="30" t="n">
        <f aca="false">I28-C11*G29</f>
        <v>-0.01123046875</v>
      </c>
      <c r="J29" s="53" t="n">
        <f aca="false">H29^2+10*I29^2</f>
        <v>0.0146451791673374</v>
      </c>
    </row>
    <row r="30" customFormat="false" ht="15" hidden="false" customHeight="false" outlineLevel="0" collapsed="false">
      <c r="B30" s="29" t="n">
        <v>13</v>
      </c>
      <c r="C30" s="30" t="n">
        <f aca="false">C29-C11*2*C29</f>
        <v>-1.0167463313316</v>
      </c>
      <c r="D30" s="30" t="n">
        <f aca="false">D29-C11*20*D29</f>
        <v>0</v>
      </c>
      <c r="E30" s="53" t="n">
        <f aca="false">C30^2+10*D30^2</f>
        <v>1.03377310227627</v>
      </c>
      <c r="F30" s="30" t="n">
        <f aca="false">C12*F29+2*H29</f>
        <v>-0.850943507968</v>
      </c>
      <c r="G30" s="30" t="n">
        <f aca="false">C12*G29+20*I29</f>
        <v>-0.0048828125</v>
      </c>
      <c r="H30" s="30" t="n">
        <f aca="false">H29-C11*F30</f>
        <v>-0.0731418253056</v>
      </c>
      <c r="I30" s="30" t="n">
        <f aca="false">I29-C11*G30</f>
        <v>-0.010986328125</v>
      </c>
      <c r="J30" s="53" t="n">
        <f aca="false">H30^2+10*I30^2</f>
        <v>0.00655672066573657</v>
      </c>
    </row>
    <row r="31" customFormat="false" ht="15" hidden="false" customHeight="false" outlineLevel="0" collapsed="false">
      <c r="B31" s="29" t="n">
        <v>14</v>
      </c>
      <c r="C31" s="30" t="n">
        <f aca="false">C30-C11*2*C30</f>
        <v>-0.91507169819844</v>
      </c>
      <c r="D31" s="30" t="n">
        <f aca="false">D30-C11*20*D30</f>
        <v>0</v>
      </c>
      <c r="E31" s="53" t="n">
        <f aca="false">C31^2+10*D31^2</f>
        <v>0.837356212843777</v>
      </c>
      <c r="F31" s="30" t="n">
        <f aca="false">C12*F30+2*H30</f>
        <v>-0.5717554045952</v>
      </c>
      <c r="G31" s="30" t="n">
        <f aca="false">C12*G30+20*I30</f>
        <v>-0.22216796875</v>
      </c>
      <c r="H31" s="30" t="n">
        <f aca="false">H30-C11*F31</f>
        <v>-0.04455405507584</v>
      </c>
      <c r="I31" s="30" t="n">
        <f aca="false">I30-C11*G31</f>
        <v>0.0001220703125</v>
      </c>
      <c r="J31" s="53" t="n">
        <f aca="false">H31^2+10*I31^2</f>
        <v>0.00198521283531292</v>
      </c>
    </row>
    <row r="32" customFormat="false" ht="15" hidden="false" customHeight="false" outlineLevel="0" collapsed="false">
      <c r="B32" s="29" t="n">
        <v>15</v>
      </c>
      <c r="C32" s="30" t="n">
        <f aca="false">C31-C11*2*C31</f>
        <v>-0.823564528378596</v>
      </c>
      <c r="D32" s="30" t="n">
        <f aca="false">D31-C11*20*D31</f>
        <v>0</v>
      </c>
      <c r="E32" s="53" t="n">
        <f aca="false">C32^2+10*D32^2</f>
        <v>0.678258532403459</v>
      </c>
      <c r="F32" s="30" t="n">
        <f aca="false">C12*F31+2*H31</f>
        <v>-0.37498581244928</v>
      </c>
      <c r="G32" s="30" t="n">
        <f aca="false">C12*G31+20*I31</f>
        <v>-0.108642578125</v>
      </c>
      <c r="H32" s="30" t="n">
        <f aca="false">H31-C11*F32</f>
        <v>-0.025804764453376</v>
      </c>
      <c r="I32" s="30" t="n">
        <f aca="false">I31-C11*G32</f>
        <v>0.00555419921875</v>
      </c>
      <c r="J32" s="53" t="n">
        <f aca="false">H32^2+10*I32^2</f>
        <v>0.000974377158109848</v>
      </c>
    </row>
    <row r="33" customFormat="false" ht="15" hidden="false" customHeight="false" outlineLevel="0" collapsed="false">
      <c r="B33" s="29" t="n">
        <v>16</v>
      </c>
      <c r="C33" s="30" t="n">
        <f aca="false">C32-C11*2*C32</f>
        <v>-0.741208075540736</v>
      </c>
      <c r="D33" s="30" t="n">
        <f aca="false">D32-C11*20*D32</f>
        <v>0</v>
      </c>
      <c r="E33" s="53" t="n">
        <f aca="false">C33^2+10*D33^2</f>
        <v>0.549389411246802</v>
      </c>
      <c r="F33" s="30" t="n">
        <f aca="false">C12*F32+2*H32</f>
        <v>-0.239102435131392</v>
      </c>
      <c r="G33" s="30" t="n">
        <f aca="false">C12*G32+20*I32</f>
        <v>0.0567626953125</v>
      </c>
      <c r="H33" s="30" t="n">
        <f aca="false">H32-C11*F33</f>
        <v>-0.0138496426968064</v>
      </c>
      <c r="I33" s="30" t="n">
        <f aca="false">I32-C11*G33</f>
        <v>0.002716064453125</v>
      </c>
      <c r="J33" s="53" t="n">
        <f aca="false">H33^2+10*I33^2</f>
        <v>0.000265582663964495</v>
      </c>
    </row>
    <row r="34" customFormat="false" ht="15" hidden="false" customHeight="false" outlineLevel="0" collapsed="false">
      <c r="B34" s="29" t="n">
        <v>17</v>
      </c>
      <c r="C34" s="30" t="n">
        <f aca="false">C33-C11*2*C33</f>
        <v>-0.667087267986663</v>
      </c>
      <c r="D34" s="30" t="n">
        <f aca="false">D33-C11*20*D33</f>
        <v>0</v>
      </c>
      <c r="E34" s="53" t="n">
        <f aca="false">C34^2+10*D34^2</f>
        <v>0.44500542310991</v>
      </c>
      <c r="F34" s="30" t="n">
        <f aca="false">C12*F33+2*H33</f>
        <v>-0.147250502959309</v>
      </c>
      <c r="G34" s="30" t="n">
        <f aca="false">C12*G33+20*I33</f>
        <v>0.08270263671875</v>
      </c>
      <c r="H34" s="30" t="n">
        <f aca="false">H33-C11*F34</f>
        <v>-0.00648711754884095</v>
      </c>
      <c r="I34" s="30" t="n">
        <f aca="false">I33-C11*G34</f>
        <v>-0.0014190673828125</v>
      </c>
      <c r="J34" s="53" t="n">
        <f aca="false">H34^2+10*I34^2</f>
        <v>6.22202164621034E-005</v>
      </c>
    </row>
    <row r="35" customFormat="false" ht="15" hidden="false" customHeight="false" outlineLevel="0" collapsed="false">
      <c r="B35" s="29" t="n">
        <v>18</v>
      </c>
      <c r="C35" s="30" t="n">
        <f aca="false">C34-C11*2*C34</f>
        <v>-0.600378541187997</v>
      </c>
      <c r="D35" s="30" t="n">
        <f aca="false">D34-C11*20*D34</f>
        <v>0</v>
      </c>
      <c r="E35" s="53" t="n">
        <f aca="false">C35^2+10*D35^2</f>
        <v>0.360454392719027</v>
      </c>
      <c r="F35" s="30" t="n">
        <f aca="false">C12*F34+2*H34</f>
        <v>-0.0865994865773363</v>
      </c>
      <c r="G35" s="30" t="n">
        <f aca="false">C12*G34+20*I34</f>
        <v>0.012969970703125</v>
      </c>
      <c r="H35" s="30" t="n">
        <f aca="false">H34-C11*F35</f>
        <v>-0.00215714321997413</v>
      </c>
      <c r="I35" s="30" t="n">
        <f aca="false">I34-C11*G35</f>
        <v>-0.00206756591796875</v>
      </c>
      <c r="J35" s="53" t="n">
        <f aca="false">H35^2+10*I35^2</f>
        <v>4.740155512294E-005</v>
      </c>
    </row>
    <row r="36" customFormat="false" ht="15" hidden="false" customHeight="false" outlineLevel="0" collapsed="false">
      <c r="B36" s="29" t="n">
        <v>19</v>
      </c>
      <c r="C36" s="30" t="n">
        <f aca="false">C35-C11*2*C35</f>
        <v>-0.540340687069197</v>
      </c>
      <c r="D36" s="30" t="n">
        <f aca="false">D35-C11*20*D35</f>
        <v>0</v>
      </c>
      <c r="E36" s="53" t="n">
        <f aca="false">C36^2+10*D36^2</f>
        <v>0.291968058102412</v>
      </c>
      <c r="F36" s="30" t="n">
        <f aca="false">C12*F35+2*H35</f>
        <v>-0.0476140297286164</v>
      </c>
      <c r="G36" s="30" t="n">
        <f aca="false">C12*G35+20*I35</f>
        <v>-0.0348663330078125</v>
      </c>
      <c r="H36" s="30" t="n">
        <f aca="false">H35-C11*F36</f>
        <v>0.000223558266456687</v>
      </c>
      <c r="I36" s="30" t="n">
        <f aca="false">I35-C11*G36</f>
        <v>-0.000324249267578125</v>
      </c>
      <c r="J36" s="53" t="n">
        <f aca="false">H36^2+10*I36^2</f>
        <v>1.10135417375062E-006</v>
      </c>
    </row>
    <row r="37" customFormat="false" ht="15" hidden="false" customHeight="false" outlineLevel="0" collapsed="false">
      <c r="B37" s="29" t="n">
        <v>20</v>
      </c>
      <c r="C37" s="30" t="n">
        <f aca="false">C36-C11*2*C36</f>
        <v>-0.486306618362277</v>
      </c>
      <c r="D37" s="30" t="n">
        <f aca="false">D36-C11*20*D36</f>
        <v>0</v>
      </c>
      <c r="E37" s="53" t="n">
        <f aca="false">C37^2+10*D37^2</f>
        <v>0.236494127062953</v>
      </c>
      <c r="F37" s="30" t="n">
        <f aca="false">C12*F36+2*H36</f>
        <v>-0.0233598983313948</v>
      </c>
      <c r="G37" s="30" t="n">
        <f aca="false">C12*G36+20*I36</f>
        <v>-0.0239181518554688</v>
      </c>
      <c r="H37" s="30" t="n">
        <f aca="false">H36-C11*F37</f>
        <v>0.00139155318302643</v>
      </c>
      <c r="I37" s="30" t="n">
        <f aca="false">I36-C11*G37</f>
        <v>0.000871658325195313</v>
      </c>
      <c r="J37" s="53" t="n">
        <f aca="false">H37^2+10*I37^2</f>
        <v>9.53430262001396E-006</v>
      </c>
    </row>
    <row r="38" customFormat="false" ht="15" hidden="false" customHeight="false" outlineLevel="0" collapsed="false">
      <c r="B38" s="29" t="n">
        <v>21</v>
      </c>
      <c r="C38" s="30" t="n">
        <f aca="false">C37-C11*2*C37</f>
        <v>-0.437675956526049</v>
      </c>
      <c r="D38" s="30" t="n">
        <f aca="false">D37-C11*20*D37</f>
        <v>0</v>
      </c>
      <c r="E38" s="53" t="n">
        <f aca="false">C38^2+10*D38^2</f>
        <v>0.191560242920992</v>
      </c>
      <c r="F38" s="30" t="n">
        <f aca="false">C12*F37+2*H37</f>
        <v>-0.00889684279964456</v>
      </c>
      <c r="G38" s="30" t="n">
        <f aca="false">C12*G37+20*I37</f>
        <v>0.00547409057617188</v>
      </c>
      <c r="H38" s="30" t="n">
        <f aca="false">H37-C11*F38</f>
        <v>0.00183639532300866</v>
      </c>
      <c r="I38" s="30" t="n">
        <f aca="false">I37-C11*G38</f>
        <v>0.000597953796386719</v>
      </c>
      <c r="J38" s="53" t="n">
        <f aca="false">H38^2+10*I38^2</f>
        <v>6.94783520850096E-006</v>
      </c>
    </row>
    <row r="39" customFormat="false" ht="15" hidden="false" customHeight="false" outlineLevel="0" collapsed="false">
      <c r="B39" s="29" t="n">
        <v>22</v>
      </c>
      <c r="C39" s="30" t="n">
        <f aca="false">C38-C11*2*C38</f>
        <v>-0.393908360873444</v>
      </c>
      <c r="D39" s="30" t="n">
        <f aca="false">D38-C11*20*D38</f>
        <v>0</v>
      </c>
      <c r="E39" s="53" t="n">
        <f aca="false">C39^2+10*D39^2</f>
        <v>0.155163796766004</v>
      </c>
      <c r="F39" s="30" t="n">
        <f aca="false">C12*F38+2*H38</f>
        <v>-0.000775630753804967</v>
      </c>
      <c r="G39" s="30" t="n">
        <f aca="false">C12*G38+20*I38</f>
        <v>0.0146961212158203</v>
      </c>
      <c r="H39" s="30" t="n">
        <f aca="false">H38-C11*F39</f>
        <v>0.0018751768606989</v>
      </c>
      <c r="I39" s="30" t="n">
        <f aca="false">I38-C11*G39</f>
        <v>-0.000136852264404297</v>
      </c>
      <c r="J39" s="53" t="n">
        <f aca="false">H39^2+10*I39^2</f>
        <v>3.70357368162643E-006</v>
      </c>
    </row>
    <row r="40" customFormat="false" ht="15" hidden="false" customHeight="false" outlineLevel="0" collapsed="false">
      <c r="B40" s="29" t="n">
        <v>23</v>
      </c>
      <c r="C40" s="30" t="n">
        <f aca="false">C39-C11*2*C39</f>
        <v>-0.3545175247861</v>
      </c>
      <c r="D40" s="30" t="n">
        <f aca="false">D39-C11*20*D39</f>
        <v>0</v>
      </c>
      <c r="E40" s="53" t="n">
        <f aca="false">C40^2+10*D40^2</f>
        <v>0.125682675380463</v>
      </c>
      <c r="F40" s="30" t="n">
        <f aca="false">C12*F39+2*H39</f>
        <v>0.00336253834449532</v>
      </c>
      <c r="G40" s="30" t="n">
        <f aca="false">C12*G39+20*I39</f>
        <v>0.00461101531982422</v>
      </c>
      <c r="H40" s="30" t="n">
        <f aca="false">H39-C11*F40</f>
        <v>0.00170704994347414</v>
      </c>
      <c r="I40" s="30" t="n">
        <f aca="false">I39-C11*G40</f>
        <v>-0.000367403030395508</v>
      </c>
      <c r="J40" s="53" t="n">
        <f aca="false">H40^2+10*I40^2</f>
        <v>4.26386937695308E-006</v>
      </c>
    </row>
    <row r="41" customFormat="false" ht="15" hidden="false" customHeight="false" outlineLevel="0" collapsed="false">
      <c r="B41" s="29" t="n">
        <v>24</v>
      </c>
      <c r="C41" s="30" t="n">
        <f aca="false">C40-C11*2*C40</f>
        <v>-0.31906577230749</v>
      </c>
      <c r="D41" s="30" t="n">
        <f aca="false">D40-C11*20*D40</f>
        <v>0</v>
      </c>
      <c r="E41" s="53" t="n">
        <f aca="false">C41^2+10*D41^2</f>
        <v>0.101802967058175</v>
      </c>
      <c r="F41" s="30" t="n">
        <f aca="false">C12*F40+2*H40</f>
        <v>0.00509536905919594</v>
      </c>
      <c r="G41" s="30" t="n">
        <f aca="false">C12*G40+20*I40</f>
        <v>-0.00504255294799805</v>
      </c>
      <c r="H41" s="30" t="n">
        <f aca="false">H40-C11*F41</f>
        <v>0.00145228149051434</v>
      </c>
      <c r="I41" s="30" t="n">
        <f aca="false">I40-C11*G41</f>
        <v>-0.000115275382995605</v>
      </c>
      <c r="J41" s="53" t="n">
        <f aca="false">H41^2+10*I41^2</f>
        <v>2.24200566693839E-006</v>
      </c>
    </row>
    <row r="42" customFormat="false" ht="15" hidden="false" customHeight="false" outlineLevel="0" collapsed="false">
      <c r="B42" s="29" t="n">
        <v>25</v>
      </c>
      <c r="C42" s="30" t="n">
        <f aca="false">C41-C11*2*C41</f>
        <v>-0.287159195076741</v>
      </c>
      <c r="D42" s="30" t="n">
        <f aca="false">D41-C11*20*D41</f>
        <v>0</v>
      </c>
      <c r="E42" s="53" t="n">
        <f aca="false">C42^2+10*D42^2</f>
        <v>0.0824604033171218</v>
      </c>
      <c r="F42" s="30" t="n">
        <f aca="false">C12*F41+2*H41</f>
        <v>0.00545224751062665</v>
      </c>
      <c r="G42" s="30" t="n">
        <f aca="false">C12*G41+20*I41</f>
        <v>-0.00482678413391113</v>
      </c>
      <c r="H42" s="30" t="n">
        <f aca="false">H41-C11*F42</f>
        <v>0.00117966911498301</v>
      </c>
      <c r="I42" s="30" t="n">
        <f aca="false">I41-C11*G42</f>
        <v>0.000126063823699951</v>
      </c>
      <c r="J42" s="53" t="n">
        <f aca="false">H42^2+10*I42^2</f>
        <v>1.55054009730332E-006</v>
      </c>
    </row>
    <row r="43" customFormat="false" ht="15" hidden="false" customHeight="false" outlineLevel="0" collapsed="false">
      <c r="B43" s="29" t="n">
        <v>26</v>
      </c>
      <c r="C43" s="30" t="n">
        <f aca="false">C42-C11*2*C42</f>
        <v>-0.258443275569067</v>
      </c>
      <c r="D43" s="30" t="n">
        <f aca="false">D42-C11*20*D42</f>
        <v>0</v>
      </c>
      <c r="E43" s="53" t="n">
        <f aca="false">C43^2+10*D43^2</f>
        <v>0.0667929266868686</v>
      </c>
      <c r="F43" s="30" t="n">
        <f aca="false">C12*F42+2*H42</f>
        <v>0.00508546198527934</v>
      </c>
      <c r="G43" s="30" t="n">
        <f aca="false">C12*G42+20*I42</f>
        <v>0.000107884407043457</v>
      </c>
      <c r="H43" s="30" t="n">
        <f aca="false">H42-C11*F43</f>
        <v>0.000925396015719041</v>
      </c>
      <c r="I43" s="30" t="n">
        <f aca="false">I42-C11*G43</f>
        <v>0.000120669603347778</v>
      </c>
      <c r="J43" s="53" t="n">
        <f aca="false">H43^2+10*I43^2</f>
        <v>1.00196931762978E-006</v>
      </c>
    </row>
    <row r="44" customFormat="false" ht="15" hidden="false" customHeight="false" outlineLevel="0" collapsed="false">
      <c r="B44" s="29" t="n">
        <v>27</v>
      </c>
      <c r="C44" s="30" t="n">
        <f aca="false">C43-C11*2*C43</f>
        <v>-0.23259894801216</v>
      </c>
      <c r="D44" s="30" t="n">
        <f aca="false">D43-C11*20*D43</f>
        <v>0</v>
      </c>
      <c r="E44" s="53" t="n">
        <f aca="false">C44^2+10*D44^2</f>
        <v>0.0541022706163636</v>
      </c>
      <c r="F44" s="30" t="n">
        <f aca="false">C12*F43+2*H43</f>
        <v>0.00439352302407775</v>
      </c>
      <c r="G44" s="30" t="n">
        <f aca="false">C12*G43+20*I43</f>
        <v>0.0024673342704773</v>
      </c>
      <c r="H44" s="30" t="n">
        <f aca="false">H43-C11*F44</f>
        <v>0.000705719864515154</v>
      </c>
      <c r="I44" s="30" t="n">
        <f aca="false">I43-C11*G44</f>
        <v>-2.69711017608643E-006</v>
      </c>
      <c r="J44" s="53" t="n">
        <f aca="false">H44^2+10*I44^2</f>
        <v>4.98113271204306E-007</v>
      </c>
    </row>
    <row r="45" customFormat="false" ht="15" hidden="false" customHeight="false" outlineLevel="0" collapsed="false">
      <c r="B45" s="29" t="n">
        <v>28</v>
      </c>
      <c r="C45" s="30" t="n">
        <f aca="false">C44-C11*2*C44</f>
        <v>-0.209339053210944</v>
      </c>
      <c r="D45" s="30" t="n">
        <f aca="false">D44-C11*20*D44</f>
        <v>0</v>
      </c>
      <c r="E45" s="53" t="n">
        <f aca="false">C45^2+10*D45^2</f>
        <v>0.0438228391992545</v>
      </c>
      <c r="F45" s="30" t="n">
        <f aca="false">C12*F44+2*H44</f>
        <v>0.00360820124106918</v>
      </c>
      <c r="G45" s="30" t="n">
        <f aca="false">C12*G44+20*I44</f>
        <v>0.00117972493171692</v>
      </c>
      <c r="H45" s="30" t="n">
        <f aca="false">H44-C11*F45</f>
        <v>0.000525309802461694</v>
      </c>
      <c r="I45" s="30" t="n">
        <f aca="false">I44-C11*G45</f>
        <v>-6.16833567619324E-005</v>
      </c>
      <c r="J45" s="53" t="n">
        <f aca="false">H45^2+10*I45^2</f>
        <v>3.13998753576543E-007</v>
      </c>
    </row>
    <row r="46" customFormat="false" ht="15" hidden="false" customHeight="false" outlineLevel="0" collapsed="false">
      <c r="B46" s="29" t="n">
        <v>29</v>
      </c>
      <c r="C46" s="30" t="n">
        <f aca="false">C45-C11*2*C45</f>
        <v>-0.18840514788985</v>
      </c>
      <c r="D46" s="30" t="n">
        <f aca="false">D45-C11*20*D45</f>
        <v>0</v>
      </c>
      <c r="E46" s="53" t="n">
        <f aca="false">C46^2+10*D46^2</f>
        <v>0.0354964997513962</v>
      </c>
      <c r="F46" s="30" t="n">
        <f aca="false">C12*F45+2*H45</f>
        <v>0.00285472022545798</v>
      </c>
      <c r="G46" s="30" t="n">
        <f aca="false">C12*G45+20*I45</f>
        <v>-0.000643804669380188</v>
      </c>
      <c r="H46" s="30" t="n">
        <f aca="false">H45-C11*F46</f>
        <v>0.000382573791188795</v>
      </c>
      <c r="I46" s="30" t="n">
        <f aca="false">I45-C11*G46</f>
        <v>-2.9493123292923E-005</v>
      </c>
      <c r="J46" s="53" t="n">
        <f aca="false">H46^2+10*I46^2</f>
        <v>1.55061148920284E-007</v>
      </c>
    </row>
    <row r="47" customFormat="false" ht="15" hidden="false" customHeight="false" outlineLevel="0" collapsed="false">
      <c r="B47" s="29" t="n">
        <v>30</v>
      </c>
      <c r="C47" s="30" t="n">
        <f aca="false">C46-C11*2*C46</f>
        <v>-0.169564633100865</v>
      </c>
      <c r="D47" s="30" t="n">
        <f aca="false">D46-C11*20*D46</f>
        <v>0</v>
      </c>
      <c r="E47" s="53" t="n">
        <f aca="false">C47^2+10*D47^2</f>
        <v>0.0287521647986309</v>
      </c>
      <c r="F47" s="30" t="n">
        <f aca="false">C12*F46+2*H46</f>
        <v>0.00219250769510658</v>
      </c>
      <c r="G47" s="30" t="n">
        <f aca="false">C12*G46+20*I46</f>
        <v>-0.000911764800548554</v>
      </c>
      <c r="H47" s="30" t="n">
        <f aca="false">H46-C11*F47</f>
        <v>0.000272948406433466</v>
      </c>
      <c r="I47" s="30" t="n">
        <f aca="false">I46-C11*G47</f>
        <v>1.60951167345047E-005</v>
      </c>
      <c r="J47" s="53" t="n">
        <f aca="false">H47^2+10*I47^2</f>
        <v>7.7091360401542E-008</v>
      </c>
    </row>
    <row r="49" customFormat="false" ht="30" hidden="false" customHeight="true" outlineLevel="0" collapsed="false">
      <c r="B49" s="21" t="s">
        <v>215</v>
      </c>
      <c r="C49" s="21" t="s">
        <v>556</v>
      </c>
      <c r="D49" s="21" t="s">
        <v>557</v>
      </c>
      <c r="E49" s="21" t="s">
        <v>558</v>
      </c>
      <c r="F49" s="21" t="s">
        <v>559</v>
      </c>
      <c r="G49" s="21" t="s">
        <v>560</v>
      </c>
      <c r="H49" s="21" t="s">
        <v>561</v>
      </c>
      <c r="I49" s="21" t="s">
        <v>562</v>
      </c>
      <c r="J49" s="21" t="s">
        <v>563</v>
      </c>
      <c r="K49" s="21" t="s">
        <v>564</v>
      </c>
      <c r="L49" s="21" t="s">
        <v>565</v>
      </c>
      <c r="M49" s="21" t="s">
        <v>566</v>
      </c>
    </row>
    <row r="50" customFormat="false" ht="15" hidden="false" customHeight="false" outlineLevel="0" collapsed="false">
      <c r="B50" s="29" t="n">
        <v>0</v>
      </c>
      <c r="C50" s="30" t="n">
        <v>0</v>
      </c>
      <c r="D50" s="30" t="n">
        <v>0</v>
      </c>
      <c r="E50" s="30" t="n">
        <v>0</v>
      </c>
      <c r="F50" s="30" t="n">
        <v>0</v>
      </c>
      <c r="G50" s="30" t="n">
        <v>0</v>
      </c>
      <c r="I50" s="30" t="n">
        <v>-4</v>
      </c>
      <c r="J50" s="30" t="n">
        <v>1</v>
      </c>
      <c r="K50" s="53" t="n">
        <f aca="false">I50^2+10*J50^2</f>
        <v>26</v>
      </c>
      <c r="L50" s="30"/>
      <c r="M50" s="30"/>
    </row>
    <row r="51" customFormat="false" ht="15" hidden="false" customHeight="false" outlineLevel="0" collapsed="false">
      <c r="B51" s="29" t="n">
        <v>1</v>
      </c>
      <c r="C51" s="30" t="n">
        <f aca="false">2*I50</f>
        <v>-8</v>
      </c>
      <c r="D51" s="30" t="n">
        <f aca="false">20*J50</f>
        <v>20</v>
      </c>
      <c r="E51" s="30" t="n">
        <f aca="false">C14*E50+(1-C14)*C51</f>
        <v>-0.8</v>
      </c>
      <c r="F51" s="30" t="n">
        <f aca="false">C14*F50+(1-C14)*D51</f>
        <v>2</v>
      </c>
      <c r="G51" s="30" t="n">
        <f aca="false">C15*G50+(1-C15)*C51^2</f>
        <v>0.0640000000000001</v>
      </c>
      <c r="H51" s="30" t="n">
        <f aca="false">C15*H50+(1-C15)*D51^2</f>
        <v>0.4</v>
      </c>
      <c r="I51" s="30" t="n">
        <f aca="false">I50-C13*(E51/(1-C14^B51))/(SQRT(G51/(1-C15^B51))+0.00000001)</f>
        <v>-3.80000000025</v>
      </c>
      <c r="J51" s="30" t="n">
        <f aca="false">J50-C13*(F51/(1-C14^B51))/(SQRT(H51/(1-C15^B51))+0.00000001)</f>
        <v>0.8000000001</v>
      </c>
      <c r="K51" s="53" t="n">
        <f aca="false">I51^2+10*J51^2</f>
        <v>20.8400000035</v>
      </c>
      <c r="L51" s="30" t="n">
        <f aca="false">ABS(I51-I50)</f>
        <v>0.19999999975</v>
      </c>
      <c r="M51" s="30" t="n">
        <f aca="false">ABS(J51-J50)</f>
        <v>0.1999999999</v>
      </c>
    </row>
    <row r="52" customFormat="false" ht="15" hidden="false" customHeight="false" outlineLevel="0" collapsed="false">
      <c r="B52" s="29" t="n">
        <v>2</v>
      </c>
      <c r="C52" s="30" t="n">
        <f aca="false">2*I51</f>
        <v>-7.6000000005</v>
      </c>
      <c r="D52" s="30" t="n">
        <f aca="false">20*J51</f>
        <v>16.000000002</v>
      </c>
      <c r="E52" s="30" t="n">
        <f aca="false">C14*E51+(1-C14)*C52</f>
        <v>-1.48000000005</v>
      </c>
      <c r="F52" s="30" t="n">
        <f aca="false">C14*F51+(1-C14)*D52</f>
        <v>3.4000000002</v>
      </c>
      <c r="G52" s="30" t="n">
        <f aca="false">C15*G51+(1-C15)*C52^2</f>
        <v>0.1216960000076</v>
      </c>
      <c r="H52" s="30" t="n">
        <f aca="false">C15*H51+(1-C15)*D52^2</f>
        <v>0.655600000064001</v>
      </c>
      <c r="I52" s="30" t="n">
        <f aca="false">I51-C13*(E52/(1-C14^B52))/(SQRT(G52/(1-C15^B52))+0.00000001)</f>
        <v>-3.60033297172601</v>
      </c>
      <c r="J52" s="30" t="n">
        <f aca="false">J51-C13*(F52/(1-C14^B52))/(SQRT(H52/(1-C15^B52))+0.00000001)</f>
        <v>0.602374839382534</v>
      </c>
      <c r="K52" s="53" t="n">
        <f aca="false">I52^2+10*J52^2</f>
        <v>16.5909519785088</v>
      </c>
      <c r="L52" s="30" t="n">
        <f aca="false">ABS(I52-I51)</f>
        <v>0.199667028523989</v>
      </c>
      <c r="M52" s="30" t="n">
        <f aca="false">ABS(J52-J51)</f>
        <v>0.197625160717466</v>
      </c>
    </row>
    <row r="53" customFormat="false" ht="15" hidden="false" customHeight="false" outlineLevel="0" collapsed="false">
      <c r="B53" s="29" t="n">
        <v>3</v>
      </c>
      <c r="C53" s="30" t="n">
        <f aca="false">2*I52</f>
        <v>-7.20066594345202</v>
      </c>
      <c r="D53" s="30" t="n">
        <f aca="false">20*J52</f>
        <v>12.0474967876507</v>
      </c>
      <c r="E53" s="30" t="n">
        <f aca="false">C14*E52+(1-C14)*C53</f>
        <v>-2.0520665943902</v>
      </c>
      <c r="F53" s="30" t="n">
        <f aca="false">C14*F52+(1-C14)*D53</f>
        <v>4.26474967894507</v>
      </c>
      <c r="G53" s="30" t="n">
        <f aca="false">C15*G52+(1-C15)*C53^2</f>
        <v>0.173423894036782</v>
      </c>
      <c r="H53" s="30" t="n">
        <f aca="false">C15*H52+(1-C15)*D53^2</f>
        <v>0.80008657891239</v>
      </c>
      <c r="I53" s="30" t="n">
        <f aca="false">I52-C13*(E53/(1-C14^B53))/(SQRT(G53/(1-C15^B53))+0.00000001)</f>
        <v>-3.40124678332728</v>
      </c>
      <c r="J53" s="30" t="n">
        <f aca="false">J52-C13*(F53/(1-C14^B53))/(SQRT(H53/(1-C15^B53))+0.00000001)</f>
        <v>0.409742499080211</v>
      </c>
      <c r="K53" s="53" t="n">
        <f aca="false">I53^2+10*J53^2</f>
        <v>13.2473688366191</v>
      </c>
      <c r="L53" s="30" t="n">
        <f aca="false">ABS(I53-I52)</f>
        <v>0.199086188398729</v>
      </c>
      <c r="M53" s="30" t="n">
        <f aca="false">ABS(J53-J52)</f>
        <v>0.192632340302323</v>
      </c>
    </row>
    <row r="54" customFormat="false" ht="15" hidden="false" customHeight="false" outlineLevel="0" collapsed="false">
      <c r="B54" s="29" t="n">
        <v>4</v>
      </c>
      <c r="C54" s="30" t="n">
        <f aca="false">2*I53</f>
        <v>-6.80249356665456</v>
      </c>
      <c r="D54" s="30" t="n">
        <f aca="false">20*J53</f>
        <v>8.19484998160423</v>
      </c>
      <c r="E54" s="30" t="n">
        <f aca="false">C14*E53+(1-C14)*C54</f>
        <v>-2.52710929161664</v>
      </c>
      <c r="F54" s="30" t="n">
        <f aca="false">C14*F53+(1-C14)*D54</f>
        <v>4.65775970921098</v>
      </c>
      <c r="G54" s="30" t="n">
        <f aca="false">C15*G53+(1-C15)*C54^2</f>
        <v>0.219524388867122</v>
      </c>
      <c r="H54" s="30" t="n">
        <f aca="false">C15*H53+(1-C15)*D54^2</f>
        <v>0.866442058554477</v>
      </c>
      <c r="I54" s="30" t="n">
        <f aca="false">I53-C13*(E54/(1-C14^B54))/(SQRT(G54/(1-C15^B54))+0.00000001)</f>
        <v>-3.20300978954873</v>
      </c>
      <c r="J54" s="30" t="n">
        <f aca="false">J53-C13*(F54/(1-C14^B54))/(SQRT(H54/(1-C15^B54))+0.00000001)</f>
        <v>0.22583078830545</v>
      </c>
      <c r="K54" s="53" t="n">
        <f aca="false">I54^2+10*J54^2</f>
        <v>10.7692671614116</v>
      </c>
      <c r="L54" s="30" t="n">
        <f aca="false">ABS(I54-I53)</f>
        <v>0.198236993778552</v>
      </c>
      <c r="M54" s="30" t="n">
        <f aca="false">ABS(J54-J53)</f>
        <v>0.183911710774762</v>
      </c>
    </row>
    <row r="55" customFormat="false" ht="15" hidden="false" customHeight="false" outlineLevel="0" collapsed="false">
      <c r="B55" s="29" t="n">
        <v>5</v>
      </c>
      <c r="C55" s="30" t="n">
        <f aca="false">2*I54</f>
        <v>-6.40601957909746</v>
      </c>
      <c r="D55" s="30" t="n">
        <f aca="false">20*J54</f>
        <v>4.51661576610899</v>
      </c>
      <c r="E55" s="30" t="n">
        <f aca="false">C14*E54+(1-C14)*C55</f>
        <v>-2.91500032036472</v>
      </c>
      <c r="F55" s="30" t="n">
        <f aca="false">C14*F54+(1-C14)*D55</f>
        <v>4.64364531490078</v>
      </c>
      <c r="G55" s="30" t="n">
        <f aca="false">C15*G54+(1-C15)*C55^2</f>
        <v>0.260341951326035</v>
      </c>
      <c r="H55" s="30" t="n">
        <f aca="false">C15*H54+(1-C15)*D55^2</f>
        <v>0.885975434474586</v>
      </c>
      <c r="I55" s="30" t="n">
        <f aca="false">I54-C13*(E55/(1-C14^B55))/(SQRT(G55/(1-C15^B55))+0.00000001)</f>
        <v>-3.00591156129205</v>
      </c>
      <c r="J55" s="30" t="n">
        <f aca="false">J54-C13*(F55/(1-C14^B55))/(SQRT(H55/(1-C15^B55))+0.00000001)</f>
        <v>0.0556288929369626</v>
      </c>
      <c r="K55" s="53" t="n">
        <f aca="false">I55^2+10*J55^2</f>
        <v>9.06645005160313</v>
      </c>
      <c r="L55" s="30" t="n">
        <f aca="false">ABS(I55-I54)</f>
        <v>0.19709822825668</v>
      </c>
      <c r="M55" s="30" t="n">
        <f aca="false">ABS(J55-J54)</f>
        <v>0.170201895368487</v>
      </c>
    </row>
    <row r="56" customFormat="false" ht="15" hidden="false" customHeight="false" outlineLevel="0" collapsed="false">
      <c r="B56" s="29" t="n">
        <v>6</v>
      </c>
      <c r="C56" s="30" t="n">
        <f aca="false">2*I55</f>
        <v>-6.0118231225841</v>
      </c>
      <c r="D56" s="30" t="n">
        <f aca="false">20*J55</f>
        <v>1.11257785873925</v>
      </c>
      <c r="E56" s="30" t="n">
        <f aca="false">C14*E55+(1-C14)*C56</f>
        <v>-3.22468260058666</v>
      </c>
      <c r="F56" s="30" t="n">
        <f aca="false">C14*F55+(1-C14)*D56</f>
        <v>4.29053856928463</v>
      </c>
      <c r="G56" s="30" t="n">
        <f aca="false">C15*G55+(1-C15)*C56^2</f>
        <v>0.296223626631946</v>
      </c>
      <c r="H56" s="30" t="n">
        <f aca="false">C15*H55+(1-C15)*D56^2</f>
        <v>0.886327288531869</v>
      </c>
      <c r="I56" s="30" t="n">
        <f aca="false">I55-C13*(E56/(1-C14^B56))/(SQRT(G56/(1-C15^B56))+0.00000001)</f>
        <v>-2.81026345875197</v>
      </c>
      <c r="J56" s="30" t="n">
        <f aca="false">J55-C13*(F56/(1-C14^B56))/(SQRT(H56/(1-C15^B56))+0.00000001)</f>
        <v>-0.0948630549937021</v>
      </c>
      <c r="K56" s="53" t="n">
        <f aca="false">I56^2+10*J56^2</f>
        <v>7.98757069962396</v>
      </c>
      <c r="L56" s="30" t="n">
        <f aca="false">ABS(I56-I55)</f>
        <v>0.195648102540082</v>
      </c>
      <c r="M56" s="30" t="n">
        <f aca="false">ABS(J56-J55)</f>
        <v>0.150491947930665</v>
      </c>
    </row>
    <row r="57" customFormat="false" ht="15" hidden="false" customHeight="false" outlineLevel="0" collapsed="false">
      <c r="B57" s="29" t="n">
        <v>7</v>
      </c>
      <c r="C57" s="30" t="n">
        <f aca="false">2*I56</f>
        <v>-5.62052691750394</v>
      </c>
      <c r="D57" s="30" t="n">
        <f aca="false">20*J56</f>
        <v>-1.89726109987404</v>
      </c>
      <c r="E57" s="30" t="n">
        <f aca="false">C14*E56+(1-C14)*C57</f>
        <v>-3.46426703227839</v>
      </c>
      <c r="F57" s="30" t="n">
        <f aca="false">C14*F56+(1-C14)*D57</f>
        <v>3.67175860236876</v>
      </c>
      <c r="G57" s="30" t="n">
        <f aca="false">C15*G56+(1-C15)*C57^2</f>
        <v>0.3275177258357</v>
      </c>
      <c r="H57" s="30" t="n">
        <f aca="false">C15*H56+(1-C15)*D57^2</f>
        <v>0.889040560924432</v>
      </c>
      <c r="I57" s="30" t="n">
        <f aca="false">I56-C13*(E57/(1-C14^B57))/(SQRT(G57/(1-C15^B57))+0.00000001)</f>
        <v>-2.61639898938802</v>
      </c>
      <c r="J57" s="30" t="n">
        <f aca="false">J56-C13*(F57/(1-C14^B57))/(SQRT(H57/(1-C15^B57))+0.00000001)</f>
        <v>-0.219577741211261</v>
      </c>
      <c r="K57" s="53" t="n">
        <f aca="false">I57^2+10*J57^2</f>
        <v>7.32768751602505</v>
      </c>
      <c r="L57" s="30" t="n">
        <f aca="false">ABS(I57-I56)</f>
        <v>0.193864469363948</v>
      </c>
      <c r="M57" s="30" t="n">
        <f aca="false">ABS(J57-J56)</f>
        <v>0.124714686217559</v>
      </c>
    </row>
    <row r="58" customFormat="false" ht="15" hidden="false" customHeight="false" outlineLevel="0" collapsed="false">
      <c r="B58" s="29" t="n">
        <v>8</v>
      </c>
      <c r="C58" s="30" t="n">
        <f aca="false">2*I57</f>
        <v>-5.23279797877604</v>
      </c>
      <c r="D58" s="30" t="n">
        <f aca="false">20*J57</f>
        <v>-4.39155482422522</v>
      </c>
      <c r="E58" s="30" t="n">
        <f aca="false">C14*E57+(1-C14)*C58</f>
        <v>-3.64112012692815</v>
      </c>
      <c r="F58" s="30" t="n">
        <f aca="false">C14*F57+(1-C14)*D58</f>
        <v>2.86542725970937</v>
      </c>
      <c r="G58" s="30" t="n">
        <f aca="false">C15*G57+(1-C15)*C58^2</f>
        <v>0.354572382796547</v>
      </c>
      <c r="H58" s="30" t="n">
        <f aca="false">C15*H57+(1-C15)*D58^2</f>
        <v>0.907437274137683</v>
      </c>
      <c r="I58" s="30" t="n">
        <f aca="false">I57-C13*(E58/(1-C14^B58))/(SQRT(G58/(1-C15^B58))+0.00000001)</f>
        <v>-2.42467388414448</v>
      </c>
      <c r="J58" s="30" t="n">
        <f aca="false">J57-C13*(F58/(1-C14^B58))/(SQRT(H58/(1-C15^B58))+0.00000001)</f>
        <v>-0.313892033802173</v>
      </c>
      <c r="K58" s="53" t="n">
        <f aca="false">I58^2+10*J58^2</f>
        <v>6.86432553329693</v>
      </c>
      <c r="L58" s="30" t="n">
        <f aca="false">ABS(I58-I57)</f>
        <v>0.191725105243539</v>
      </c>
      <c r="M58" s="30" t="n">
        <f aca="false">ABS(J58-J57)</f>
        <v>0.0943142925909115</v>
      </c>
    </row>
    <row r="59" customFormat="false" ht="15" hidden="false" customHeight="false" outlineLevel="0" collapsed="false">
      <c r="B59" s="29" t="n">
        <v>9</v>
      </c>
      <c r="C59" s="30" t="n">
        <f aca="false">2*I58</f>
        <v>-4.84934776828896</v>
      </c>
      <c r="D59" s="30" t="n">
        <f aca="false">20*J58</f>
        <v>-6.27784067604345</v>
      </c>
      <c r="E59" s="30" t="n">
        <f aca="false">C14*E58+(1-C14)*C59</f>
        <v>-3.76194289106423</v>
      </c>
      <c r="F59" s="30" t="n">
        <f aca="false">C14*F58+(1-C14)*D59</f>
        <v>1.95110046613408</v>
      </c>
      <c r="G59" s="30" t="n">
        <f aca="false">C15*G58+(1-C15)*C59^2</f>
        <v>0.37773398419156</v>
      </c>
      <c r="H59" s="30" t="n">
        <f aca="false">C15*H58+(1-C15)*D59^2</f>
        <v>0.945941120417332</v>
      </c>
      <c r="I59" s="30" t="n">
        <f aca="false">I58-C13*(E59/(1-C14^B59))/(SQRT(G59/(1-C15^B59))+0.00000001)</f>
        <v>-2.23546581554751</v>
      </c>
      <c r="J59" s="30" t="n">
        <f aca="false">J58-C13*(F59/(1-C14^B59))/(SQRT(H59/(1-C15^B59))+0.00000001)</f>
        <v>-0.37590293806275</v>
      </c>
      <c r="K59" s="53" t="n">
        <f aca="false">I59^2+10*J59^2</f>
        <v>6.41033760092356</v>
      </c>
      <c r="L59" s="30" t="n">
        <f aca="false">ABS(I59-I58)</f>
        <v>0.189208068596972</v>
      </c>
      <c r="M59" s="30" t="n">
        <f aca="false">ABS(J59-J58)</f>
        <v>0.0620109042605772</v>
      </c>
    </row>
    <row r="60" customFormat="false" ht="15" hidden="false" customHeight="false" outlineLevel="0" collapsed="false">
      <c r="B60" s="29" t="n">
        <v>10</v>
      </c>
      <c r="C60" s="30" t="n">
        <f aca="false">2*I59</f>
        <v>-4.47093163109502</v>
      </c>
      <c r="D60" s="30" t="n">
        <f aca="false">20*J59</f>
        <v>-7.518058761255</v>
      </c>
      <c r="E60" s="30" t="n">
        <f aca="false">C14*E59+(1-C14)*C60</f>
        <v>-3.83284176506731</v>
      </c>
      <c r="F60" s="30" t="n">
        <f aca="false">C14*F59+(1-C14)*D60</f>
        <v>1.00418454339518</v>
      </c>
      <c r="G60" s="30" t="n">
        <f aca="false">C15*G59+(1-C15)*C60^2</f>
        <v>0.397345479857294</v>
      </c>
      <c r="H60" s="30" t="n">
        <f aca="false">C15*H59+(1-C15)*D60^2</f>
        <v>1.0015163868346</v>
      </c>
      <c r="I60" s="30" t="n">
        <f aca="false">I59-C13*(E60/(1-C14^B60))/(SQRT(G60/(1-C15^B60))+0.00000001)</f>
        <v>-2.04917367300322</v>
      </c>
      <c r="J60" s="30" t="n">
        <f aca="false">J59-C13*(F60/(1-C14^B60))/(SQRT(H60/(1-C15^B60))+0.00000001)</f>
        <v>-0.406645657989602</v>
      </c>
      <c r="K60" s="53" t="n">
        <f aca="false">I60^2+10*J60^2</f>
        <v>5.85271965374747</v>
      </c>
      <c r="L60" s="30" t="n">
        <f aca="false">ABS(I60-I59)</f>
        <v>0.186292142544288</v>
      </c>
      <c r="M60" s="30" t="n">
        <f aca="false">ABS(J60-J59)</f>
        <v>0.0307427199268521</v>
      </c>
    </row>
    <row r="61" customFormat="false" ht="15" hidden="false" customHeight="false" outlineLevel="0" collapsed="false">
      <c r="B61" s="29" t="n">
        <v>11</v>
      </c>
      <c r="C61" s="30" t="n">
        <f aca="false">2*I60</f>
        <v>-4.09834734600644</v>
      </c>
      <c r="D61" s="30" t="n">
        <f aca="false">20*J60</f>
        <v>-8.13291315979204</v>
      </c>
      <c r="E61" s="30" t="n">
        <f aca="false">C14*E60+(1-C14)*C61</f>
        <v>-3.85939232316122</v>
      </c>
      <c r="F61" s="30" t="n">
        <f aca="false">C14*F60+(1-C14)*D61</f>
        <v>0.0904747730764549</v>
      </c>
      <c r="G61" s="30" t="n">
        <f aca="false">C15*G60+(1-C15)*C61^2</f>
        <v>0.413744585345955</v>
      </c>
      <c r="H61" s="30" t="n">
        <f aca="false">C15*H60+(1-C15)*D61^2</f>
        <v>1.06665914691248</v>
      </c>
      <c r="I61" s="30" t="n">
        <f aca="false">I60-C13*(E61/(1-C14^B61))/(SQRT(G61/(1-C15^B61))+0.00000001)</f>
        <v>-1.866216304758</v>
      </c>
      <c r="J61" s="30" t="n">
        <f aca="false">J60-C13*(F61/(1-C14^B61))/(SQRT(H61/(1-C15^B61))+0.00000001)</f>
        <v>-0.409316891223516</v>
      </c>
      <c r="K61" s="53" t="n">
        <f aca="false">I61^2+10*J61^2</f>
        <v>5.15816647055343</v>
      </c>
      <c r="L61" s="30" t="n">
        <f aca="false">ABS(I61-I60)</f>
        <v>0.182957368245222</v>
      </c>
      <c r="M61" s="30" t="n">
        <f aca="false">ABS(J61-J60)</f>
        <v>0.00267123323391388</v>
      </c>
    </row>
    <row r="62" customFormat="false" ht="15" hidden="false" customHeight="false" outlineLevel="0" collapsed="false">
      <c r="B62" s="29" t="n">
        <v>12</v>
      </c>
      <c r="C62" s="30" t="n">
        <f aca="false">2*I61</f>
        <v>-3.732432609516</v>
      </c>
      <c r="D62" s="30" t="n">
        <f aca="false">20*J61</f>
        <v>-8.18633782447031</v>
      </c>
      <c r="E62" s="30" t="n">
        <f aca="false">C14*E61+(1-C14)*C62</f>
        <v>-3.8466963517967</v>
      </c>
      <c r="F62" s="30" t="n">
        <f aca="false">C14*F61+(1-C14)*D62</f>
        <v>-0.737206486678222</v>
      </c>
      <c r="G62" s="30" t="n">
        <f aca="false">C15*G61+(1-C15)*C62^2</f>
        <v>0.427261893945188</v>
      </c>
      <c r="H62" s="30" t="n">
        <f aca="false">C15*H61+(1-C15)*D62^2</f>
        <v>1.13260861474192</v>
      </c>
      <c r="I62" s="30" t="n">
        <f aca="false">I61-C13*(E62/(1-C14^B62))/(SQRT(G62/(1-C15^B62))+0.00000001)</f>
        <v>-1.6870306340692</v>
      </c>
      <c r="J62" s="30" t="n">
        <f aca="false">J61-C13*(F62/(1-C14^B62))/(SQRT(H62/(1-C15^B62))+0.00000001)</f>
        <v>-0.388225187140249</v>
      </c>
      <c r="K62" s="53" t="n">
        <f aca="false">I62^2+10*J62^2</f>
        <v>4.35326031958874</v>
      </c>
      <c r="L62" s="30" t="n">
        <f aca="false">ABS(I62-I61)</f>
        <v>0.179185670688799</v>
      </c>
      <c r="M62" s="30" t="n">
        <f aca="false">ABS(J62-J61)</f>
        <v>0.0210917040832671</v>
      </c>
    </row>
    <row r="63" customFormat="false" ht="15" hidden="false" customHeight="false" outlineLevel="0" collapsed="false">
      <c r="B63" s="29" t="n">
        <v>13</v>
      </c>
      <c r="C63" s="30" t="n">
        <f aca="false">2*I62</f>
        <v>-3.3740612681384</v>
      </c>
      <c r="D63" s="30" t="n">
        <f aca="false">20*J62</f>
        <v>-7.76450374280497</v>
      </c>
      <c r="E63" s="30" t="n">
        <f aca="false">C14*E62+(1-C14)*C63</f>
        <v>-3.79943284343087</v>
      </c>
      <c r="F63" s="30" t="n">
        <f aca="false">C14*F62+(1-C14)*D63</f>
        <v>-1.4399362122909</v>
      </c>
      <c r="G63" s="30" t="n">
        <f aca="false">C15*G62+(1-C15)*C63^2</f>
        <v>0.438218921492394</v>
      </c>
      <c r="H63" s="30" t="n">
        <f aca="false">C15*H62+(1-C15)*D63^2</f>
        <v>1.19176352449921</v>
      </c>
      <c r="I63" s="30" t="n">
        <f aca="false">I62-C13*(E63/(1-C14^B63))/(SQRT(G63/(1-C15^B63))+0.00000001)</f>
        <v>-1.51206906090593</v>
      </c>
      <c r="J63" s="30" t="n">
        <f aca="false">J62-C13*(F63/(1-C14^B63))/(SQRT(H63/(1-C15^B63))+0.00000001)</f>
        <v>-0.348016705389665</v>
      </c>
      <c r="K63" s="53" t="n">
        <f aca="false">I63^2+10*J63^2</f>
        <v>3.49750911725171</v>
      </c>
      <c r="L63" s="30" t="n">
        <f aca="false">ABS(I63-I62)</f>
        <v>0.17496157316327</v>
      </c>
      <c r="M63" s="30" t="n">
        <f aca="false">ABS(J63-J62)</f>
        <v>0.0402084817505833</v>
      </c>
    </row>
    <row r="64" customFormat="false" ht="15" hidden="false" customHeight="false" outlineLevel="0" collapsed="false">
      <c r="B64" s="29" t="n">
        <v>14</v>
      </c>
      <c r="C64" s="30" t="n">
        <f aca="false">2*I63</f>
        <v>-3.02413812181186</v>
      </c>
      <c r="D64" s="30" t="n">
        <f aca="false">20*J63</f>
        <v>-6.96033410779331</v>
      </c>
      <c r="E64" s="30" t="n">
        <f aca="false">C14*E63+(1-C14)*C64</f>
        <v>-3.72190337126897</v>
      </c>
      <c r="F64" s="30" t="n">
        <f aca="false">C14*F63+(1-C14)*D64</f>
        <v>-1.99197600184114</v>
      </c>
      <c r="G64" s="30" t="n">
        <f aca="false">C15*G63+(1-C15)*C64^2</f>
        <v>0.446926113950698</v>
      </c>
      <c r="H64" s="30" t="n">
        <f aca="false">C15*H63+(1-C15)*D64^2</f>
        <v>1.23901801186682</v>
      </c>
      <c r="I64" s="30" t="n">
        <f aca="false">I63-C13*(E64/(1-C14^B64))/(SQRT(G64/(1-C15^B64))+0.00000001)</f>
        <v>-1.34179607177935</v>
      </c>
      <c r="J64" s="30" t="n">
        <f aca="false">J63-C13*(F64/(1-C14^B64))/(SQRT(H64/(1-C15^B64))+0.00000001)</f>
        <v>-0.293284389555455</v>
      </c>
      <c r="K64" s="53" t="n">
        <f aca="false">I64^2+10*J64^2</f>
        <v>2.66057402981166</v>
      </c>
      <c r="L64" s="30" t="n">
        <f aca="false">ABS(I64-I63)</f>
        <v>0.170272989126579</v>
      </c>
      <c r="M64" s="30" t="n">
        <f aca="false">ABS(J64-J63)</f>
        <v>0.0547323158342103</v>
      </c>
    </row>
    <row r="65" customFormat="false" ht="15" hidden="false" customHeight="false" outlineLevel="0" collapsed="false">
      <c r="B65" s="29" t="n">
        <v>15</v>
      </c>
      <c r="C65" s="30" t="n">
        <f aca="false">2*I64</f>
        <v>-2.6835921435587</v>
      </c>
      <c r="D65" s="30" t="n">
        <f aca="false">20*J64</f>
        <v>-5.8656877911091</v>
      </c>
      <c r="E65" s="30" t="n">
        <f aca="false">C14*E64+(1-C14)*C65</f>
        <v>-3.61807224849794</v>
      </c>
      <c r="F65" s="30" t="n">
        <f aca="false">C14*F64+(1-C14)*D65</f>
        <v>-2.37934718076793</v>
      </c>
      <c r="G65" s="30" t="n">
        <f aca="false">C15*G64+(1-C15)*C65^2</f>
        <v>0.453680854629717</v>
      </c>
      <c r="H65" s="30" t="n">
        <f aca="false">C15*H64+(1-C15)*D65^2</f>
        <v>1.27218528711772</v>
      </c>
      <c r="I65" s="30" t="n">
        <f aca="false">I64-C13*(E65/(1-C14^B65))/(SQRT(G65/(1-C15^B65))+0.00000001)</f>
        <v>-1.17668400077101</v>
      </c>
      <c r="J65" s="30" t="n">
        <f aca="false">J64-C13*(F65/(1-C14^B65))/(SQRT(H65/(1-C15^B65))+0.00000001)</f>
        <v>-0.228441934676657</v>
      </c>
      <c r="K65" s="53" t="n">
        <f aca="false">I65^2+10*J65^2</f>
        <v>1.9064424128586</v>
      </c>
      <c r="L65" s="30" t="n">
        <f aca="false">ABS(I65-I64)</f>
        <v>0.165112071008344</v>
      </c>
      <c r="M65" s="30" t="n">
        <f aca="false">ABS(J65-J64)</f>
        <v>0.0648424548787979</v>
      </c>
    </row>
    <row r="66" customFormat="false" ht="15" hidden="false" customHeight="false" outlineLevel="0" collapsed="false">
      <c r="B66" s="29" t="n">
        <v>16</v>
      </c>
      <c r="C66" s="30" t="n">
        <f aca="false">2*I65</f>
        <v>-2.35336800154201</v>
      </c>
      <c r="D66" s="30" t="n">
        <f aca="false">20*J65</f>
        <v>-4.56883869353314</v>
      </c>
      <c r="E66" s="30" t="n">
        <f aca="false">C14*E65+(1-C14)*C66</f>
        <v>-3.49160182380235</v>
      </c>
      <c r="F66" s="30" t="n">
        <f aca="false">C14*F65+(1-C14)*D66</f>
        <v>-2.59829633204445</v>
      </c>
      <c r="G66" s="30" t="n">
        <f aca="false">C15*G65+(1-C15)*C66^2</f>
        <v>0.458765514725769</v>
      </c>
      <c r="H66" s="30" t="n">
        <f aca="false">C15*H65+(1-C15)*D66^2</f>
        <v>1.29178738883813</v>
      </c>
      <c r="I66" s="30" t="n">
        <f aca="false">I65-C13*(E66/(1-C14^B66))/(SQRT(G66/(1-C15^B66))+0.00000001)</f>
        <v>-1.01720791569742</v>
      </c>
      <c r="J66" s="30" t="n">
        <f aca="false">J65-C13*(F66/(1-C14^B66))/(SQRT(H66/(1-C15^B66))+0.00000001)</f>
        <v>-0.157719142784559</v>
      </c>
      <c r="K66" s="53" t="n">
        <f aca="false">I66^2+10*J66^2</f>
        <v>1.28346522376444</v>
      </c>
      <c r="L66" s="30" t="n">
        <f aca="false">ABS(I66-I65)</f>
        <v>0.159476085073592</v>
      </c>
      <c r="M66" s="30" t="n">
        <f aca="false">ABS(J66-J65)</f>
        <v>0.0707227918920984</v>
      </c>
    </row>
    <row r="67" customFormat="false" ht="15" hidden="false" customHeight="false" outlineLevel="0" collapsed="false">
      <c r="B67" s="29" t="n">
        <v>17</v>
      </c>
      <c r="C67" s="30" t="n">
        <f aca="false">2*I66</f>
        <v>-2.03441583139483</v>
      </c>
      <c r="D67" s="30" t="n">
        <f aca="false">20*J66</f>
        <v>-3.15438285569118</v>
      </c>
      <c r="E67" s="30" t="n">
        <f aca="false">C14*E66+(1-C14)*C67</f>
        <v>-3.3458832245616</v>
      </c>
      <c r="F67" s="30" t="n">
        <f aca="false">C14*F66+(1-C14)*D67</f>
        <v>-2.65390498440913</v>
      </c>
      <c r="G67" s="30" t="n">
        <f aca="false">C15*G66+(1-C15)*C67^2</f>
        <v>0.462445596986073</v>
      </c>
      <c r="H67" s="30" t="n">
        <f aca="false">C15*H66+(1-C15)*D67^2</f>
        <v>1.30044573264957</v>
      </c>
      <c r="I67" s="30" t="n">
        <f aca="false">I66-C13*(E67/(1-C14^B67))/(SQRT(G67/(1-C15^B67))+0.00000001)</f>
        <v>-0.863839644963838</v>
      </c>
      <c r="J67" s="30" t="n">
        <f aca="false">J66-C13*(F67/(1-C14^B67))/(SQRT(H67/(1-C15^B67))+0.00000001)</f>
        <v>-0.0851763419768239</v>
      </c>
      <c r="K67" s="53" t="n">
        <f aca="false">I67^2+10*J67^2</f>
        <v>0.818769024536777</v>
      </c>
      <c r="L67" s="30" t="n">
        <f aca="false">ABS(I67-I66)</f>
        <v>0.153368270733578</v>
      </c>
      <c r="M67" s="30" t="n">
        <f aca="false">ABS(J67-J66)</f>
        <v>0.0725428008077349</v>
      </c>
    </row>
    <row r="68" customFormat="false" ht="15" hidden="false" customHeight="false" outlineLevel="0" collapsed="false">
      <c r="B68" s="29" t="n">
        <v>18</v>
      </c>
      <c r="C68" s="30" t="n">
        <f aca="false">2*I67</f>
        <v>-1.72767928992768</v>
      </c>
      <c r="D68" s="30" t="n">
        <f aca="false">20*J67</f>
        <v>-1.70352683953648</v>
      </c>
      <c r="E68" s="30" t="n">
        <f aca="false">C14*E67+(1-C14)*C68</f>
        <v>-3.18406283109821</v>
      </c>
      <c r="F68" s="30" t="n">
        <f aca="false">C14*F67+(1-C14)*D68</f>
        <v>-2.55886716992186</v>
      </c>
      <c r="G68" s="30" t="n">
        <f aca="false">C15*G67+(1-C15)*C68^2</f>
        <v>0.464968027117932</v>
      </c>
      <c r="H68" s="30" t="n">
        <f aca="false">C15*H67+(1-C15)*D68^2</f>
        <v>1.30204729060994</v>
      </c>
      <c r="I68" s="30" t="n">
        <f aca="false">I67-C13*(E68/(1-C14^B68))/(SQRT(G68/(1-C15^B68))+0.00000001)</f>
        <v>-0.717041012081496</v>
      </c>
      <c r="J68" s="30" t="n">
        <f aca="false">J67-C13*(F68/(1-C14^B68))/(SQRT(H68/(1-C15^B68))+0.00000001)</f>
        <v>-0.0146768007677071</v>
      </c>
      <c r="K68" s="53" t="n">
        <f aca="false">I68^2+10*J68^2</f>
        <v>0.516301897814606</v>
      </c>
      <c r="L68" s="30" t="n">
        <f aca="false">ABS(I68-I67)</f>
        <v>0.146798632882341</v>
      </c>
      <c r="M68" s="30" t="n">
        <f aca="false">ABS(J68-J67)</f>
        <v>0.0704995412091168</v>
      </c>
    </row>
    <row r="69" customFormat="false" ht="15" hidden="false" customHeight="false" outlineLevel="0" collapsed="false">
      <c r="B69" s="29" t="n">
        <v>19</v>
      </c>
      <c r="C69" s="30" t="n">
        <f aca="false">2*I68</f>
        <v>-1.43408202416299</v>
      </c>
      <c r="D69" s="30" t="n">
        <f aca="false">20*J68</f>
        <v>-0.293536015354142</v>
      </c>
      <c r="E69" s="30" t="n">
        <f aca="false">C14*E68+(1-C14)*C69</f>
        <v>-3.00906475040469</v>
      </c>
      <c r="F69" s="30" t="n">
        <f aca="false">C14*F68+(1-C14)*D69</f>
        <v>-2.33233405446509</v>
      </c>
      <c r="G69" s="30" t="n">
        <f aca="false">C15*G68+(1-C15)*C69^2</f>
        <v>0.466559650342842</v>
      </c>
      <c r="H69" s="30" t="n">
        <f aca="false">C15*H68+(1-C15)*D69^2</f>
        <v>1.30083140671164</v>
      </c>
      <c r="I69" s="30" t="n">
        <f aca="false">I68-C13*(E69/(1-C14^B69))/(SQRT(G69/(1-C15^B69))+0.00000001)</f>
        <v>-0.577256403489441</v>
      </c>
      <c r="J69" s="30" t="n">
        <f aca="false">J68-C13*(F69/(1-C14^B69))/(SQRT(H69/(1-C15^B69))+0.00000001)</f>
        <v>0.0502107911185708</v>
      </c>
      <c r="K69" s="53" t="n">
        <f aca="false">I69^2+10*J69^2</f>
        <v>0.358436190817092</v>
      </c>
      <c r="L69" s="30" t="n">
        <f aca="false">ABS(I69-I68)</f>
        <v>0.139784608592055</v>
      </c>
      <c r="M69" s="30" t="n">
        <f aca="false">ABS(J69-J68)</f>
        <v>0.0648875918862779</v>
      </c>
    </row>
    <row r="70" customFormat="false" ht="15" hidden="false" customHeight="false" outlineLevel="0" collapsed="false">
      <c r="B70" s="29" t="n">
        <v>20</v>
      </c>
      <c r="C70" s="30" t="n">
        <f aca="false">2*I69</f>
        <v>-1.15451280697888</v>
      </c>
      <c r="D70" s="30" t="n">
        <f aca="false">20*J69</f>
        <v>1.00421582237142</v>
      </c>
      <c r="E70" s="30" t="n">
        <f aca="false">C14*E69+(1-C14)*C70</f>
        <v>-2.8236095560621</v>
      </c>
      <c r="F70" s="30" t="n">
        <f aca="false">C14*F69+(1-C14)*D70</f>
        <v>-1.99867906678144</v>
      </c>
      <c r="G70" s="30" t="n">
        <f aca="false">C15*G69+(1-C15)*C70^2</f>
        <v>0.467425990513977</v>
      </c>
      <c r="H70" s="30" t="n">
        <f aca="false">C15*H69+(1-C15)*D70^2</f>
        <v>1.30053902472283</v>
      </c>
      <c r="I70" s="30" t="n">
        <f aca="false">I69-C13*(E70/(1-C14^B70))/(SQRT(G70/(1-C15^B70))+0.00000001)</f>
        <v>-0.444904856903921</v>
      </c>
      <c r="J70" s="30" t="n">
        <f aca="false">J69-C13*(F70/(1-C14^B70))/(SQRT(H70/(1-C15^B70))+0.00000001)</f>
        <v>0.106375327218801</v>
      </c>
      <c r="K70" s="53" t="n">
        <f aca="false">I70^2+10*J70^2</f>
        <v>0.311097434105768</v>
      </c>
      <c r="L70" s="30" t="n">
        <f aca="false">ABS(I70-I69)</f>
        <v>0.13235154658552</v>
      </c>
      <c r="M70" s="30" t="n">
        <f aca="false">ABS(J70-J69)</f>
        <v>0.05616453610023</v>
      </c>
    </row>
    <row r="71" customFormat="false" ht="15" hidden="false" customHeight="false" outlineLevel="0" collapsed="false">
      <c r="B71" s="29" t="n">
        <v>21</v>
      </c>
      <c r="C71" s="30" t="n">
        <f aca="false">2*I70</f>
        <v>-0.889809713807842</v>
      </c>
      <c r="D71" s="30" t="n">
        <f aca="false">20*J70</f>
        <v>2.12750654437602</v>
      </c>
      <c r="E71" s="30" t="n">
        <f aca="false">C14*E70+(1-C14)*C71</f>
        <v>-2.63022957183668</v>
      </c>
      <c r="F71" s="30" t="n">
        <f aca="false">C14*F70+(1-C14)*D71</f>
        <v>-1.58606050566569</v>
      </c>
      <c r="G71" s="30" t="n">
        <f aca="false">C15*G70+(1-C15)*C71^2</f>
        <v>0.46775032585025</v>
      </c>
      <c r="H71" s="30" t="n">
        <f aca="false">C15*H70+(1-C15)*D71^2</f>
        <v>1.30376476979447</v>
      </c>
      <c r="I71" s="30" t="n">
        <f aca="false">I70-C13*(E71/(1-C14^B71))/(SQRT(G71/(1-C15^B71))+0.00000001)</f>
        <v>-0.32037191597904</v>
      </c>
      <c r="J71" s="30" t="n">
        <f aca="false">J70-C13*(F71/(1-C14^B71))/(SQRT(H71/(1-C15^B71))+0.00000001)</f>
        <v>0.151355152906676</v>
      </c>
      <c r="K71" s="53" t="n">
        <f aca="false">I71^2+10*J71^2</f>
        <v>0.331721987662113</v>
      </c>
      <c r="L71" s="30" t="n">
        <f aca="false">ABS(I71-I70)</f>
        <v>0.124532940924881</v>
      </c>
      <c r="M71" s="30" t="n">
        <f aca="false">ABS(J71-J70)</f>
        <v>0.0449798256878749</v>
      </c>
    </row>
    <row r="72" customFormat="false" ht="15" hidden="false" customHeight="false" outlineLevel="0" collapsed="false">
      <c r="B72" s="29" t="n">
        <v>22</v>
      </c>
      <c r="C72" s="30" t="n">
        <f aca="false">2*I71</f>
        <v>-0.64074383195808</v>
      </c>
      <c r="D72" s="30" t="n">
        <f aca="false">20*J71</f>
        <v>3.02710305813351</v>
      </c>
      <c r="E72" s="30" t="n">
        <f aca="false">C14*E71+(1-C14)*C72</f>
        <v>-2.43128099784882</v>
      </c>
      <c r="F72" s="30" t="n">
        <f aca="false">C14*F71+(1-C14)*D72</f>
        <v>-1.12474414928577</v>
      </c>
      <c r="G72" s="30" t="n">
        <f aca="false">C15*G71+(1-C15)*C72^2</f>
        <v>0.467693128182592</v>
      </c>
      <c r="H72" s="30" t="n">
        <f aca="false">C15*H71+(1-C15)*D72^2</f>
        <v>1.31162435794924</v>
      </c>
      <c r="I72" s="30" t="n">
        <f aca="false">I71-C13*(E72/(1-C14^B72))/(SQRT(G72/(1-C15^B72))+0.00000001)</f>
        <v>-0.20400154562199</v>
      </c>
      <c r="J72" s="30" t="n">
        <f aca="false">J71-C13*(F72/(1-C14^B72))/(SQRT(H72/(1-C15^B72))+0.00000001)</f>
        <v>0.183501879871772</v>
      </c>
      <c r="K72" s="53" t="n">
        <f aca="false">I72^2+10*J72^2</f>
        <v>0.378346029780904</v>
      </c>
      <c r="L72" s="30" t="n">
        <f aca="false">ABS(I72-I71)</f>
        <v>0.11637037035705</v>
      </c>
      <c r="M72" s="30" t="n">
        <f aca="false">ABS(J72-J71)</f>
        <v>0.0321467269650965</v>
      </c>
    </row>
    <row r="73" customFormat="false" ht="15" hidden="false" customHeight="false" outlineLevel="0" collapsed="false">
      <c r="B73" s="29" t="n">
        <v>23</v>
      </c>
      <c r="C73" s="30" t="n">
        <f aca="false">2*I72</f>
        <v>-0.408003091243981</v>
      </c>
      <c r="D73" s="30" t="n">
        <f aca="false">20*J72</f>
        <v>3.67003759743544</v>
      </c>
      <c r="E73" s="30" t="n">
        <f aca="false">C14*E72+(1-C14)*C73</f>
        <v>-2.22895320718834</v>
      </c>
      <c r="F73" s="30" t="n">
        <f aca="false">C14*F72+(1-C14)*D73</f>
        <v>-0.645265974613652</v>
      </c>
      <c r="G73" s="30" t="n">
        <f aca="false">C15*G72+(1-C15)*C73^2</f>
        <v>0.467391901576874</v>
      </c>
      <c r="H73" s="30" t="n">
        <f aca="false">C15*H72+(1-C15)*D73^2</f>
        <v>1.32378190955788</v>
      </c>
      <c r="I73" s="30" t="n">
        <f aca="false">I72-C13*(E73/(1-C14^B73))/(SQRT(G73/(1-C15^B73))+0.00000001)</f>
        <v>-0.0960884337873017</v>
      </c>
      <c r="J73" s="30" t="n">
        <f aca="false">J72-C13*(F73/(1-C14^B73))/(SQRT(H73/(1-C15^B73))+0.00000001)</f>
        <v>0.202064719000647</v>
      </c>
      <c r="K73" s="53" t="n">
        <f aca="false">I73^2+10*J73^2</f>
        <v>0.417534493755801</v>
      </c>
      <c r="L73" s="30" t="n">
        <f aca="false">ABS(I73-I72)</f>
        <v>0.107913111834689</v>
      </c>
      <c r="M73" s="30" t="n">
        <f aca="false">ABS(J73-J72)</f>
        <v>0.0185628391288749</v>
      </c>
    </row>
    <row r="74" customFormat="false" ht="15" hidden="false" customHeight="false" outlineLevel="0" collapsed="false">
      <c r="B74" s="29" t="n">
        <v>24</v>
      </c>
      <c r="C74" s="30" t="n">
        <f aca="false">2*I73</f>
        <v>-0.192176867574603</v>
      </c>
      <c r="D74" s="30" t="n">
        <f aca="false">20*J73</f>
        <v>4.04129438001294</v>
      </c>
      <c r="E74" s="30" t="n">
        <f aca="false">C14*E73+(1-C14)*C74</f>
        <v>-2.02527557322696</v>
      </c>
      <c r="F74" s="30" t="n">
        <f aca="false">C14*F73+(1-C14)*D74</f>
        <v>-0.176609939150993</v>
      </c>
      <c r="G74" s="30" t="n">
        <f aca="false">C15*G73+(1-C15)*C74^2</f>
        <v>0.466961441623728</v>
      </c>
      <c r="H74" s="30" t="n">
        <f aca="false">C15*H73+(1-C15)*D74^2</f>
        <v>1.33879018791425</v>
      </c>
      <c r="I74" s="30" t="n">
        <f aca="false">I73-C13*(E74/(1-C14^B74))/(SQRT(G74/(1-C15^B74))+0.00000001)</f>
        <v>0.00312898597902873</v>
      </c>
      <c r="J74" s="30" t="n">
        <f aca="false">J73-C13*(F74/(1-C14^B74))/(SQRT(H74/(1-C15^B74))+0.00000001)</f>
        <v>0.207174510687224</v>
      </c>
      <c r="K74" s="53" t="n">
        <f aca="false">I74^2+10*J74^2</f>
        <v>0.429222569338162</v>
      </c>
      <c r="L74" s="30" t="n">
        <f aca="false">ABS(I74-I73)</f>
        <v>0.0992174197663304</v>
      </c>
      <c r="M74" s="30" t="n">
        <f aca="false">ABS(J74-J73)</f>
        <v>0.00510979168657649</v>
      </c>
    </row>
    <row r="75" customFormat="false" ht="15" hidden="false" customHeight="false" outlineLevel="0" collapsed="false">
      <c r="B75" s="29" t="n">
        <v>25</v>
      </c>
      <c r="C75" s="30" t="n">
        <f aca="false">2*I74</f>
        <v>0.00625797195805747</v>
      </c>
      <c r="D75" s="30" t="n">
        <f aca="false">20*J74</f>
        <v>4.14349021374447</v>
      </c>
      <c r="E75" s="30" t="n">
        <f aca="false">C14*E74+(1-C14)*C75</f>
        <v>-1.82212221870846</v>
      </c>
      <c r="F75" s="30" t="n">
        <f aca="false">C14*F74+(1-C14)*D75</f>
        <v>0.255400076138553</v>
      </c>
      <c r="G75" s="30" t="n">
        <f aca="false">C15*G74+(1-C15)*C75^2</f>
        <v>0.466494519344317</v>
      </c>
      <c r="H75" s="30" t="n">
        <f aca="false">C15*H74+(1-C15)*D75^2</f>
        <v>1.35461990887773</v>
      </c>
      <c r="I75" s="30" t="n">
        <f aca="false">I74-C13*(E75/(1-C14^B75))/(SQRT(G75/(1-C15^B75))+0.00000001)</f>
        <v>0.0934744751523484</v>
      </c>
      <c r="J75" s="30" t="n">
        <f aca="false">J74-C13*(F75/(1-C14^B75))/(SQRT(H75/(1-C15^B75))+0.00000001)</f>
        <v>0.199743215060756</v>
      </c>
      <c r="K75" s="53" t="n">
        <f aca="false">I75^2+10*J75^2</f>
        <v>0.407710997133079</v>
      </c>
      <c r="L75" s="30" t="n">
        <f aca="false">ABS(I75-I74)</f>
        <v>0.0903454891733197</v>
      </c>
      <c r="M75" s="30" t="n">
        <f aca="false">ABS(J75-J74)</f>
        <v>0.00743129562646799</v>
      </c>
    </row>
    <row r="76" customFormat="false" ht="15" hidden="false" customHeight="false" outlineLevel="0" collapsed="false">
      <c r="B76" s="29" t="n">
        <v>26</v>
      </c>
      <c r="C76" s="30" t="n">
        <f aca="false">2*I75</f>
        <v>0.186948950304697</v>
      </c>
      <c r="D76" s="30" t="n">
        <f aca="false">20*J75</f>
        <v>3.99486430121511</v>
      </c>
      <c r="E76" s="30" t="n">
        <f aca="false">C14*E75+(1-C14)*C76</f>
        <v>-1.62121510180714</v>
      </c>
      <c r="F76" s="30" t="n">
        <f aca="false">C14*F75+(1-C14)*D76</f>
        <v>0.629346498646209</v>
      </c>
      <c r="G76" s="30" t="n">
        <f aca="false">C15*G75+(1-C15)*C76^2</f>
        <v>0.466062974734993</v>
      </c>
      <c r="H76" s="30" t="n">
        <f aca="false">C15*H75+(1-C15)*D76^2</f>
        <v>1.36922422975397</v>
      </c>
      <c r="I76" s="30" t="n">
        <f aca="false">I75-C13*(E76/(1-C14^B76))/(SQRT(G76/(1-C15^B76))+0.00000001)</f>
        <v>0.174838622964443</v>
      </c>
      <c r="J76" s="30" t="n">
        <f aca="false">J75-C13*(F76/(1-C14^B76))/(SQRT(H76/(1-C15^B76))+0.00000001)</f>
        <v>0.181315678827851</v>
      </c>
      <c r="K76" s="53" t="n">
        <f aca="false">I76^2+10*J76^2</f>
        <v>0.359322297968146</v>
      </c>
      <c r="L76" s="30" t="n">
        <f aca="false">ABS(I76-I75)</f>
        <v>0.0813641478120946</v>
      </c>
      <c r="M76" s="30" t="n">
        <f aca="false">ABS(J76-J75)</f>
        <v>0.0184275362329047</v>
      </c>
    </row>
    <row r="77" customFormat="false" ht="15" hidden="false" customHeight="false" outlineLevel="0" collapsed="false">
      <c r="B77" s="29" t="n">
        <v>27</v>
      </c>
      <c r="C77" s="30" t="n">
        <f aca="false">2*I76</f>
        <v>0.349677245928886</v>
      </c>
      <c r="D77" s="30" t="n">
        <f aca="false">20*J76</f>
        <v>3.62631357655702</v>
      </c>
      <c r="E77" s="30" t="n">
        <f aca="false">C14*E76+(1-C14)*C77</f>
        <v>-1.42412586703354</v>
      </c>
      <c r="F77" s="30" t="n">
        <f aca="false">C14*F76+(1-C14)*D77</f>
        <v>0.92904320643729</v>
      </c>
      <c r="G77" s="30" t="n">
        <f aca="false">C15*G76+(1-C15)*C77^2</f>
        <v>0.465719185936578</v>
      </c>
      <c r="H77" s="30" t="n">
        <f aca="false">C15*H76+(1-C15)*D77^2</f>
        <v>1.38100515567974</v>
      </c>
      <c r="I77" s="30" t="n">
        <f aca="false">I76-C13*(E77/(1-C14^B77))/(SQRT(G77/(1-C15^B77))+0.00000001)</f>
        <v>0.247181968694075</v>
      </c>
      <c r="J77" s="30" t="n">
        <f aca="false">J76-C13*(F77/(1-C14^B77))/(SQRT(H77/(1-C15^B77))+0.00000001)</f>
        <v>0.153909370297898</v>
      </c>
      <c r="K77" s="53" t="n">
        <f aca="false">I77^2+10*J77^2</f>
        <v>0.297979868302433</v>
      </c>
      <c r="L77" s="30" t="n">
        <f aca="false">ABS(I77-I76)</f>
        <v>0.0723433457296317</v>
      </c>
      <c r="M77" s="30" t="n">
        <f aca="false">ABS(J77-J76)</f>
        <v>0.027406308529953</v>
      </c>
    </row>
    <row r="78" customFormat="false" ht="15" hidden="false" customHeight="false" outlineLevel="0" collapsed="false">
      <c r="B78" s="29" t="n">
        <v>28</v>
      </c>
      <c r="C78" s="30" t="n">
        <f aca="false">2*I77</f>
        <v>0.494363937388149</v>
      </c>
      <c r="D78" s="30" t="n">
        <f aca="false">20*J77</f>
        <v>3.07818740595796</v>
      </c>
      <c r="E78" s="30" t="n">
        <f aca="false">C14*E77+(1-C14)*C78</f>
        <v>-1.23227688659137</v>
      </c>
      <c r="F78" s="30" t="n">
        <f aca="false">C14*F77+(1-C14)*D78</f>
        <v>1.14395762638936</v>
      </c>
      <c r="G78" s="30" t="n">
        <f aca="false">C15*G77+(1-C15)*C78^2</f>
        <v>0.465497862453232</v>
      </c>
      <c r="H78" s="30" t="n">
        <f aca="false">C15*H77+(1-C15)*D78^2</f>
        <v>1.38909938823026</v>
      </c>
      <c r="I78" s="30" t="n">
        <f aca="false">I77-C13*(E78/(1-C14^B78))/(SQRT(G78/(1-C15^B78))+0.00000001)</f>
        <v>0.310536495968707</v>
      </c>
      <c r="J78" s="30" t="n">
        <f aca="false">J77-C13*(F78/(1-C14^B78))/(SQRT(H78/(1-C15^B78))+0.00000001)</f>
        <v>0.119862948443433</v>
      </c>
      <c r="K78" s="53" t="n">
        <f aca="false">I78^2+10*J78^2</f>
        <v>0.240104179424054</v>
      </c>
      <c r="L78" s="30" t="n">
        <f aca="false">ABS(I78-I77)</f>
        <v>0.0633545272746319</v>
      </c>
      <c r="M78" s="30" t="n">
        <f aca="false">ABS(J78-J77)</f>
        <v>0.0340464218544646</v>
      </c>
    </row>
    <row r="79" customFormat="false" ht="15" hidden="false" customHeight="false" outlineLevel="0" collapsed="false">
      <c r="B79" s="29" t="n">
        <v>29</v>
      </c>
      <c r="C79" s="30" t="n">
        <f aca="false">2*I78</f>
        <v>0.621072991937413</v>
      </c>
      <c r="D79" s="30" t="n">
        <f aca="false">20*J78</f>
        <v>2.39725896886866</v>
      </c>
      <c r="E79" s="30" t="n">
        <f aca="false">C14*E78+(1-C14)*C79</f>
        <v>-1.04694189873849</v>
      </c>
      <c r="F79" s="30" t="n">
        <f aca="false">C14*F78+(1-C14)*D79</f>
        <v>1.26928776063729</v>
      </c>
      <c r="G79" s="30" t="n">
        <f aca="false">C15*G78+(1-C15)*C79^2</f>
        <v>0.465418096252093</v>
      </c>
      <c r="H79" s="30" t="n">
        <f aca="false">C15*H78+(1-C15)*D79^2</f>
        <v>1.39345713940585</v>
      </c>
      <c r="I79" s="30" t="n">
        <f aca="false">I78-C13*(E79/(1-C14^B79))/(SQRT(G79/(1-C15^B79))+0.00000001)</f>
        <v>0.365005473932256</v>
      </c>
      <c r="J79" s="30" t="n">
        <f aca="false">J78-C13*(F79/(1-C14^B79))/(SQRT(H79/(1-C15^B79))+0.00000001)</f>
        <v>0.0816982738589997</v>
      </c>
      <c r="K79" s="53" t="n">
        <f aca="false">I79^2+10*J79^2</f>
        <v>0.199975075515912</v>
      </c>
      <c r="L79" s="30" t="n">
        <f aca="false">ABS(I79-I78)</f>
        <v>0.0544689779635493</v>
      </c>
      <c r="M79" s="30" t="n">
        <f aca="false">ABS(J79-J78)</f>
        <v>0.0381646745844334</v>
      </c>
    </row>
    <row r="80" customFormat="false" ht="15" hidden="false" customHeight="false" outlineLevel="0" collapsed="false">
      <c r="B80" s="29" t="n">
        <v>30</v>
      </c>
      <c r="C80" s="30" t="n">
        <f aca="false">2*I79</f>
        <v>0.730010947864512</v>
      </c>
      <c r="D80" s="30" t="n">
        <f aca="false">20*J79</f>
        <v>1.63396547717999</v>
      </c>
      <c r="E80" s="30" t="n">
        <f aca="false">C14*E79+(1-C14)*C80</f>
        <v>-0.869246614078194</v>
      </c>
      <c r="F80" s="30" t="n">
        <f aca="false">C14*F79+(1-C14)*D80</f>
        <v>1.30575553229156</v>
      </c>
      <c r="G80" s="30" t="n">
        <f aca="false">C15*G79+(1-C15)*C80^2</f>
        <v>0.465485594139843</v>
      </c>
      <c r="H80" s="30" t="n">
        <f aca="false">C15*H79+(1-C15)*D80^2</f>
        <v>1.39473352544706</v>
      </c>
      <c r="I80" s="30" t="n">
        <f aca="false">I79-C13*(E80/(1-C14^B80))/(SQRT(G80/(1-C15^B80))+0.00000001)</f>
        <v>0.410761709951828</v>
      </c>
      <c r="J80" s="30" t="n">
        <f aca="false">J79-C13*(F80/(1-C14^B80))/(SQRT(H80/(1-C15^B80))+0.00000001)</f>
        <v>0.0419903974737996</v>
      </c>
      <c r="K80" s="53" t="n">
        <f aca="false">I80^2+10*J80^2</f>
        <v>0.186357117162626</v>
      </c>
      <c r="L80" s="30" t="n">
        <f aca="false">ABS(I80-I79)</f>
        <v>0.045756236019572</v>
      </c>
      <c r="M80" s="30" t="n">
        <f aca="false">ABS(J80-J79)</f>
        <v>0.0397078763852001</v>
      </c>
    </row>
    <row r="99" customFormat="false" ht="15.75" hidden="false" customHeight="true" outlineLevel="0" collapsed="false">
      <c r="B99" s="22" t="s">
        <v>567</v>
      </c>
      <c r="C99" s="30" t="n">
        <f aca="false">E37</f>
        <v>0.236494127062953</v>
      </c>
    </row>
    <row r="100" customFormat="false" ht="17.25" hidden="false" customHeight="true" outlineLevel="0" collapsed="false">
      <c r="B100" s="22" t="s">
        <v>568</v>
      </c>
      <c r="C100" s="31" t="n">
        <f aca="false">J37</f>
        <v>9.53430262001396E-006</v>
      </c>
      <c r="D100" s="38" t="s">
        <v>569</v>
      </c>
      <c r="E100" s="38"/>
      <c r="F100" s="38"/>
      <c r="G100" s="38"/>
      <c r="H100" s="38"/>
      <c r="I100" s="38"/>
      <c r="J100" s="38"/>
      <c r="K100" s="38"/>
      <c r="L100" s="38"/>
      <c r="M100" s="38"/>
      <c r="N100" s="38"/>
    </row>
    <row r="101" customFormat="false" ht="15.75" hidden="false" customHeight="true" outlineLevel="0" collapsed="false">
      <c r="B101" s="22" t="s">
        <v>570</v>
      </c>
      <c r="C101" s="30" t="n">
        <f aca="false">K70</f>
        <v>0.311097434105768</v>
      </c>
    </row>
    <row r="102" customFormat="false" ht="46.5" hidden="false" customHeight="true" outlineLevel="0" collapsed="false">
      <c r="B102" s="5" t="s">
        <v>571</v>
      </c>
      <c r="C102" s="5"/>
      <c r="D102" s="5"/>
      <c r="E102" s="5"/>
      <c r="F102" s="5"/>
      <c r="G102" s="5"/>
      <c r="H102" s="5"/>
      <c r="I102" s="5"/>
      <c r="J102" s="5"/>
      <c r="K102" s="5"/>
      <c r="L102" s="5"/>
      <c r="M102" s="5"/>
      <c r="N102" s="5"/>
    </row>
    <row r="103" customFormat="false" ht="18.75" hidden="false" customHeight="true" outlineLevel="0" collapsed="false">
      <c r="B103" s="33" t="s">
        <v>98</v>
      </c>
      <c r="C103" s="33"/>
      <c r="D103" s="33"/>
      <c r="E103" s="33"/>
      <c r="F103" s="33"/>
      <c r="G103" s="33"/>
      <c r="H103" s="33"/>
      <c r="I103" s="33"/>
      <c r="J103" s="33"/>
      <c r="K103" s="33"/>
      <c r="L103" s="33"/>
      <c r="M103" s="33"/>
      <c r="N103" s="33"/>
    </row>
    <row r="104" customFormat="false" ht="17.25" hidden="false" customHeight="true" outlineLevel="0" collapsed="false">
      <c r="B104" s="34" t="s">
        <v>572</v>
      </c>
      <c r="C104" s="34"/>
      <c r="D104" s="34"/>
      <c r="E104" s="34"/>
      <c r="F104" s="34"/>
      <c r="G104" s="34"/>
      <c r="H104" s="34"/>
      <c r="I104" s="34"/>
      <c r="J104" s="34"/>
      <c r="K104" s="34"/>
      <c r="L104" s="34"/>
      <c r="M104" s="34"/>
      <c r="N104" s="34"/>
    </row>
    <row r="105" customFormat="false" ht="17.25" hidden="false" customHeight="true" outlineLevel="0" collapsed="false">
      <c r="B105" s="35" t="s">
        <v>573</v>
      </c>
      <c r="C105" s="35"/>
      <c r="D105" s="35"/>
      <c r="E105" s="35"/>
      <c r="F105" s="35"/>
      <c r="G105" s="35"/>
      <c r="H105" s="35"/>
      <c r="I105" s="35"/>
      <c r="J105" s="35"/>
      <c r="K105" s="35"/>
      <c r="L105" s="35"/>
      <c r="M105" s="35"/>
      <c r="N105" s="35"/>
    </row>
    <row r="106" customFormat="false" ht="17.25" hidden="false" customHeight="true" outlineLevel="0" collapsed="false">
      <c r="B106" s="34" t="s">
        <v>574</v>
      </c>
      <c r="C106" s="34"/>
      <c r="D106" s="34"/>
      <c r="E106" s="34"/>
      <c r="F106" s="34"/>
      <c r="G106" s="34"/>
      <c r="H106" s="34"/>
      <c r="I106" s="34"/>
      <c r="J106" s="34"/>
      <c r="K106" s="34"/>
      <c r="L106" s="34"/>
      <c r="M106" s="34"/>
      <c r="N106" s="34"/>
    </row>
    <row r="107" customFormat="false" ht="17.25" hidden="false" customHeight="true" outlineLevel="0" collapsed="false">
      <c r="B107" s="35" t="s">
        <v>575</v>
      </c>
      <c r="C107" s="35"/>
      <c r="D107" s="35"/>
      <c r="E107" s="35"/>
      <c r="F107" s="35"/>
      <c r="G107" s="35"/>
      <c r="H107" s="35"/>
      <c r="I107" s="35"/>
      <c r="J107" s="35"/>
      <c r="K107" s="35"/>
      <c r="L107" s="35"/>
      <c r="M107" s="35"/>
      <c r="N107" s="35"/>
    </row>
  </sheetData>
  <mergeCells count="20">
    <mergeCell ref="B1:N1"/>
    <mergeCell ref="B2:N2"/>
    <mergeCell ref="B4:N4"/>
    <mergeCell ref="B5:C5"/>
    <mergeCell ref="D5:N5"/>
    <mergeCell ref="B6:C6"/>
    <mergeCell ref="D6:N6"/>
    <mergeCell ref="B7:C7"/>
    <mergeCell ref="D7:N7"/>
    <mergeCell ref="B8:C8"/>
    <mergeCell ref="D8:N8"/>
    <mergeCell ref="B9:N9"/>
    <mergeCell ref="B10:N10"/>
    <mergeCell ref="D100:N100"/>
    <mergeCell ref="B102:N102"/>
    <mergeCell ref="B103:N103"/>
    <mergeCell ref="B104:N104"/>
    <mergeCell ref="B105:N105"/>
    <mergeCell ref="B106:N106"/>
    <mergeCell ref="B107:N10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B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29" min="3" style="0" width="11.5"/>
  </cols>
  <sheetData>
    <row r="1" customFormat="false" ht="30" hidden="false" customHeight="true" outlineLevel="0" collapsed="false">
      <c r="B1" s="1" t="s">
        <v>576</v>
      </c>
      <c r="C1" s="1"/>
      <c r="D1" s="1"/>
      <c r="E1" s="1"/>
      <c r="F1" s="1"/>
      <c r="G1" s="1"/>
      <c r="H1" s="1"/>
      <c r="I1" s="1"/>
      <c r="J1" s="1"/>
      <c r="K1" s="1"/>
      <c r="L1" s="1"/>
      <c r="M1" s="1"/>
      <c r="N1" s="1"/>
    </row>
    <row r="2" customFormat="false" ht="17.25" hidden="false" customHeight="true" outlineLevel="0" collapsed="false">
      <c r="B2" s="2" t="s">
        <v>577</v>
      </c>
      <c r="C2" s="2"/>
      <c r="D2" s="2"/>
      <c r="E2" s="2"/>
      <c r="F2" s="2"/>
      <c r="G2" s="2"/>
      <c r="H2" s="2"/>
      <c r="I2" s="2"/>
      <c r="J2" s="2"/>
      <c r="K2" s="2"/>
      <c r="L2" s="2"/>
      <c r="M2" s="2"/>
      <c r="N2" s="2"/>
    </row>
    <row r="4" customFormat="false" ht="21.75" hidden="false" customHeight="true" outlineLevel="0" collapsed="false">
      <c r="B4" s="4" t="s">
        <v>578</v>
      </c>
      <c r="C4" s="4"/>
      <c r="D4" s="4"/>
      <c r="E4" s="4"/>
      <c r="F4" s="4"/>
      <c r="G4" s="4"/>
      <c r="H4" s="4"/>
      <c r="I4" s="4"/>
      <c r="J4" s="4"/>
      <c r="K4" s="4"/>
      <c r="L4" s="4"/>
      <c r="M4" s="4"/>
      <c r="N4" s="4"/>
    </row>
    <row r="5" customFormat="false" ht="17.25" hidden="false" customHeight="true" outlineLevel="0" collapsed="false">
      <c r="B5" s="10" t="s">
        <v>579</v>
      </c>
      <c r="C5" s="10"/>
      <c r="D5" s="10"/>
      <c r="E5" s="10"/>
      <c r="F5" s="10" t="s">
        <v>580</v>
      </c>
      <c r="G5" s="10"/>
      <c r="H5" s="10"/>
      <c r="I5" s="10"/>
      <c r="J5" s="10"/>
      <c r="K5" s="10" t="s">
        <v>581</v>
      </c>
      <c r="L5" s="10"/>
      <c r="M5" s="10" t="s">
        <v>582</v>
      </c>
      <c r="N5" s="10"/>
    </row>
    <row r="6" customFormat="false" ht="17.25" hidden="false" customHeight="true" outlineLevel="0" collapsed="false">
      <c r="B6" s="18" t="s">
        <v>583</v>
      </c>
      <c r="C6" s="18"/>
      <c r="D6" s="18"/>
      <c r="E6" s="18"/>
      <c r="F6" s="12" t="s">
        <v>584</v>
      </c>
      <c r="G6" s="12"/>
      <c r="H6" s="12"/>
      <c r="I6" s="12"/>
      <c r="J6" s="12"/>
      <c r="K6" s="12" t="s">
        <v>585</v>
      </c>
      <c r="L6" s="12"/>
      <c r="M6" s="12" t="s">
        <v>586</v>
      </c>
      <c r="N6" s="12"/>
    </row>
    <row r="7" customFormat="false" ht="17.25" hidden="false" customHeight="true" outlineLevel="0" collapsed="false">
      <c r="B7" s="9" t="s">
        <v>587</v>
      </c>
      <c r="C7" s="9"/>
      <c r="D7" s="9"/>
      <c r="E7" s="9"/>
      <c r="F7" s="15" t="s">
        <v>588</v>
      </c>
      <c r="G7" s="15"/>
      <c r="H7" s="15"/>
      <c r="I7" s="15"/>
      <c r="J7" s="15"/>
      <c r="K7" s="15" t="s">
        <v>589</v>
      </c>
      <c r="L7" s="15"/>
      <c r="M7" s="15" t="s">
        <v>46</v>
      </c>
      <c r="N7" s="15"/>
    </row>
    <row r="8" customFormat="false" ht="17.25" hidden="false" customHeight="true" outlineLevel="0" collapsed="false">
      <c r="B8" s="18" t="s">
        <v>590</v>
      </c>
      <c r="C8" s="18"/>
      <c r="D8" s="18"/>
      <c r="E8" s="18"/>
      <c r="F8" s="12" t="s">
        <v>591</v>
      </c>
      <c r="G8" s="12"/>
      <c r="H8" s="12"/>
      <c r="I8" s="12"/>
      <c r="J8" s="12"/>
      <c r="K8" s="12" t="s">
        <v>472</v>
      </c>
      <c r="L8" s="12"/>
      <c r="M8" s="12" t="s">
        <v>525</v>
      </c>
      <c r="N8" s="12"/>
    </row>
    <row r="9" customFormat="false" ht="17.25" hidden="false" customHeight="true" outlineLevel="0" collapsed="false">
      <c r="B9" s="9" t="s">
        <v>592</v>
      </c>
      <c r="C9" s="9"/>
      <c r="D9" s="9"/>
      <c r="E9" s="9"/>
      <c r="F9" s="15" t="s">
        <v>593</v>
      </c>
      <c r="G9" s="15"/>
      <c r="H9" s="15"/>
      <c r="I9" s="15"/>
      <c r="J9" s="15"/>
      <c r="K9" s="15" t="s">
        <v>594</v>
      </c>
      <c r="L9" s="15"/>
      <c r="M9" s="15" t="s">
        <v>525</v>
      </c>
      <c r="N9" s="15"/>
    </row>
    <row r="10" customFormat="false" ht="17.25" hidden="false" customHeight="true" outlineLevel="0" collapsed="false">
      <c r="B10" s="18" t="s">
        <v>595</v>
      </c>
      <c r="C10" s="18"/>
      <c r="D10" s="18"/>
      <c r="E10" s="18"/>
      <c r="F10" s="12" t="s">
        <v>596</v>
      </c>
      <c r="G10" s="12"/>
      <c r="H10" s="12"/>
      <c r="I10" s="12"/>
      <c r="J10" s="12"/>
      <c r="K10" s="12" t="s">
        <v>471</v>
      </c>
      <c r="L10" s="12"/>
      <c r="M10" s="12" t="s">
        <v>471</v>
      </c>
      <c r="N10" s="12"/>
    </row>
    <row r="11" customFormat="false" ht="17.25" hidden="false" customHeight="true" outlineLevel="0" collapsed="false">
      <c r="B11" s="9" t="s">
        <v>597</v>
      </c>
      <c r="C11" s="9"/>
      <c r="D11" s="9"/>
      <c r="E11" s="9"/>
      <c r="F11" s="15" t="s">
        <v>598</v>
      </c>
      <c r="G11" s="15"/>
      <c r="H11" s="15"/>
      <c r="I11" s="15"/>
      <c r="J11" s="15"/>
      <c r="K11" s="15" t="s">
        <v>471</v>
      </c>
      <c r="L11" s="15"/>
      <c r="M11" s="15" t="s">
        <v>522</v>
      </c>
      <c r="N11" s="15"/>
    </row>
    <row r="12" customFormat="false" ht="17.25" hidden="false" customHeight="true" outlineLevel="0" collapsed="false">
      <c r="B12" s="18" t="s">
        <v>599</v>
      </c>
      <c r="C12" s="18"/>
      <c r="D12" s="18"/>
      <c r="E12" s="18"/>
      <c r="F12" s="12" t="s">
        <v>600</v>
      </c>
      <c r="G12" s="12"/>
      <c r="H12" s="12"/>
      <c r="I12" s="12"/>
      <c r="J12" s="12"/>
      <c r="K12" s="12" t="s">
        <v>46</v>
      </c>
      <c r="L12" s="12"/>
      <c r="M12" s="12" t="s">
        <v>601</v>
      </c>
      <c r="N12" s="12"/>
    </row>
    <row r="13" customFormat="false" ht="17.25" hidden="false" customHeight="true" outlineLevel="0" collapsed="false">
      <c r="B13" s="9" t="s">
        <v>602</v>
      </c>
      <c r="C13" s="9"/>
      <c r="D13" s="9"/>
      <c r="E13" s="9"/>
      <c r="F13" s="15" t="s">
        <v>603</v>
      </c>
      <c r="G13" s="15"/>
      <c r="H13" s="15"/>
      <c r="I13" s="15"/>
      <c r="J13" s="15"/>
      <c r="K13" s="15" t="s">
        <v>604</v>
      </c>
      <c r="L13" s="15"/>
      <c r="M13" s="15" t="s">
        <v>525</v>
      </c>
      <c r="N13" s="15"/>
    </row>
    <row r="14" customFormat="false" ht="21.75" hidden="false" customHeight="true" outlineLevel="0" collapsed="false">
      <c r="B14" s="4" t="s">
        <v>605</v>
      </c>
      <c r="C14" s="4"/>
      <c r="D14" s="4"/>
      <c r="E14" s="4"/>
      <c r="F14" s="4"/>
      <c r="G14" s="4"/>
      <c r="H14" s="4"/>
      <c r="I14" s="4"/>
      <c r="J14" s="4"/>
      <c r="K14" s="4"/>
      <c r="L14" s="4"/>
      <c r="M14" s="4"/>
      <c r="N14" s="4"/>
    </row>
    <row r="15" customFormat="false" ht="17.25" hidden="false" customHeight="true" outlineLevel="0" collapsed="false">
      <c r="B15" s="10" t="s">
        <v>606</v>
      </c>
      <c r="C15" s="10"/>
      <c r="D15" s="10"/>
      <c r="E15" s="10" t="s">
        <v>607</v>
      </c>
      <c r="F15" s="10"/>
      <c r="G15" s="10"/>
      <c r="H15" s="10"/>
      <c r="I15" s="10"/>
      <c r="J15" s="10"/>
      <c r="K15" s="10"/>
      <c r="L15" s="10"/>
      <c r="M15" s="10" t="s">
        <v>16</v>
      </c>
      <c r="N15" s="10"/>
    </row>
    <row r="16" customFormat="false" ht="17.25" hidden="false" customHeight="true" outlineLevel="0" collapsed="false">
      <c r="B16" s="18" t="s">
        <v>608</v>
      </c>
      <c r="C16" s="18"/>
      <c r="D16" s="18"/>
      <c r="E16" s="12" t="s">
        <v>609</v>
      </c>
      <c r="F16" s="12"/>
      <c r="G16" s="12"/>
      <c r="H16" s="12"/>
      <c r="I16" s="12"/>
      <c r="J16" s="12"/>
      <c r="K16" s="12"/>
      <c r="L16" s="12"/>
      <c r="M16" s="12" t="s">
        <v>610</v>
      </c>
      <c r="N16" s="12"/>
    </row>
    <row r="17" customFormat="false" ht="17.25" hidden="false" customHeight="true" outlineLevel="0" collapsed="false">
      <c r="B17" s="9" t="s">
        <v>611</v>
      </c>
      <c r="C17" s="9"/>
      <c r="D17" s="9"/>
      <c r="E17" s="15" t="s">
        <v>612</v>
      </c>
      <c r="F17" s="15"/>
      <c r="G17" s="15"/>
      <c r="H17" s="15"/>
      <c r="I17" s="15"/>
      <c r="J17" s="15"/>
      <c r="K17" s="15"/>
      <c r="L17" s="15"/>
      <c r="M17" s="15" t="s">
        <v>604</v>
      </c>
      <c r="N17" s="15"/>
    </row>
    <row r="18" customFormat="false" ht="17.25" hidden="false" customHeight="true" outlineLevel="0" collapsed="false">
      <c r="B18" s="18" t="s">
        <v>613</v>
      </c>
      <c r="C18" s="18"/>
      <c r="D18" s="18"/>
      <c r="E18" s="12" t="s">
        <v>614</v>
      </c>
      <c r="F18" s="12"/>
      <c r="G18" s="12"/>
      <c r="H18" s="12"/>
      <c r="I18" s="12"/>
      <c r="J18" s="12"/>
      <c r="K18" s="12"/>
      <c r="L18" s="12"/>
      <c r="M18" s="12" t="s">
        <v>615</v>
      </c>
      <c r="N18" s="12"/>
    </row>
    <row r="19" customFormat="false" ht="17.25" hidden="false" customHeight="true" outlineLevel="0" collapsed="false">
      <c r="B19" s="9" t="s">
        <v>616</v>
      </c>
      <c r="C19" s="9"/>
      <c r="D19" s="9"/>
      <c r="E19" s="15" t="s">
        <v>617</v>
      </c>
      <c r="F19" s="15"/>
      <c r="G19" s="15"/>
      <c r="H19" s="15"/>
      <c r="I19" s="15"/>
      <c r="J19" s="15"/>
      <c r="K19" s="15"/>
      <c r="L19" s="15"/>
      <c r="M19" s="15" t="s">
        <v>615</v>
      </c>
      <c r="N19" s="15"/>
    </row>
    <row r="20" customFormat="false" ht="17.25" hidden="false" customHeight="true" outlineLevel="0" collapsed="false">
      <c r="B20" s="18" t="s">
        <v>618</v>
      </c>
      <c r="C20" s="18"/>
      <c r="D20" s="18"/>
      <c r="E20" s="12" t="s">
        <v>619</v>
      </c>
      <c r="F20" s="12"/>
      <c r="G20" s="12"/>
      <c r="H20" s="12"/>
      <c r="I20" s="12"/>
      <c r="J20" s="12"/>
      <c r="K20" s="12"/>
      <c r="L20" s="12"/>
      <c r="M20" s="12" t="s">
        <v>585</v>
      </c>
      <c r="N20" s="12"/>
    </row>
    <row r="21" customFormat="false" ht="17.25" hidden="false" customHeight="true" outlineLevel="0" collapsed="false">
      <c r="B21" s="9" t="s">
        <v>620</v>
      </c>
      <c r="C21" s="9"/>
      <c r="D21" s="9"/>
      <c r="E21" s="15" t="s">
        <v>621</v>
      </c>
      <c r="F21" s="15"/>
      <c r="G21" s="15"/>
      <c r="H21" s="15"/>
      <c r="I21" s="15"/>
      <c r="J21" s="15"/>
      <c r="K21" s="15"/>
      <c r="L21" s="15"/>
      <c r="M21" s="15" t="s">
        <v>622</v>
      </c>
      <c r="N21" s="15"/>
    </row>
    <row r="22" customFormat="false" ht="17.25" hidden="false" customHeight="true" outlineLevel="0" collapsed="false">
      <c r="B22" s="18" t="s">
        <v>623</v>
      </c>
      <c r="C22" s="18"/>
      <c r="D22" s="18"/>
      <c r="E22" s="12" t="s">
        <v>624</v>
      </c>
      <c r="F22" s="12"/>
      <c r="G22" s="12"/>
      <c r="H22" s="12"/>
      <c r="I22" s="12"/>
      <c r="J22" s="12"/>
      <c r="K22" s="12"/>
      <c r="L22" s="12"/>
      <c r="M22" s="12" t="s">
        <v>604</v>
      </c>
      <c r="N22" s="12"/>
    </row>
    <row r="23" customFormat="false" ht="17.25" hidden="false" customHeight="true" outlineLevel="0" collapsed="false">
      <c r="B23" s="9" t="s">
        <v>625</v>
      </c>
      <c r="C23" s="9"/>
      <c r="D23" s="9"/>
      <c r="E23" s="15" t="s">
        <v>626</v>
      </c>
      <c r="F23" s="15"/>
      <c r="G23" s="15"/>
      <c r="H23" s="15"/>
      <c r="I23" s="15"/>
      <c r="J23" s="15"/>
      <c r="K23" s="15"/>
      <c r="L23" s="15"/>
      <c r="M23" s="15" t="s">
        <v>627</v>
      </c>
      <c r="N23" s="15"/>
    </row>
    <row r="24" customFormat="false" ht="17.25" hidden="false" customHeight="true" outlineLevel="0" collapsed="false">
      <c r="B24" s="18" t="s">
        <v>628</v>
      </c>
      <c r="C24" s="18"/>
      <c r="D24" s="18"/>
      <c r="E24" s="12" t="s">
        <v>629</v>
      </c>
      <c r="F24" s="12"/>
      <c r="G24" s="12"/>
      <c r="H24" s="12"/>
      <c r="I24" s="12"/>
      <c r="J24" s="12"/>
      <c r="K24" s="12"/>
      <c r="L24" s="12"/>
      <c r="M24" s="12" t="s">
        <v>471</v>
      </c>
      <c r="N24" s="12"/>
    </row>
    <row r="25" customFormat="false" ht="17.25" hidden="false" customHeight="true" outlineLevel="0" collapsed="false">
      <c r="B25" s="9" t="s">
        <v>630</v>
      </c>
      <c r="C25" s="9"/>
      <c r="D25" s="9"/>
      <c r="E25" s="15" t="s">
        <v>631</v>
      </c>
      <c r="F25" s="15"/>
      <c r="G25" s="15"/>
      <c r="H25" s="15"/>
      <c r="I25" s="15"/>
      <c r="J25" s="15"/>
      <c r="K25" s="15"/>
      <c r="L25" s="15"/>
      <c r="M25" s="15" t="s">
        <v>622</v>
      </c>
      <c r="N25" s="15"/>
    </row>
    <row r="26" customFormat="false" ht="17.25" hidden="false" customHeight="true" outlineLevel="0" collapsed="false">
      <c r="B26" s="18" t="s">
        <v>632</v>
      </c>
      <c r="C26" s="18"/>
      <c r="D26" s="18"/>
      <c r="E26" s="12" t="s">
        <v>633</v>
      </c>
      <c r="F26" s="12"/>
      <c r="G26" s="12"/>
      <c r="H26" s="12"/>
      <c r="I26" s="12"/>
      <c r="J26" s="12"/>
      <c r="K26" s="12"/>
      <c r="L26" s="12"/>
      <c r="M26" s="12" t="s">
        <v>627</v>
      </c>
      <c r="N26" s="12"/>
    </row>
    <row r="27" customFormat="false" ht="17.25" hidden="false" customHeight="true" outlineLevel="0" collapsed="false">
      <c r="B27" s="9" t="s">
        <v>634</v>
      </c>
      <c r="C27" s="9"/>
      <c r="D27" s="9"/>
      <c r="E27" s="15" t="s">
        <v>635</v>
      </c>
      <c r="F27" s="15"/>
      <c r="G27" s="15"/>
      <c r="H27" s="15"/>
      <c r="I27" s="15"/>
      <c r="J27" s="15"/>
      <c r="K27" s="15"/>
      <c r="L27" s="15"/>
      <c r="M27" s="15" t="s">
        <v>594</v>
      </c>
      <c r="N27" s="15"/>
    </row>
    <row r="28" customFormat="false" ht="17.25" hidden="false" customHeight="true" outlineLevel="0" collapsed="false">
      <c r="B28" s="18" t="s">
        <v>636</v>
      </c>
      <c r="C28" s="18"/>
      <c r="D28" s="18"/>
      <c r="E28" s="12" t="s">
        <v>637</v>
      </c>
      <c r="F28" s="12"/>
      <c r="G28" s="12"/>
      <c r="H28" s="12"/>
      <c r="I28" s="12"/>
      <c r="J28" s="12"/>
      <c r="K28" s="12"/>
      <c r="L28" s="12"/>
      <c r="M28" s="12" t="s">
        <v>594</v>
      </c>
      <c r="N28" s="12"/>
    </row>
    <row r="29" customFormat="false" ht="17.25" hidden="false" customHeight="true" outlineLevel="0" collapsed="false">
      <c r="B29" s="9" t="s">
        <v>59</v>
      </c>
      <c r="C29" s="9"/>
      <c r="D29" s="9"/>
      <c r="E29" s="15" t="s">
        <v>638</v>
      </c>
      <c r="F29" s="15"/>
      <c r="G29" s="15"/>
      <c r="H29" s="15"/>
      <c r="I29" s="15"/>
      <c r="J29" s="15"/>
      <c r="K29" s="15"/>
      <c r="L29" s="15"/>
      <c r="M29" s="15" t="s">
        <v>61</v>
      </c>
      <c r="N29" s="15"/>
    </row>
    <row r="30" customFormat="false" ht="17.25" hidden="false" customHeight="true" outlineLevel="0" collapsed="false">
      <c r="B30" s="18" t="s">
        <v>537</v>
      </c>
      <c r="C30" s="18"/>
      <c r="D30" s="18"/>
      <c r="E30" s="12" t="s">
        <v>639</v>
      </c>
      <c r="F30" s="12"/>
      <c r="G30" s="12"/>
      <c r="H30" s="12"/>
      <c r="I30" s="12"/>
      <c r="J30" s="12"/>
      <c r="K30" s="12"/>
      <c r="L30" s="12"/>
      <c r="M30" s="12" t="s">
        <v>472</v>
      </c>
      <c r="N30" s="12"/>
    </row>
    <row r="31" customFormat="false" ht="17.25" hidden="false" customHeight="true" outlineLevel="0" collapsed="false">
      <c r="B31" s="9" t="s">
        <v>539</v>
      </c>
      <c r="C31" s="9"/>
      <c r="D31" s="9"/>
      <c r="E31" s="15" t="s">
        <v>640</v>
      </c>
      <c r="F31" s="15"/>
      <c r="G31" s="15"/>
      <c r="H31" s="15"/>
      <c r="I31" s="15"/>
      <c r="J31" s="15"/>
      <c r="K31" s="15"/>
      <c r="L31" s="15"/>
      <c r="M31" s="15" t="s">
        <v>472</v>
      </c>
      <c r="N31" s="15"/>
    </row>
    <row r="32" customFormat="false" ht="17.25" hidden="false" customHeight="true" outlineLevel="0" collapsed="false">
      <c r="B32" s="18" t="s">
        <v>641</v>
      </c>
      <c r="C32" s="18"/>
      <c r="D32" s="18"/>
      <c r="E32" s="12" t="s">
        <v>642</v>
      </c>
      <c r="F32" s="12"/>
      <c r="G32" s="12"/>
      <c r="H32" s="12"/>
      <c r="I32" s="12"/>
      <c r="J32" s="12"/>
      <c r="K32" s="12"/>
      <c r="L32" s="12"/>
      <c r="M32" s="12" t="s">
        <v>622</v>
      </c>
      <c r="N32" s="12"/>
    </row>
    <row r="33" customFormat="false" ht="17.25" hidden="false" customHeight="true" outlineLevel="0" collapsed="false">
      <c r="B33" s="9" t="s">
        <v>643</v>
      </c>
      <c r="C33" s="9"/>
      <c r="D33" s="9"/>
      <c r="E33" s="15" t="s">
        <v>644</v>
      </c>
      <c r="F33" s="15"/>
      <c r="G33" s="15"/>
      <c r="H33" s="15"/>
      <c r="I33" s="15"/>
      <c r="J33" s="15"/>
      <c r="K33" s="15"/>
      <c r="L33" s="15"/>
      <c r="M33" s="15" t="s">
        <v>471</v>
      </c>
      <c r="N33" s="15"/>
    </row>
  </sheetData>
  <mergeCells count="97">
    <mergeCell ref="B1:N1"/>
    <mergeCell ref="B2:N2"/>
    <mergeCell ref="B4:N4"/>
    <mergeCell ref="B5:E5"/>
    <mergeCell ref="F5:J5"/>
    <mergeCell ref="K5:L5"/>
    <mergeCell ref="M5:N5"/>
    <mergeCell ref="B6:E6"/>
    <mergeCell ref="F6:J6"/>
    <mergeCell ref="K6:L6"/>
    <mergeCell ref="M6:N6"/>
    <mergeCell ref="B7:E7"/>
    <mergeCell ref="F7:J7"/>
    <mergeCell ref="K7:L7"/>
    <mergeCell ref="M7:N7"/>
    <mergeCell ref="B8:E8"/>
    <mergeCell ref="F8:J8"/>
    <mergeCell ref="K8:L8"/>
    <mergeCell ref="M8:N8"/>
    <mergeCell ref="B9:E9"/>
    <mergeCell ref="F9:J9"/>
    <mergeCell ref="K9:L9"/>
    <mergeCell ref="M9:N9"/>
    <mergeCell ref="B10:E10"/>
    <mergeCell ref="F10:J10"/>
    <mergeCell ref="K10:L10"/>
    <mergeCell ref="M10:N10"/>
    <mergeCell ref="B11:E11"/>
    <mergeCell ref="F11:J11"/>
    <mergeCell ref="K11:L11"/>
    <mergeCell ref="M11:N11"/>
    <mergeCell ref="B12:E12"/>
    <mergeCell ref="F12:J12"/>
    <mergeCell ref="K12:L12"/>
    <mergeCell ref="M12:N12"/>
    <mergeCell ref="B13:E13"/>
    <mergeCell ref="F13:J13"/>
    <mergeCell ref="K13:L13"/>
    <mergeCell ref="M13:N13"/>
    <mergeCell ref="B14:N14"/>
    <mergeCell ref="B15:D15"/>
    <mergeCell ref="E15:L15"/>
    <mergeCell ref="M15:N15"/>
    <mergeCell ref="B16:D16"/>
    <mergeCell ref="E16:L16"/>
    <mergeCell ref="M16:N16"/>
    <mergeCell ref="B17:D17"/>
    <mergeCell ref="E17:L17"/>
    <mergeCell ref="M17:N17"/>
    <mergeCell ref="B18:D18"/>
    <mergeCell ref="E18:L18"/>
    <mergeCell ref="M18:N18"/>
    <mergeCell ref="B19:D19"/>
    <mergeCell ref="E19:L19"/>
    <mergeCell ref="M19:N19"/>
    <mergeCell ref="B20:D20"/>
    <mergeCell ref="E20:L20"/>
    <mergeCell ref="M20:N20"/>
    <mergeCell ref="B21:D21"/>
    <mergeCell ref="E21:L21"/>
    <mergeCell ref="M21:N21"/>
    <mergeCell ref="B22:D22"/>
    <mergeCell ref="E22:L22"/>
    <mergeCell ref="M22:N22"/>
    <mergeCell ref="B23:D23"/>
    <mergeCell ref="E23:L23"/>
    <mergeCell ref="M23:N23"/>
    <mergeCell ref="B24:D24"/>
    <mergeCell ref="E24:L24"/>
    <mergeCell ref="M24:N24"/>
    <mergeCell ref="B25:D25"/>
    <mergeCell ref="E25:L25"/>
    <mergeCell ref="M25:N25"/>
    <mergeCell ref="B26:D26"/>
    <mergeCell ref="E26:L26"/>
    <mergeCell ref="M26:N26"/>
    <mergeCell ref="B27:D27"/>
    <mergeCell ref="E27:L27"/>
    <mergeCell ref="M27:N27"/>
    <mergeCell ref="B28:D28"/>
    <mergeCell ref="E28:L28"/>
    <mergeCell ref="M28:N28"/>
    <mergeCell ref="B29:D29"/>
    <mergeCell ref="E29:L29"/>
    <mergeCell ref="M29:N29"/>
    <mergeCell ref="B30:D30"/>
    <mergeCell ref="E30:L30"/>
    <mergeCell ref="M30:N30"/>
    <mergeCell ref="B31:D31"/>
    <mergeCell ref="E31:L31"/>
    <mergeCell ref="M31:N31"/>
    <mergeCell ref="B32:D32"/>
    <mergeCell ref="E32:L32"/>
    <mergeCell ref="M32:N32"/>
    <mergeCell ref="B33:D33"/>
    <mergeCell ref="E33:L33"/>
    <mergeCell ref="M33:N3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2026-09-29T05:19:10Z</dcterms:created>
  <dc:creator>openpyxl</dc:creator>
  <dc:description/>
  <dc:language>en-US</dc:language>
  <cp:lastModifiedBy/>
  <dcterms:modified xsi:type="dcterms:W3CDTF">2026-09-29T05:19:13Z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