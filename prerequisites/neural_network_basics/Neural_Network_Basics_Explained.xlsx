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Start Here" sheetId="1" state="visible" r:id="rId3"/>
    <sheet name="01 What Is a Neural Net" sheetId="2" state="visible" r:id="rId4"/>
    <sheet name="02 Vectors and Dot Product" sheetId="3" state="visible" r:id="rId5"/>
    <sheet name="03 Matrices" sheetId="4" state="visible" r:id="rId6"/>
    <sheet name="04 The Neuron" sheetId="5" state="visible" r:id="rId7"/>
    <sheet name="05 Linear Layer" sheetId="6" state="visible" r:id="rId8"/>
    <sheet name="06 Activation Functions" sheetId="7" state="visible" r:id="rId9"/>
    <sheet name="07 Softmax" sheetId="8" state="visible" r:id="rId10"/>
    <sheet name="08 Why Layers (XOR)" sheetId="9" state="visible" r:id="rId11"/>
    <sheet name="09 E2E Fruit Classifier" sheetId="10" state="visible" r:id="rId12"/>
    <sheet name="10 E2E Exam Predictor" sheetId="11" state="visible" r:id="rId13"/>
    <sheet name="11 E2E Bridge to Attention" sheetId="12" state="visible" r:id="rId14"/>
    <sheet name="12 Glossary and Next Step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<sst xmlns="http://schemas.openxmlformats.org/spreadsheetml/2006/main" count="1167" uniqueCount="688">
  <si>
    <t xml:space="preserve">Neural Network Basics — A Teaching Workbook</t>
  </si>
  <si>
    <t xml:space="preserve">Prerequisite companion to 'Attention Is All You Need — A Teaching Workbook'. Covers the forward pass: vectors, neurons, layers, activations and softmax.</t>
  </si>
  <si>
    <t xml:space="preserve">BIG IDEA:  Every part of a Transformer — queries, keys, values, the feed-forward network, the output layer — is built from the few pieces in this workbook: dot products, linear layers, activation functions and softmax.</t>
  </si>
  <si>
    <t xml:space="preserve">How each sheet is organised</t>
  </si>
  <si>
    <t xml:space="preserve">•  BIG IDEA and plain-English explanation with an analogy.</t>
  </si>
  <si>
    <t xml:space="preserve">•  The FORMULA, read symbol by symbol.</t>
  </si>
  <si>
    <t xml:space="preserve">•  EXAMPLE 1 (simplest), every step written out.</t>
  </si>
  <si>
    <t xml:space="preserve">•  EXAMPLE 2+ (moderate).</t>
  </si>
  <si>
    <t xml:space="preserve">•  The last three sheets follow complete networks from input to output, stage by stage.</t>
  </si>
  <si>
    <t xml:space="preserve">Colour legend</t>
  </si>
  <si>
    <t xml:space="preserve">Input — blue on yellow. Type over it; everything downstream recalculates.</t>
  </si>
  <si>
    <t xml:space="preserve">Formula — black. Always computed, never typed.</t>
  </si>
  <si>
    <t xml:space="preserve">Key result — bold on green.</t>
  </si>
  <si>
    <t xml:space="preserve">Show the work</t>
  </si>
  <si>
    <t xml:space="preserve">Grey rows rebuild the arithmetic as live text, e.g. '1×0.5 + 2×1 + 3×0 + 0.5 = 3'.</t>
  </si>
  <si>
    <t xml:space="preserve">Contents (click a sheet name)</t>
  </si>
  <si>
    <t xml:space="preserve">Sheet</t>
  </si>
  <si>
    <t xml:space="preserve">What you'll learn</t>
  </si>
  <si>
    <t xml:space="preserve">Level</t>
  </si>
  <si>
    <t xml:space="preserve">01 What Is a Neural Net</t>
  </si>
  <si>
    <t xml:space="preserve">Inputs, weights, bias, activation, layers, parameters</t>
  </si>
  <si>
    <t xml:space="preserve">★☆☆</t>
  </si>
  <si>
    <t xml:space="preserve">02 Vectors and Dot Product</t>
  </si>
  <si>
    <t xml:space="preserve">Length, angle, cosine; the dot product as weighted voting</t>
  </si>
  <si>
    <t xml:space="preserve">03 Matrices</t>
  </si>
  <si>
    <t xml:space="preserve">Shapes, matrix multiplication, batches, transpose, identity</t>
  </si>
  <si>
    <t xml:space="preserve">04 The Neuron</t>
  </si>
  <si>
    <t xml:space="preserve">z = w·x + b, then activation; logic gates and decision boundaries</t>
  </si>
  <si>
    <t xml:space="preserve">05 Linear Layer</t>
  </si>
  <si>
    <t xml:space="preserve">y = x·W + b; why stacked linear layers collapse; parameter counts</t>
  </si>
  <si>
    <t xml:space="preserve">★★☆</t>
  </si>
  <si>
    <t xml:space="preserve">06 Activation Functions</t>
  </si>
  <si>
    <t xml:space="preserve">Step, sigmoid, tanh, ReLU, GELU — values, slopes, chart</t>
  </si>
  <si>
    <t xml:space="preserve">07 Softmax</t>
  </si>
  <si>
    <t xml:space="preserve">Scores → probabilities; stability, temperature, link to sigmoid</t>
  </si>
  <si>
    <t xml:space="preserve">08 Why Layers (XOR)</t>
  </si>
  <si>
    <t xml:space="preserve">A problem one neuron can't solve, and a 2-layer network that can</t>
  </si>
  <si>
    <t xml:space="preserve">09 E2E Fruit Classifier</t>
  </si>
  <si>
    <t xml:space="preserve">End-to-end: 3 → ReLU(3) → softmax(3), two fruits in detail + a batch</t>
  </si>
  <si>
    <t xml:space="preserve">10 E2E Exam Predictor</t>
  </si>
  <si>
    <t xml:space="preserve">End-to-end: standardise → tanh(2) → sigmoid, two students in detail + a batch</t>
  </si>
  <si>
    <t xml:space="preserve">11 E2E Bridge to Attention</t>
  </si>
  <si>
    <t xml:space="preserve">End-to-end: the same blocks rearranged into attention</t>
  </si>
  <si>
    <t xml:space="preserve">★★★</t>
  </si>
  <si>
    <t xml:space="preserve">12 Glossary and Next Steps</t>
  </si>
  <si>
    <t xml:space="preserve">Terms, and what training adds (loss, gradients, backprop)</t>
  </si>
  <si>
    <t xml:space="preserve">—</t>
  </si>
  <si>
    <t xml:space="preserve">NOTE:  All weights and data are small made-up values chosen so the arithmetic is readable. Real networks learn their weights from data (see sheet 12).</t>
  </si>
  <si>
    <t xml:space="preserve">01 · What Is a Neural Network? — a big adjustable formula</t>
  </si>
  <si>
    <t xml:space="preserve">Foundations for the Transformer: every W_Q, W_K, W_V, W_O and feed-forward layer is one of these building blocks.</t>
  </si>
  <si>
    <t xml:space="preserve">BIG IDEA:  A neural network is a formula that turns input numbers into output numbers. It is built by stacking one simple unit — the neuron: multiply inputs by weights, add them up, add a bias, pass the result through an activation function. 'Learning' means finding the weight values that make the outputs right.</t>
  </si>
  <si>
    <t xml:space="preserve">1. The vocabulary in one picture</t>
  </si>
  <si>
    <t xml:space="preserve">Part</t>
  </si>
  <si>
    <t xml:space="preserve">What it is</t>
  </si>
  <si>
    <t xml:space="preserve">Everyday analogy</t>
  </si>
  <si>
    <t xml:space="preserve">Input x</t>
  </si>
  <si>
    <t xml:space="preserve">The numbers you feed in (features): pixel brightness, word vectors, exam hours…</t>
  </si>
  <si>
    <t xml:space="preserve">The facts on a form</t>
  </si>
  <si>
    <t xml:space="preserve">Weight w</t>
  </si>
  <si>
    <t xml:space="preserve">How much each input matters — can be positive (for) or negative (against)</t>
  </si>
  <si>
    <t xml:space="preserve">How much a judge cares about each fact</t>
  </si>
  <si>
    <t xml:space="preserve">Bias b</t>
  </si>
  <si>
    <t xml:space="preserve">A constant added on — shifts how easily the neuron 'fires'</t>
  </si>
  <si>
    <t xml:space="preserve">The judge's mood before reading</t>
  </si>
  <si>
    <t xml:space="preserve">Weighted sum z</t>
  </si>
  <si>
    <t xml:space="preserve">z = w₁x₁ + w₂x₂ + … + b  (a dot product plus bias)</t>
  </si>
  <si>
    <t xml:space="preserve">The judge's total score</t>
  </si>
  <si>
    <t xml:space="preserve">Activation f(z)</t>
  </si>
  <si>
    <t xml:space="preserve">A simple bend applied to z (ReLU, sigmoid, tanh…)</t>
  </si>
  <si>
    <t xml:space="preserve">Turning the score into a verdict</t>
  </si>
  <si>
    <t xml:space="preserve">Layer</t>
  </si>
  <si>
    <t xml:space="preserve">Many neurons reading the same inputs, side by side</t>
  </si>
  <si>
    <t xml:space="preserve">A panel of judges</t>
  </si>
  <si>
    <t xml:space="preserve">Network</t>
  </si>
  <si>
    <t xml:space="preserve">Layers stacked: each layer's outputs are the next layer's inputs</t>
  </si>
  <si>
    <t xml:space="preserve">Panels passing notes upward</t>
  </si>
  <si>
    <t xml:space="preserve">Forward pass</t>
  </si>
  <si>
    <t xml:space="preserve">Computing the output from the input, layer by layer</t>
  </si>
  <si>
    <t xml:space="preserve">Reading the form start to finish</t>
  </si>
  <si>
    <t xml:space="preserve">Parameters</t>
  </si>
  <si>
    <t xml:space="preserve">All the weights and biases — the numbers learned in training</t>
  </si>
  <si>
    <t xml:space="preserve">The judges' experience</t>
  </si>
  <si>
    <t xml:space="preserve">ANALOGY:  A neural network is like a hiring committee. Each member (neuron) weighs the candidate's facts differently and gives a score; a 'bend' (activation) turns the score into an opinion; the next round of members reads those opinions rather than the raw facts. Training is years of feedback that tunes how much each member trusts each fact.</t>
  </si>
  <si>
    <t xml:space="preserve">NOTE:  Neural networks were loosely inspired by brain cells, but a modern network is best understood as plain arithmetic — multiply, add, bend — repeated at scale. Nothing mysterious happens inside.</t>
  </si>
  <si>
    <t xml:space="preserve">Example 1 (simplest):  a one-neuron 'network' with no activation  —  y = w·x + b</t>
  </si>
  <si>
    <t xml:space="preserve">With one input and no activation, a neuron is just the straight-line formula from school. Change w (slope) and b (intercept) and watch every output move. Learning would mean finding the w and b that fit some data.</t>
  </si>
  <si>
    <t xml:space="preserve">weight w</t>
  </si>
  <si>
    <t xml:space="preserve">slope: how strongly x pushes y</t>
  </si>
  <si>
    <t xml:space="preserve">bias b</t>
  </si>
  <si>
    <t xml:space="preserve">intercept: y when x = 0</t>
  </si>
  <si>
    <t xml:space="preserve">input x</t>
  </si>
  <si>
    <t xml:space="preserve">y = w·x + b</t>
  </si>
  <si>
    <t xml:space="preserve">Example 2 (moderate):  the shape of a small network, and how many numbers it learns</t>
  </si>
  <si>
    <t xml:space="preserve">A network with 3 inputs → a hidden layer of 4 neurons → 2 outputs. Every hidden neuron has one weight per input plus one bias; every output neuron has one weight per hidden neuron plus one bias.</t>
  </si>
  <si>
    <t xml:space="preserve">inputs</t>
  </si>
  <si>
    <t xml:space="preserve">hidden neurons</t>
  </si>
  <si>
    <t xml:space="preserve">outputs</t>
  </si>
  <si>
    <t xml:space="preserve">layer 1 parameters</t>
  </si>
  <si>
    <t xml:space="preserve">inputs × hidden weights + hidden biases</t>
  </si>
  <si>
    <t xml:space="preserve">layer 2 parameters</t>
  </si>
  <si>
    <t xml:space="preserve">hidden × outputs weights + output biases</t>
  </si>
  <si>
    <t xml:space="preserve">total parameters</t>
  </si>
  <si>
    <t xml:space="preserve">For scale: ONE feed-forward block in the Transformer base model (512 → 2048 → 512) has 2,099,712 parameters, and the whole base model about 65 million — but every one of them plays exactly the role of w and b above.</t>
  </si>
  <si>
    <t xml:space="preserve">The flow of one forward pass (read top to bottom)</t>
  </si>
  <si>
    <t xml:space="preserve">Stage</t>
  </si>
  <si>
    <t xml:space="preserve">Size</t>
  </si>
  <si>
    <t xml:space="preserve">What happens</t>
  </si>
  <si>
    <t xml:space="preserve">3 numbers</t>
  </si>
  <si>
    <t xml:space="preserve">the facts</t>
  </si>
  <si>
    <t xml:space="preserve">× W₁ + b₁</t>
  </si>
  <si>
    <t xml:space="preserve">4 numbers</t>
  </si>
  <si>
    <t xml:space="preserve">each hidden neuron scores the facts</t>
  </si>
  <si>
    <t xml:space="preserve">activation</t>
  </si>
  <si>
    <t xml:space="preserve">bend: e.g. ReLU zeroes negatives</t>
  </si>
  <si>
    <t xml:space="preserve">× W₂ + b₂</t>
  </si>
  <si>
    <t xml:space="preserve">2 numbers</t>
  </si>
  <si>
    <t xml:space="preserve">output neurons score the hidden opinions</t>
  </si>
  <si>
    <t xml:space="preserve">output activation</t>
  </si>
  <si>
    <t xml:space="preserve">e.g. softmax → probabilities</t>
  </si>
  <si>
    <t xml:space="preserve">Check yourself</t>
  </si>
  <si>
    <t xml:space="preserve">Q1. What two kinds of numbers does a neuron learn?</t>
  </si>
  <si>
    <t xml:space="preserve">Answer: Weights (one per input) and a bias.</t>
  </si>
  <si>
    <t xml:space="preserve">Q2. What is a forward pass?</t>
  </si>
  <si>
    <t xml:space="preserve">Answer: Computing the output from the input, one layer after another.</t>
  </si>
  <si>
    <t xml:space="preserve">Q3. How many parameters does a layer with 10 inputs and 5 neurons have?</t>
  </si>
  <si>
    <t xml:space="preserve">Answer: 10×5 weights + 5 biases = 55.</t>
  </si>
  <si>
    <t xml:space="preserve">02 · Vectors and the Dot Product — the heartbeat of every neuron</t>
  </si>
  <si>
    <t xml:space="preserve">Used everywhere: a neuron's weighted sum and attention's query·key score are both dot products.</t>
  </si>
  <si>
    <t xml:space="preserve">BIG IDEA:  A vector is a list of numbers describing something. The dot product multiplies two vectors position by position and adds up — one number saying how strongly they 'agree'. Every neuron computes a dot product.</t>
  </si>
  <si>
    <t xml:space="preserve">a · b  =  a₁b₁ + a₂b₂ + … + aₙbₙ        =  |a| × |b| × cos(angle between them)</t>
  </si>
  <si>
    <t xml:space="preserve">Symbol</t>
  </si>
  <si>
    <t xml:space="preserve">What it means in plain English</t>
  </si>
  <si>
    <t xml:space="preserve">Value in the paper</t>
  </si>
  <si>
    <t xml:space="preserve">a, b</t>
  </si>
  <si>
    <t xml:space="preserve">Two vectors of the same length n</t>
  </si>
  <si>
    <t xml:space="preserve">|a|</t>
  </si>
  <si>
    <t xml:space="preserve">Length of a = √(a₁² + a₂² + …)  (Pythagoras)</t>
  </si>
  <si>
    <t xml:space="preserve">cos(θ)</t>
  </si>
  <si>
    <t xml:space="preserve">+1 same direction, 0 at right angles (unrelated), −1 opposite</t>
  </si>
  <si>
    <t xml:space="preserve">cosine similarity</t>
  </si>
  <si>
    <t xml:space="preserve">a·b ÷ (|a||b|): the dot product with size removed</t>
  </si>
  <si>
    <t xml:space="preserve">−1 … +1</t>
  </si>
  <si>
    <t xml:space="preserve">Example 1 (simplest):  three 2-number vectors — same, perpendicular, opposite</t>
  </si>
  <si>
    <t xml:space="preserve">a</t>
  </si>
  <si>
    <t xml:space="preserve">b (same direction)</t>
  </si>
  <si>
    <t xml:space="preserve">c (perpendicular)</t>
  </si>
  <si>
    <t xml:space="preserve">x</t>
  </si>
  <si>
    <t xml:space="preserve">y</t>
  </si>
  <si>
    <t xml:space="preserve">d (opposite)</t>
  </si>
  <si>
    <t xml:space="preserve">√(3² + 4²) = 5, the famous 3-4-5 triangle</t>
  </si>
  <si>
    <t xml:space="preserve">Pair</t>
  </si>
  <si>
    <t xml:space="preserve">Dot product</t>
  </si>
  <si>
    <t xml:space="preserve">Cosine</t>
  </si>
  <si>
    <t xml:space="preserve">Angle (degrees)</t>
  </si>
  <si>
    <t xml:space="preserve">Reading</t>
  </si>
  <si>
    <t xml:space="preserve">a · b</t>
  </si>
  <si>
    <t xml:space="preserve">point the same way → big positive (agree)</t>
  </si>
  <si>
    <t xml:space="preserve">a · c</t>
  </si>
  <si>
    <t xml:space="preserve">at right angles → 0 (unrelated)</t>
  </si>
  <si>
    <t xml:space="preserve">a · d</t>
  </si>
  <si>
    <t xml:space="preserve">point opposite ways → big negative (disagree)</t>
  </si>
  <si>
    <t xml:space="preserve">Example 2 (moderate):  a movie recommender — the dot product as 'weighted voting'</t>
  </si>
  <si>
    <t xml:space="preserve">Describe a viewer's taste and each movie with the same three features [action, romance, comedy]. The dot product multiplies 'how much you like X' by 'how much the movie has X' and adds it up. This is EXACTLY what a neuron does: inputs × weights, summed.</t>
  </si>
  <si>
    <t xml:space="preserve">Viewer taste (the 'weights')</t>
  </si>
  <si>
    <t xml:space="preserve">action</t>
  </si>
  <si>
    <t xml:space="preserve">romance</t>
  </si>
  <si>
    <t xml:space="preserve">comedy</t>
  </si>
  <si>
    <t xml:space="preserve">Movies (the 'inputs')</t>
  </si>
  <si>
    <t xml:space="preserve">score = taste · movie</t>
  </si>
  <si>
    <t xml:space="preserve">rank</t>
  </si>
  <si>
    <t xml:space="preserve">Car Chase 7</t>
  </si>
  <si>
    <t xml:space="preserve">Rainy Paris</t>
  </si>
  <si>
    <t xml:space="preserve">Heist Comedy</t>
  </si>
  <si>
    <t xml:space="preserve">Slow Romance</t>
  </si>
  <si>
    <t xml:space="preserve">The negative 'romance' weight actively pushes romance films down — weights can vote against a feature, not just ignore it.</t>
  </si>
  <si>
    <t xml:space="preserve">TRY IT:  Change the viewer's romance weight from −0.5 to +0.9 and watch the ranking flip.</t>
  </si>
  <si>
    <t xml:space="preserve">NOTE:  In the Transformer, a word's QUERY vector plays the 'taste' role and every other word's KEY vector plays the 'movie' role: attention score = query · key.</t>
  </si>
  <si>
    <t xml:space="preserve">Q1. Compute [1, 2, 3] · [4, 0, −1].</t>
  </si>
  <si>
    <t xml:space="preserve">Answer: 1×4 + 2×0 + 3×(−1) = 1.</t>
  </si>
  <si>
    <t xml:space="preserve">Q2. Two vectors have dot product 0. What does that mean?</t>
  </si>
  <si>
    <t xml:space="preserve">Answer: They are at right angles — unrelated.</t>
  </si>
  <si>
    <t xml:space="preserve">03 · Matrices and Matrix Multiplication — many dot products at once</t>
  </si>
  <si>
    <t xml:space="preserve">A layer of neurons IS a matrix multiplication. Shapes are the grammar of neural networks.</t>
  </si>
  <si>
    <t xml:space="preserve">BIG IDEA:  A matrix is a table of numbers: rows × columns. Multiplying two matrices computes every row-of-the-first · column-of-the-second dot product in one go. An (m × p) matrix times a (p × q) matrix gives (m × q).</t>
  </si>
  <si>
    <t xml:space="preserve">(A · B)[i, j]  =  (row i of A) · (column j of B)          (m × p) · (p × q)  →  (m × q)</t>
  </si>
  <si>
    <t xml:space="preserve">Shape checker — the single most useful habit</t>
  </si>
  <si>
    <t xml:space="preserve">A rows (m)</t>
  </si>
  <si>
    <t xml:space="preserve">A columns (p)</t>
  </si>
  <si>
    <t xml:space="preserve">B rows</t>
  </si>
  <si>
    <t xml:space="preserve">must equal A's columns</t>
  </si>
  <si>
    <t xml:space="preserve">B columns (q)</t>
  </si>
  <si>
    <t xml:space="preserve">Result</t>
  </si>
  <si>
    <t xml:space="preserve">Example 1 (simplest):  2 × 2 times 2 × 2, every cell expanded</t>
  </si>
  <si>
    <t xml:space="preserve">A</t>
  </si>
  <si>
    <t xml:space="preserve">B</t>
  </si>
  <si>
    <t xml:space="preserve">A · B</t>
  </si>
  <si>
    <t xml:space="preserve">c1</t>
  </si>
  <si>
    <t xml:space="preserve">c2</t>
  </si>
  <si>
    <t xml:space="preserve">r1</t>
  </si>
  <si>
    <t xml:space="preserve">r2</t>
  </si>
  <si>
    <t xml:space="preserve">(1,1) = row 1 · col 1</t>
  </si>
  <si>
    <t xml:space="preserve">(1,2) = row 1 · col 2</t>
  </si>
  <si>
    <t xml:space="preserve">(2,1) = row 2 · col 1</t>
  </si>
  <si>
    <t xml:space="preserve">(2,2) = row 2 · col 2</t>
  </si>
  <si>
    <t xml:space="preserve">Order matters: A·B is generally NOT equal to B·A (try computing B·A by hand: the top-left becomes 5×1 + 6×3 = 23).</t>
  </si>
  <si>
    <t xml:space="preserve">Example 2 (moderate):  a batch of 3 inputs through 2 neurons, all at once</t>
  </si>
  <si>
    <t xml:space="preserve">Each ROW of X is one example (3 features). Each COLUMN of W is one neuron's weights. X · W gives every example's score from every neuron: rows stay 'examples', columns become 'neurons'. This is how GPUs process whole batches in a single operation.</t>
  </si>
  <si>
    <t xml:space="preserve">X: 3 examples × 3 features</t>
  </si>
  <si>
    <t xml:space="preserve">W: 3 features × 2 neurons</t>
  </si>
  <si>
    <t xml:space="preserve">f1</t>
  </si>
  <si>
    <t xml:space="preserve">f2</t>
  </si>
  <si>
    <t xml:space="preserve">f3</t>
  </si>
  <si>
    <t xml:space="preserve">neuron 1</t>
  </si>
  <si>
    <t xml:space="preserve">neuron 2</t>
  </si>
  <si>
    <t xml:space="preserve">example 1</t>
  </si>
  <si>
    <t xml:space="preserve">example 2</t>
  </si>
  <si>
    <t xml:space="preserve">example 3</t>
  </si>
  <si>
    <t xml:space="preserve">X · W: 3 examples × 2 neurons</t>
  </si>
  <si>
    <t xml:space="preserve">ex 1, neuron 1</t>
  </si>
  <si>
    <t xml:space="preserve">ex 1, neuron 2</t>
  </si>
  <si>
    <t xml:space="preserve">ex 2, neuron 1</t>
  </si>
  <si>
    <t xml:space="preserve">ex 2, neuron 2</t>
  </si>
  <si>
    <t xml:space="preserve">ex 3, neuron 1</t>
  </si>
  <si>
    <t xml:space="preserve">ex 3, neuron 2</t>
  </si>
  <si>
    <t xml:space="preserve">Transpose and identity — two helpers you'll meet</t>
  </si>
  <si>
    <t xml:space="preserve">Wᵀ (rows ↔ columns)</t>
  </si>
  <si>
    <t xml:space="preserve">Identity I (1s on the diagonal)</t>
  </si>
  <si>
    <t xml:space="preserve">c3</t>
  </si>
  <si>
    <t xml:space="preserve">r3</t>
  </si>
  <si>
    <t xml:space="preserve">X · I = X (multiplying by I changes nothing)</t>
  </si>
  <si>
    <t xml:space="preserve">Q1. A (5 × 3) times B (3 × 8) has what shape?</t>
  </si>
  <si>
    <t xml:space="preserve">Answer: 5 × 8.</t>
  </si>
  <si>
    <t xml:space="preserve">Q2. Can you multiply (4 × 2) by (4 × 2)?</t>
  </si>
  <si>
    <t xml:space="preserve">Answer: No — the inner sizes (2 and 4) don't match. (4 × 2) by its transpose (2 × 4) works.</t>
  </si>
  <si>
    <t xml:space="preserve">Q3. In X · W, what do rows and columns of the result mean?</t>
  </si>
  <si>
    <t xml:space="preserve">Answer: Rows = examples, columns = neurons.</t>
  </si>
  <si>
    <t xml:space="preserve">04 · The Neuron — weighted sum, bias, activation</t>
  </si>
  <si>
    <t xml:space="preserve">The unit every layer is built from. In the Transformer, each output number of W_Q, W_K, W_V and the FFN is one neuron.</t>
  </si>
  <si>
    <t xml:space="preserve">z = w₁x₁ + w₂x₂ + … + wₙxₙ + b  =  w · x + b          output = f(z)</t>
  </si>
  <si>
    <t xml:space="preserve">BIG IDEA:  A neuron scores its inputs (weights say how much each matters; the bias says how easily it fires), then passes the score through an activation function f that decides the output.</t>
  </si>
  <si>
    <t xml:space="preserve">Input vector</t>
  </si>
  <si>
    <t xml:space="preserve">features</t>
  </si>
  <si>
    <t xml:space="preserve">w</t>
  </si>
  <si>
    <t xml:space="preserve">Weight vector, one weight per input</t>
  </si>
  <si>
    <t xml:space="preserve">learned</t>
  </si>
  <si>
    <t xml:space="preserve">b</t>
  </si>
  <si>
    <t xml:space="preserve">Bias: a constant added to the score</t>
  </si>
  <si>
    <t xml:space="preserve">z</t>
  </si>
  <si>
    <t xml:space="preserve">Pre-activation score = w·x + b</t>
  </si>
  <si>
    <t xml:space="preserve">computed</t>
  </si>
  <si>
    <t xml:space="preserve">f</t>
  </si>
  <si>
    <t xml:space="preserve">Activation function (sheet 06): step, sigmoid, ReLU…</t>
  </si>
  <si>
    <t xml:space="preserve">chosen</t>
  </si>
  <si>
    <t xml:space="preserve">Example 1 (simplest):  'Should I go for a walk?'</t>
  </si>
  <si>
    <t xml:space="preserve">Inputs are yes/no facts (1 or 0). Sunshine counts strongly for (+2), warmth a little (+1), being busy strongly against (−3). The bias −1.5 means 'by default, I'd rather stay in'.</t>
  </si>
  <si>
    <t xml:space="preserve">inputs x (1 = yes)</t>
  </si>
  <si>
    <t xml:space="preserve">weights w</t>
  </si>
  <si>
    <t xml:space="preserve">sunny</t>
  </si>
  <si>
    <t xml:space="preserve">warm</t>
  </si>
  <si>
    <t xml:space="preserve">busy</t>
  </si>
  <si>
    <t xml:space="preserve">z = w·x + b</t>
  </si>
  <si>
    <t xml:space="preserve">step f(z) = 1 if z &gt; 0</t>
  </si>
  <si>
    <t xml:space="preserve">1 = go for the walk</t>
  </si>
  <si>
    <t xml:space="preserve">sigmoid f(z)</t>
  </si>
  <si>
    <t xml:space="preserve">a softer answer: 'how keen am I?'</t>
  </si>
  <si>
    <t xml:space="preserve">TRY IT:  Set 'busy' to 1: z drops by 3 to −1.5, the step output becomes 0 and keenness falls to ~18%.</t>
  </si>
  <si>
    <t xml:space="preserve">Example 2 (moderate):  one neuron as a logic gate, and its decision boundary</t>
  </si>
  <si>
    <t xml:space="preserve">With a step activation, a single neuron can compute AND or OR — only the bias differs. The neuron fires when w₁x₁ + w₂x₂ + b &gt; 0; the boundary w₁x₁ + w₂x₂ + b = 0 is a straight line that splits the inputs into two groups.</t>
  </si>
  <si>
    <t xml:space="preserve">w₁ = w₂</t>
  </si>
  <si>
    <t xml:space="preserve">same weights for both gates</t>
  </si>
  <si>
    <t xml:space="preserve">bias for AND</t>
  </si>
  <si>
    <t xml:space="preserve">needs BOTH inputs to overcome −1.5</t>
  </si>
  <si>
    <t xml:space="preserve">bias for OR</t>
  </si>
  <si>
    <t xml:space="preserve">ONE input is enough to overcome −0.5</t>
  </si>
  <si>
    <t xml:space="preserve">x₁</t>
  </si>
  <si>
    <t xml:space="preserve">x₂</t>
  </si>
  <si>
    <t xml:space="preserve">z (AND)</t>
  </si>
  <si>
    <t xml:space="preserve">AND output</t>
  </si>
  <si>
    <t xml:space="preserve">z (OR)</t>
  </si>
  <si>
    <t xml:space="preserve">OR output</t>
  </si>
  <si>
    <t xml:space="preserve">AND boundary</t>
  </si>
  <si>
    <t xml:space="preserve">points above this line fire: only (1,1) is above x₁ + x₂ = 1.5</t>
  </si>
  <si>
    <t xml:space="preserve">OR boundary</t>
  </si>
  <si>
    <t xml:space="preserve">only (0,0) is below x₁ + x₂ = 0.5</t>
  </si>
  <si>
    <t xml:space="preserve">Every single neuron draws ONE straight line. Sheet 08 shows a problem no single straight line can solve — the reason networks need layers and activations.</t>
  </si>
  <si>
    <t xml:space="preserve">Q1. What does a negative weight mean?</t>
  </si>
  <si>
    <t xml:space="preserve">Answer: That input pushes the neuron towards NOT firing.</t>
  </si>
  <si>
    <t xml:space="preserve">Q2. What does the bias do geometrically?</t>
  </si>
  <si>
    <t xml:space="preserve">Answer: Shifts the decision line without changing its angle.</t>
  </si>
  <si>
    <t xml:space="preserve">05 · The Linear Layer — many neurons at once:  y = x · W + b</t>
  </si>
  <si>
    <t xml:space="preserve">In the Transformer: Q = X·W_Q, K = X·W_K, V = X·W_V, the output W_O and both halves of the FFN are linear layers.</t>
  </si>
  <si>
    <t xml:space="preserve">y = x · W + b          x: 1 × n_in     W: n_in × n_out     b: 1 × n_out     y: 1 × n_out</t>
  </si>
  <si>
    <t xml:space="preserve">BIG IDEA:  Put several neurons side by side, each reading the same inputs. Store each neuron's weights as one COLUMN of a matrix W and its bias in vector b. Then the whole layer is one matrix multiplication plus a bias.</t>
  </si>
  <si>
    <t xml:space="preserve">Example 1 (simplest):  3 inputs → 2 neurons</t>
  </si>
  <si>
    <t xml:space="preserve">x (1 × 3)</t>
  </si>
  <si>
    <t xml:space="preserve">x1</t>
  </si>
  <si>
    <t xml:space="preserve">x2</t>
  </si>
  <si>
    <t xml:space="preserve">x3</t>
  </si>
  <si>
    <t xml:space="preserve">W (3 × 2): column = one neuron</t>
  </si>
  <si>
    <t xml:space="preserve">b (1 × 2)</t>
  </si>
  <si>
    <t xml:space="preserve">y = x·W + b</t>
  </si>
  <si>
    <t xml:space="preserve">Example 2 (moderate):  why stacking linear layers WITHOUT activations is pointless</t>
  </si>
  <si>
    <t xml:space="preserve">Feed y into a second linear layer. Algebra says (x·W₁ + b₁)·W₂ + b₂ = x·(W₁W₂) + (b₁W₂ + b₂): two linear layers collapse into ONE linear layer. However many you stack, without a bend in between the network can only draw straight lines. That is why activation functions (next sheet) exist.</t>
  </si>
  <si>
    <t xml:space="preserve">W₂ (2 × 2)</t>
  </si>
  <si>
    <t xml:space="preserve">b₂</t>
  </si>
  <si>
    <t xml:space="preserve">out 1</t>
  </si>
  <si>
    <t xml:space="preserve">out 2</t>
  </si>
  <si>
    <t xml:space="preserve">Two layers: y·W₂ + b₂</t>
  </si>
  <si>
    <t xml:space="preserve">Combined W = W₁·W₂ (3 × 2)</t>
  </si>
  <si>
    <t xml:space="preserve">Combined b = b₁·W₂ + b₂</t>
  </si>
  <si>
    <t xml:space="preserve">ONE layer: x·W + b</t>
  </si>
  <si>
    <t xml:space="preserve">Identical?</t>
  </si>
  <si>
    <t xml:space="preserve">Example 3 (moderate):  counting a layer's parameters</t>
  </si>
  <si>
    <t xml:space="preserve">inputs n_in</t>
  </si>
  <si>
    <t xml:space="preserve">the Transformer's d_model</t>
  </si>
  <si>
    <t xml:space="preserve">outputs n_out</t>
  </si>
  <si>
    <t xml:space="preserve">the Transformer's d_ff</t>
  </si>
  <si>
    <t xml:space="preserve">weights</t>
  </si>
  <si>
    <t xml:space="preserve">n_in × n_out</t>
  </si>
  <si>
    <t xml:space="preserve">biases</t>
  </si>
  <si>
    <t xml:space="preserve">one per output neuron</t>
  </si>
  <si>
    <t xml:space="preserve">total</t>
  </si>
  <si>
    <t xml:space="preserve">the first half of one Transformer feed-forward block</t>
  </si>
  <si>
    <t xml:space="preserve">Q1. x is 1 × 4 and the layer has 6 neurons. What shape is W?</t>
  </si>
  <si>
    <t xml:space="preserve">Answer: 4 × 6 (and b is 1 × 6).</t>
  </si>
  <si>
    <t xml:space="preserve">Q2. Why can't you get a more powerful model by stacking linear layers alone?</t>
  </si>
  <si>
    <t xml:space="preserve">Answer: They collapse into a single linear layer; you need a non-linear activation between them.</t>
  </si>
  <si>
    <t xml:space="preserve">06 · Activation Functions — the 'bend' that gives networks their power</t>
  </si>
  <si>
    <t xml:space="preserve">The Transformer's feed-forward network uses ReLU (§3.3). Later models (BERT, GPT) use GELU.</t>
  </si>
  <si>
    <t xml:space="preserve">BIG IDEA:  An activation function is a simple non-straight rule applied to each neuron's score z. Without it, any network collapses to one straight-line formula (sheet 05). With it, layers can build curves, thresholds and combinations — enough to approximate almost any pattern.</t>
  </si>
  <si>
    <t xml:space="preserve">Name</t>
  </si>
  <si>
    <t xml:space="preserve">Formula</t>
  </si>
  <si>
    <t xml:space="preserve">Output range</t>
  </si>
  <si>
    <t xml:space="preserve">Typical use</t>
  </si>
  <si>
    <t xml:space="preserve">step</t>
  </si>
  <si>
    <t xml:space="preserve">1 if z &gt; 0, else 0</t>
  </si>
  <si>
    <t xml:space="preserve">0 or 1</t>
  </si>
  <si>
    <t xml:space="preserve">the original 1950s perceptron; not trainable by gradients</t>
  </si>
  <si>
    <t xml:space="preserve">sigmoid</t>
  </si>
  <si>
    <t xml:space="preserve">1 / (1 + e^(−z))</t>
  </si>
  <si>
    <t xml:space="preserve">0 … 1</t>
  </si>
  <si>
    <t xml:space="preserve">probabilities for yes/no outputs</t>
  </si>
  <si>
    <t xml:space="preserve">tanh</t>
  </si>
  <si>
    <t xml:space="preserve">(e^z − e^(−z)) / (e^z + e^(−z))</t>
  </si>
  <si>
    <t xml:space="preserve">−1 … 1</t>
  </si>
  <si>
    <t xml:space="preserve">zero-centred squashing to (−1, 1); RNNs</t>
  </si>
  <si>
    <t xml:space="preserve">ReLU</t>
  </si>
  <si>
    <t xml:space="preserve">max(0, z)</t>
  </si>
  <si>
    <t xml:space="preserve">0 … ∞</t>
  </si>
  <si>
    <t xml:space="preserve">the default for hidden layers; the Transformer's FFN</t>
  </si>
  <si>
    <t xml:space="preserve">GELU</t>
  </si>
  <si>
    <t xml:space="preserve">≈ 0.5·z·(1 + tanh(√(2/π)(z + 0.044715z³)))</t>
  </si>
  <si>
    <t xml:space="preserve">≈ −0.17 … ∞</t>
  </si>
  <si>
    <t xml:space="preserve">a smooth ReLU used by BERT and GPT models</t>
  </si>
  <si>
    <t xml:space="preserve">Example 1 (simplest):  three scores through every activation</t>
  </si>
  <si>
    <t xml:space="preserve">scores z</t>
  </si>
  <si>
    <t xml:space="preserve">z = −2</t>
  </si>
  <si>
    <t xml:space="preserve">z = 0</t>
  </si>
  <si>
    <t xml:space="preserve">z = 3</t>
  </si>
  <si>
    <t xml:space="preserve">Activation</t>
  </si>
  <si>
    <t xml:space="preserve">f(−2)</t>
  </si>
  <si>
    <t xml:space="preserve">f(0)</t>
  </si>
  <si>
    <t xml:space="preserve">f(3)</t>
  </si>
  <si>
    <t xml:space="preserve">sigmoid(−2)</t>
  </si>
  <si>
    <t xml:space="preserve">tanh(3)</t>
  </si>
  <si>
    <t xml:space="preserve">ReLU(−2)</t>
  </si>
  <si>
    <t xml:space="preserve">Example 2 (moderate):  the full curves, and their SLOPES</t>
  </si>
  <si>
    <t xml:space="preserve">The slope (derivative) of an activation says how much the output changes when z changes a little. Training relies on slopes (you'll meet this as 'gradients' in backpropagation). Where the slope is ~0 the neuron is 'saturated' and stops learning — the same problem the Transformer's √d_k scaling avoids.</t>
  </si>
  <si>
    <t xml:space="preserve">sigmoid′ = s·(1 − s)        tanh′ = 1 − t²        ReLU′ = 1 if z &gt; 0, else 0</t>
  </si>
  <si>
    <t xml:space="preserve">sigmoid slope</t>
  </si>
  <si>
    <t xml:space="preserve">tanh slope</t>
  </si>
  <si>
    <t xml:space="preserve">ReLU slope</t>
  </si>
  <si>
    <t xml:space="preserve">Read the red cells: sigmoid's slope is at most 0.25 and fades to ~0.02 at z = ±4 (saturated). tanh saturates too. ReLU's slope is exactly 1 for every positive z — gradients pass through undiminished, one reason ReLU made deep networks trainable. Its weakness: for negative z the slope is 0 ('dead' neurons).</t>
  </si>
  <si>
    <t xml:space="preserve">Q1. Which activation would you use for a yes/no probability output?</t>
  </si>
  <si>
    <t xml:space="preserve">Answer: Sigmoid (range 0 to 1).</t>
  </si>
  <si>
    <t xml:space="preserve">Q2. What is ReLU(−5) and ReLU(5)?</t>
  </si>
  <si>
    <t xml:space="preserve">Answer: 0 and 5.</t>
  </si>
  <si>
    <t xml:space="preserve">Q3. Why is a very flat (saturated) activation bad for learning?</t>
  </si>
  <si>
    <t xml:space="preserve">Answer: Its slope is ~0, so almost no learning signal passes through.</t>
  </si>
  <si>
    <t xml:space="preserve">07 · Softmax — turning a list of scores into probabilities</t>
  </si>
  <si>
    <t xml:space="preserve">Used twice in the Transformer: to turn attention scores into weights (§3.2.1) and to predict the next word (§3.4).</t>
  </si>
  <si>
    <t xml:space="preserve">softmax(zᵢ) = e^(zᵢ) ÷ Σⱼ e^(zⱼ)</t>
  </si>
  <si>
    <t xml:space="preserve">BIG IDEA:  Sigmoid handles one yes/no. Softmax handles 'pick one of many': exponentiate every score (all become positive, bigger ones much bigger), then divide by the total so they sum to 1.</t>
  </si>
  <si>
    <t xml:space="preserve">Example 1 (simplest):  scores [2, 1, 0.1] for classes cat / dog / bird</t>
  </si>
  <si>
    <t xml:space="preserve">scores (logits) z</t>
  </si>
  <si>
    <t xml:space="preserve">cat</t>
  </si>
  <si>
    <t xml:space="preserve">dog</t>
  </si>
  <si>
    <t xml:space="preserve">bird</t>
  </si>
  <si>
    <t xml:space="preserve">Step 1: e^z</t>
  </si>
  <si>
    <t xml:space="preserve">Step 2: total</t>
  </si>
  <si>
    <t xml:space="preserve">Step 3: probabilities = e^z ÷ total</t>
  </si>
  <si>
    <t xml:space="preserve">prediction</t>
  </si>
  <si>
    <t xml:space="preserve">the class with the highest probability</t>
  </si>
  <si>
    <t xml:space="preserve">Example 2 (moderate):  three properties you need later</t>
  </si>
  <si>
    <t xml:space="preserve">(a) Numerical safety: subtract the max first</t>
  </si>
  <si>
    <t xml:space="preserve">e^1000 is too big for a computer (Excel shows an overflow). Because softmax only depends on DIFFERENCES between scores, subtracting the largest score first gives the identical answer with no overflow. Every real implementation does this.</t>
  </si>
  <si>
    <t xml:space="preserve">large scores</t>
  </si>
  <si>
    <t xml:space="preserve">Method</t>
  </si>
  <si>
    <t xml:space="preserve">naive e^z ÷ Σ</t>
  </si>
  <si>
    <t xml:space="preserve">subtract max first</t>
  </si>
  <si>
    <t xml:space="preserve">(b) Temperature: dividing scores changes how 'sure' softmax is</t>
  </si>
  <si>
    <t xml:space="preserve">temperature T (divide scores by T)</t>
  </si>
  <si>
    <t xml:space="preserve">Small T → sharper (almost winner-takes-all). Large T → flatter. The Transformer divides attention scores by √d_k — a temperature — to keep softmax from becoming too sharp.</t>
  </si>
  <si>
    <t xml:space="preserve">(c) With two classes, softmax is just sigmoid of the difference</t>
  </si>
  <si>
    <t xml:space="preserve">score A</t>
  </si>
  <si>
    <t xml:space="preserve">score B</t>
  </si>
  <si>
    <t xml:space="preserve">softmax P(A)</t>
  </si>
  <si>
    <t xml:space="preserve">sigmoid(A − B)</t>
  </si>
  <si>
    <t xml:space="preserve">identical — sigmoid is the 2-class softmax</t>
  </si>
  <si>
    <t xml:space="preserve">Q1. Softmax of [0, 0, 0, 0]?</t>
  </si>
  <si>
    <t xml:space="preserve">Answer: [0.25, 0.25, 0.25, 0.25].</t>
  </si>
  <si>
    <t xml:space="preserve">Q2. Does adding 7 to every score change softmax?</t>
  </si>
  <si>
    <t xml:space="preserve">Answer: No — only differences matter.</t>
  </si>
  <si>
    <t xml:space="preserve">08 · Why Layers and Activations? — the XOR problem</t>
  </si>
  <si>
    <t xml:space="preserve">The classic demonstration (Minsky &amp; Papert, 1969) that one neuron is not enough and hidden layers are.</t>
  </si>
  <si>
    <t xml:space="preserve">BIG IDEA:  XOR ('one or the other but not both') cannot be separated by any single straight line, so no single neuron can compute it. Two hidden ReLU neurons plus one output neuron solve it exactly.</t>
  </si>
  <si>
    <t xml:space="preserve">Example 1 (simplest):  try to solve XOR with ONE neuron — you can't</t>
  </si>
  <si>
    <t xml:space="preserve">Change the three yellow numbers as much as you like. The best a single step-neuron can do is 3 out of 4 correct: the two 'true' points (0,1) and (1,0) sit diagonally opposite, and no straight line puts both on one side without also catching (0,0) or (1,1).</t>
  </si>
  <si>
    <t xml:space="preserve">w₁</t>
  </si>
  <si>
    <t xml:space="preserve">w₂</t>
  </si>
  <si>
    <t xml:space="preserve">XOR target</t>
  </si>
  <si>
    <t xml:space="preserve">z = w₁x₁ + w₂x₂ + b</t>
  </si>
  <si>
    <t xml:space="preserve">neuron output</t>
  </si>
  <si>
    <t xml:space="preserve">correct?</t>
  </si>
  <si>
    <t xml:space="preserve">score</t>
  </si>
  <si>
    <t xml:space="preserve">never 4 / 4</t>
  </si>
  <si>
    <t xml:space="preserve">Example 2 (moderate):  a 2 → 2 → 1 network that solves XOR exactly</t>
  </si>
  <si>
    <t xml:space="preserve">h₁ = ReLU(x₁ + x₂)        h₂ = ReLU(x₁ + x₂ − 1)        y = h₁ − 2·h₂</t>
  </si>
  <si>
    <t xml:space="preserve">h₁ counts how many inputs are on. h₂ only switches on when BOTH are on. The output takes the count and subtracts a big penalty when both are on. The ReLU bend is what makes h₂ behave differently from h₁ — remove it and the network collapses back to one straight line.</t>
  </si>
  <si>
    <t xml:space="preserve">W₁ (2 inputs × 2 hidden)</t>
  </si>
  <si>
    <t xml:space="preserve">b₁</t>
  </si>
  <si>
    <t xml:space="preserve">W₂ (2 hidden × 1)</t>
  </si>
  <si>
    <t xml:space="preserve">h₁</t>
  </si>
  <si>
    <t xml:space="preserve">h₂</t>
  </si>
  <si>
    <t xml:space="preserve">z₁ = x·W₁[:,1] + b</t>
  </si>
  <si>
    <t xml:space="preserve">h₁ = ReLU</t>
  </si>
  <si>
    <t xml:space="preserve">z₂ = x·W₁[:,2] + b</t>
  </si>
  <si>
    <t xml:space="preserve">h₂ = ReLU</t>
  </si>
  <si>
    <t xml:space="preserve">y = h₁·1 + h₂·(−2)</t>
  </si>
  <si>
    <t xml:space="preserve">target</t>
  </si>
  <si>
    <t xml:space="preserve">input (1, 1)</t>
  </si>
  <si>
    <t xml:space="preserve">input (0, 1)</t>
  </si>
  <si>
    <t xml:space="preserve">all correct?</t>
  </si>
  <si>
    <t xml:space="preserve">This is the core insight behind deep learning: hidden layers re-describe the input in new terms (here 'how many are on?' and 'are both on?'), and in those new terms a straight line is enough.</t>
  </si>
  <si>
    <t xml:space="preserve">Q1. Why can't one neuron compute XOR?</t>
  </si>
  <si>
    <t xml:space="preserve">Answer: One neuron draws one straight line; XOR's true points are diagonal and can't be separated by one line.</t>
  </si>
  <si>
    <t xml:space="preserve">Q2. What would happen if you removed the ReLUs?</t>
  </si>
  <si>
    <t xml:space="preserve">Answer: The network collapses to one linear layer and fails again.</t>
  </si>
  <si>
    <t xml:space="preserve">09 · End-to-End Example 1 — a fruit classifier: 3 inputs → 3 ReLU neurons → softmax over 3 classes</t>
  </si>
  <si>
    <t xml:space="preserve">Every building block from sheets 02–07 in one forward pass. Weights are hand-set so each hidden neuron has a readable job.</t>
  </si>
  <si>
    <t xml:space="preserve">BIG IDEA:  Input: three facts about a fruit. Hidden layer: three 'detectors' (ReLU neurons). Output: softmax probabilities for apple / banana / carrot. Follow each fruit through every stage.</t>
  </si>
  <si>
    <t xml:space="preserve">Architecture:   x (3 numbers)  →  [ × W₁ + b₁ ]  →  ReLU  →  [ × W₂ + b₂ ]  →  softmax  →  probabilities</t>
  </si>
  <si>
    <t xml:space="preserve">The network's weights (shared by every example below — edit them and all examples update)</t>
  </si>
  <si>
    <t xml:space="preserve">Hidden neuron 1 fires for sweet + crunchy + short (apple-ish); neuron 2 for sweet + soft + long (banana-ish); neuron 3 for not-sweet + crunchy + long (carrot-ish). The output layer rewards its own detector (+3) and penalises the others (−1). In real networks such weights are learned, and their jobs are rarely this tidy.</t>
  </si>
  <si>
    <t xml:space="preserve">W₁ (3 features × 3 hidden)</t>
  </si>
  <si>
    <t xml:space="preserve">h1 apple-ish</t>
  </si>
  <si>
    <t xml:space="preserve">h2 banana-ish</t>
  </si>
  <si>
    <t xml:space="preserve">h3 carrot-ish</t>
  </si>
  <si>
    <t xml:space="preserve">sweet</t>
  </si>
  <si>
    <t xml:space="preserve">crunchy</t>
  </si>
  <si>
    <t xml:space="preserve">long</t>
  </si>
  <si>
    <t xml:space="preserve">W₂ (3 hidden × 3 classes)</t>
  </si>
  <si>
    <t xml:space="preserve">apple</t>
  </si>
  <si>
    <t xml:space="preserve">banana</t>
  </si>
  <si>
    <t xml:space="preserve">carrot</t>
  </si>
  <si>
    <t xml:space="preserve">parameters</t>
  </si>
  <si>
    <t xml:space="preserve">W₁ (9) + b₁ (3) + W₂ (9) + b₂ (3) = 24</t>
  </si>
  <si>
    <t xml:space="preserve">Example 1 (simplest):  Fruit A — sweet, crunchy, short  [0.8, 0.7, 0.2]</t>
  </si>
  <si>
    <t xml:space="preserve">STAGE 0 · input x (features scaled 0–1)</t>
  </si>
  <si>
    <t xml:space="preserve">Stage 1</t>
  </si>
  <si>
    <t xml:space="preserve">Linear layer 1: z₁ = x·W₁ + b₁ — each hidden neuron scores the fruit (one dot product each).</t>
  </si>
  <si>
    <t xml:space="preserve">z₁</t>
  </si>
  <si>
    <t xml:space="preserve">Stage 2</t>
  </si>
  <si>
    <t xml:space="preserve">ReLU: h = max(0, z₁) — neurons with negative scores switch off.</t>
  </si>
  <si>
    <t xml:space="preserve">h</t>
  </si>
  <si>
    <t xml:space="preserve">Stage 3</t>
  </si>
  <si>
    <t xml:space="preserve">Linear layer 2: z₂ = h·W₂ + b₂ — one score (logit) per class.</t>
  </si>
  <si>
    <t xml:space="preserve">z₂ (logits)</t>
  </si>
  <si>
    <t xml:space="preserve">Stage 4</t>
  </si>
  <si>
    <t xml:space="preserve">Softmax: p = e^z₂ ÷ Σ e^z₂ — scores become probabilities that sum to 1.</t>
  </si>
  <si>
    <t xml:space="preserve">e^z₂</t>
  </si>
  <si>
    <t xml:space="preserve">Σ e^z₂</t>
  </si>
  <si>
    <t xml:space="preserve">p = probabilities</t>
  </si>
  <si>
    <t xml:space="preserve">softmax</t>
  </si>
  <si>
    <t xml:space="preserve">STAGE 5 · prediction</t>
  </si>
  <si>
    <t xml:space="preserve">How the numbers transformed, stage by stage:</t>
  </si>
  <si>
    <t xml:space="preserve">Operation (the math)</t>
  </si>
  <si>
    <t xml:space="preserve">Shape</t>
  </si>
  <si>
    <t xml:space="preserve">Values for this example</t>
  </si>
  <si>
    <t xml:space="preserve">0 · input</t>
  </si>
  <si>
    <t xml:space="preserve">raw features</t>
  </si>
  <si>
    <t xml:space="preserve">1 × 3</t>
  </si>
  <si>
    <t xml:space="preserve">1 · linear</t>
  </si>
  <si>
    <t xml:space="preserve">z₁ = x·W₁ + b₁</t>
  </si>
  <si>
    <t xml:space="preserve">2 · ReLU</t>
  </si>
  <si>
    <t xml:space="preserve">h = max(0, z₁)</t>
  </si>
  <si>
    <t xml:space="preserve">3 · linear</t>
  </si>
  <si>
    <t xml:space="preserve">z₂ = h·W₂ + b₂</t>
  </si>
  <si>
    <t xml:space="preserve">4 · softmax</t>
  </si>
  <si>
    <t xml:space="preserve">p = e^z₂ / Σe^z₂</t>
  </si>
  <si>
    <t xml:space="preserve">5 · decision</t>
  </si>
  <si>
    <t xml:space="preserve">argmax(p)</t>
  </si>
  <si>
    <t xml:space="preserve">1 label</t>
  </si>
  <si>
    <t xml:space="preserve">Example 2:  Fruit B — very sweet, soft, long  [0.9, 0.1, 0.9]</t>
  </si>
  <si>
    <t xml:space="preserve">Example 3 (moderate):  a BATCH of four fruits in one matrix pass</t>
  </si>
  <si>
    <t xml:space="preserve">Stack the fruits as rows of X. The same formulas become matrix operations: Z₁ = X·W₁ + b₁ (b₁ added to every row), H = ReLU(Z₁), Z₂ = H·W₂ + b₂, then softmax on each row. Fruit D is deliberately ambiguous.</t>
  </si>
  <si>
    <t xml:space="preserve">X (4 fruits × 3 features)</t>
  </si>
  <si>
    <t xml:space="preserve">Z₁ = X·W₁ + b₁</t>
  </si>
  <si>
    <t xml:space="preserve">Fruit A</t>
  </si>
  <si>
    <t xml:space="preserve">Fruit B</t>
  </si>
  <si>
    <t xml:space="preserve">Fruit C</t>
  </si>
  <si>
    <t xml:space="preserve">Fruit D (?)</t>
  </si>
  <si>
    <t xml:space="preserve">H = ReLU(Z₁)</t>
  </si>
  <si>
    <t xml:space="preserve">Z₂ = H·W₂ + b₂</t>
  </si>
  <si>
    <t xml:space="preserve">P = softmax(each row of Z₂)</t>
  </si>
  <si>
    <t xml:space="preserve">Fruit D is uncertain: it half-triggers the apple and banana detectors equally, so the network splits its belief (~37% / 37% / 25%). A good network is not only right — its probabilities also say how sure it is.</t>
  </si>
  <si>
    <t xml:space="preserve">TRY IT:  Change Fruit A's 'long' feature from 0.2 to 0.9 and watch the apple detector shut off.</t>
  </si>
  <si>
    <t xml:space="preserve">10 · End-to-End Example 2 — will a student pass? standardise → 2 tanh neurons → sigmoid</t>
  </si>
  <si>
    <t xml:space="preserve">A yes/no network: different activations (tanh, sigmoid) and a preprocessing step, but the same multiply-add-bend pattern.</t>
  </si>
  <si>
    <t xml:space="preserve">BIG IDEA:  Raw inputs arrive in different units (hours vs counts), so we first standardise them. Two tanh neurons summarise 'preparation' and 'rest'; one sigmoid neuron turns their combination into a pass probability.</t>
  </si>
  <si>
    <t xml:space="preserve">Architecture:   raw x (3)  →  standardise  →  [ × W₁ + b₁ ]  →  tanh  →  [ · w₂ + b₂ ]  →  sigmoid  →  p(pass)  →  decision</t>
  </si>
  <si>
    <t xml:space="preserve">Settings and weights (shared by the examples below)</t>
  </si>
  <si>
    <t xml:space="preserve">mean μ of training data (assumed)</t>
  </si>
  <si>
    <t xml:space="preserve">hours studied</t>
  </si>
  <si>
    <t xml:space="preserve">hours slept</t>
  </si>
  <si>
    <t xml:space="preserve">practice tests</t>
  </si>
  <si>
    <t xml:space="preserve">std σ of training data (assumed)</t>
  </si>
  <si>
    <t xml:space="preserve">W₁ (3 × 2)</t>
  </si>
  <si>
    <t xml:space="preserve">h1 preparation</t>
  </si>
  <si>
    <t xml:space="preserve">h2 rest</t>
  </si>
  <si>
    <t xml:space="preserve">decision threshold</t>
  </si>
  <si>
    <t xml:space="preserve">predict PASS when p ≥ threshold</t>
  </si>
  <si>
    <t xml:space="preserve">Reading the weights: neuron h1 ('preparation') listens to study hours (0.8) and practice tests (0.6); h2 ('rest') listens to sleep. The output trusts preparation 2.5× more than rest.</t>
  </si>
  <si>
    <t xml:space="preserve">Example 1 (simplest):  Student A — studied 8 h, slept 7 h, 3 practice tests</t>
  </si>
  <si>
    <t xml:space="preserve">STAGE 0 · raw input</t>
  </si>
  <si>
    <t xml:space="preserve">Standardise: x̃ = (x − mean) ÷ std — puts features measured in different units on the same scale.</t>
  </si>
  <si>
    <t xml:space="preserve">x̃ (standardised)</t>
  </si>
  <si>
    <t xml:space="preserve">Linear layer 1: z₁ = x̃·W₁ + b₁ (2 hidden neurons).</t>
  </si>
  <si>
    <t xml:space="preserve">tanh: h = tanh(z₁) — squashes each score into (−1, 1).</t>
  </si>
  <si>
    <t xml:space="preserve">Output neuron: z₂ = h·w₂ + b₂ (one score).</t>
  </si>
  <si>
    <t xml:space="preserve">z₂</t>
  </si>
  <si>
    <t xml:space="preserve">Stage 5</t>
  </si>
  <si>
    <t xml:space="preserve">Sigmoid: p = 1 / (1 + e^(−z₂)) — the probability of passing.</t>
  </si>
  <si>
    <t xml:space="preserve">p(pass)</t>
  </si>
  <si>
    <t xml:space="preserve">STAGE 6 · decision</t>
  </si>
  <si>
    <t xml:space="preserve">compare with the threshold</t>
  </si>
  <si>
    <t xml:space="preserve">0 · raw input</t>
  </si>
  <si>
    <t xml:space="preserve">hours, hours, count</t>
  </si>
  <si>
    <t xml:space="preserve">1 · standardise</t>
  </si>
  <si>
    <t xml:space="preserve">(x − μ) ÷ σ</t>
  </si>
  <si>
    <t xml:space="preserve">2 · linear</t>
  </si>
  <si>
    <t xml:space="preserve">z₁ = x̃·W₁ + b₁</t>
  </si>
  <si>
    <t xml:space="preserve">1 × 2</t>
  </si>
  <si>
    <t xml:space="preserve">3 · tanh</t>
  </si>
  <si>
    <t xml:space="preserve">h = tanh(z₁)</t>
  </si>
  <si>
    <t xml:space="preserve">4 · linear</t>
  </si>
  <si>
    <t xml:space="preserve">z₂ = h·w₂ + b₂</t>
  </si>
  <si>
    <t xml:space="preserve">1 × 1</t>
  </si>
  <si>
    <t xml:space="preserve">5 · sigmoid</t>
  </si>
  <si>
    <t xml:space="preserve">p = 1/(1+e^−z₂)</t>
  </si>
  <si>
    <t xml:space="preserve">6 · decision</t>
  </si>
  <si>
    <t xml:space="preserve">p ≥ threshold?</t>
  </si>
  <si>
    <t xml:space="preserve">label</t>
  </si>
  <si>
    <t xml:space="preserve">Example 2:  Student B — studied 2 h, slept 5 h, 0 practice tests</t>
  </si>
  <si>
    <t xml:space="preserve">Example 3 (moderate):  the whole class as one batch</t>
  </si>
  <si>
    <t xml:space="preserve">X raw (3 students × 3)</t>
  </si>
  <si>
    <t xml:space="preserve">X̃ standardised</t>
  </si>
  <si>
    <t xml:space="preserve">Student A</t>
  </si>
  <si>
    <t xml:space="preserve">Student B</t>
  </si>
  <si>
    <t xml:space="preserve">Student C</t>
  </si>
  <si>
    <t xml:space="preserve">H = tanh(X̃·W₁ + b₁)</t>
  </si>
  <si>
    <t xml:space="preserve">decision</t>
  </si>
  <si>
    <t xml:space="preserve">Student C slept well but did little preparation: 'rest' is high, 'preparation' slightly negative, and the probability lands just under 50% — a borderline case, exactly where a threshold choice matters.</t>
  </si>
  <si>
    <t xml:space="preserve">TRY IT:  Lower the decision threshold to 0.4 and Student C flips to PASS. Thresholds are a business decision, not part of the network.</t>
  </si>
  <si>
    <t xml:space="preserve">11 · End-to-End Example 3 — the same building blocks, rearranged, ARE attention</t>
  </si>
  <si>
    <t xml:space="preserve">Linear layers (sheet 05) + dot products (02) + softmax (07) + a weighted sum. Continue with the Transformer workbook, sheets 05–06.</t>
  </si>
  <si>
    <t xml:space="preserve">BIG IDEA:  Take three word vectors. Three linear layers (no bias, no activation) turn each word into a query, a key and a value. Dot products score every query against every key; softmax turns scores into weights; a weighted sum of values is the output. Nothing new — only rearranged.</t>
  </si>
  <si>
    <t xml:space="preserve">Q = X·W_Q     K = X·W_K     V = X·W_V     weights = softmax(Q·Kᵀ / √d)     output = weights · V</t>
  </si>
  <si>
    <t xml:space="preserve">Stage 0 · input: three words as vectors</t>
  </si>
  <si>
    <t xml:space="preserve">X (3 words × 3 features)</t>
  </si>
  <si>
    <t xml:space="preserve">d1</t>
  </si>
  <si>
    <t xml:space="preserve">d2</t>
  </si>
  <si>
    <t xml:space="preserve">d3</t>
  </si>
  <si>
    <t xml:space="preserve">I</t>
  </si>
  <si>
    <t xml:space="preserve">love</t>
  </si>
  <si>
    <t xml:space="preserve">pizza</t>
  </si>
  <si>
    <t xml:space="preserve">Stage 1 · three linear layers (sheet 05)</t>
  </si>
  <si>
    <t xml:space="preserve">W_Q (3 × 2)</t>
  </si>
  <si>
    <t xml:space="preserve">W_K (3 × 2)</t>
  </si>
  <si>
    <t xml:space="preserve">W_V (3 × 2)</t>
  </si>
  <si>
    <t xml:space="preserve">Q = X·W_Q</t>
  </si>
  <si>
    <t xml:space="preserve">K = X·W_K</t>
  </si>
  <si>
    <t xml:space="preserve">V = X·W_V</t>
  </si>
  <si>
    <t xml:space="preserve">Q[pizza]</t>
  </si>
  <si>
    <t xml:space="preserve">Stage 2 · dot products: every query against every key (sheet 02), scaled by √d</t>
  </si>
  <si>
    <t xml:space="preserve">d (query/key size)</t>
  </si>
  <si>
    <t xml:space="preserve">scores = Q·Kᵀ / √d</t>
  </si>
  <si>
    <t xml:space="preserve">pizza → I</t>
  </si>
  <si>
    <t xml:space="preserve">pizza → love</t>
  </si>
  <si>
    <t xml:space="preserve">pizza → pizza</t>
  </si>
  <si>
    <t xml:space="preserve">Stage 3 · softmax on each row (sheet 07)</t>
  </si>
  <si>
    <t xml:space="preserve">attention weights</t>
  </si>
  <si>
    <t xml:space="preserve">Stage 4 · weighted sum of values = the output</t>
  </si>
  <si>
    <t xml:space="preserve">output = weights · V</t>
  </si>
  <si>
    <t xml:space="preserve">out[pizza, a]</t>
  </si>
  <si>
    <t xml:space="preserve">How 'pizza' transformed, stage by stage:</t>
  </si>
  <si>
    <t xml:space="preserve">word vector x</t>
  </si>
  <si>
    <t xml:space="preserve">1 · linear ×3</t>
  </si>
  <si>
    <t xml:space="preserve">q = x·W_Q, k = x·W_K, v = x·W_V</t>
  </si>
  <si>
    <t xml:space="preserve">1 × 2 each</t>
  </si>
  <si>
    <t xml:space="preserve">2 · dot products</t>
  </si>
  <si>
    <t xml:space="preserve">q · every key ÷ √d</t>
  </si>
  <si>
    <t xml:space="preserve">3 · softmax</t>
  </si>
  <si>
    <t xml:space="preserve">weights sum to 1</t>
  </si>
  <si>
    <t xml:space="preserve">4 · weighted sum</t>
  </si>
  <si>
    <t xml:space="preserve">Σ weight × value</t>
  </si>
  <si>
    <t xml:space="preserve">That is scaled dot-product attention — Equation (1) of 'Attention Is All You Need'. The Transformer adds positional encodings, several heads, residual connections, normalisation and a ReLU feed-forward network — each of them one of the blocks on sheets 02–07.</t>
  </si>
  <si>
    <t xml:space="preserve">12 · Glossary and What to Learn Next</t>
  </si>
  <si>
    <t xml:space="preserve">Terms from this workbook, and the concepts that come after the forward pass.</t>
  </si>
  <si>
    <t xml:space="preserve">Glossary</t>
  </si>
  <si>
    <t xml:space="preserve">Term</t>
  </si>
  <si>
    <t xml:space="preserve">Meaning</t>
  </si>
  <si>
    <t xml:space="preserve">Activation function</t>
  </si>
  <si>
    <t xml:space="preserve">A non-linear rule applied to a neuron's score (ReLU, sigmoid, tanh, GELU).</t>
  </si>
  <si>
    <t xml:space="preserve">06</t>
  </si>
  <si>
    <t xml:space="preserve">Batch</t>
  </si>
  <si>
    <t xml:space="preserve">Several examples processed together as rows of one matrix.</t>
  </si>
  <si>
    <t xml:space="preserve">03, 09, 10</t>
  </si>
  <si>
    <t xml:space="preserve">Bias</t>
  </si>
  <si>
    <t xml:space="preserve">A learned constant added to a neuron's weighted sum.</t>
  </si>
  <si>
    <t xml:space="preserve">04</t>
  </si>
  <si>
    <t xml:space="preserve">Cosine similarity</t>
  </si>
  <si>
    <t xml:space="preserve">Dot product divided by both lengths; −1 to +1.</t>
  </si>
  <si>
    <t xml:space="preserve">02</t>
  </si>
  <si>
    <t xml:space="preserve">Multiply two vectors element-wise and add.</t>
  </si>
  <si>
    <t xml:space="preserve">Computing outputs from inputs, layer by layer.</t>
  </si>
  <si>
    <t xml:space="preserve">01, 09–11</t>
  </si>
  <si>
    <t xml:space="preserve">Hidden layer</t>
  </si>
  <si>
    <t xml:space="preserve">Any layer between input and output.</t>
  </si>
  <si>
    <t xml:space="preserve">08, 09</t>
  </si>
  <si>
    <t xml:space="preserve">Linear layer</t>
  </si>
  <si>
    <t xml:space="preserve">y = x·W + b: many neurons as one matrix multiplication.</t>
  </si>
  <si>
    <t xml:space="preserve">05</t>
  </si>
  <si>
    <t xml:space="preserve">Logit</t>
  </si>
  <si>
    <t xml:space="preserve">A raw output score before softmax or sigmoid.</t>
  </si>
  <si>
    <t xml:space="preserve">07, 09</t>
  </si>
  <si>
    <t xml:space="preserve">Matrix multiplication</t>
  </si>
  <si>
    <t xml:space="preserve">Every row·column dot product of two matrices.</t>
  </si>
  <si>
    <t xml:space="preserve">03</t>
  </si>
  <si>
    <t xml:space="preserve">Neuron</t>
  </si>
  <si>
    <t xml:space="preserve">Weighted sum + bias, then activation.</t>
  </si>
  <si>
    <t xml:space="preserve">All learned weights and biases.</t>
  </si>
  <si>
    <t xml:space="preserve">01, 05</t>
  </si>
  <si>
    <t xml:space="preserve">max(0, z): the default hidden-layer activation.</t>
  </si>
  <si>
    <t xml:space="preserve">Saturation</t>
  </si>
  <si>
    <t xml:space="preserve">Region where an activation is flat, so its slope ≈ 0.</t>
  </si>
  <si>
    <t xml:space="preserve">Sigmoid</t>
  </si>
  <si>
    <t xml:space="preserve">1/(1+e^−z): squashes to (0, 1); for yes/no probabilities.</t>
  </si>
  <si>
    <t xml:space="preserve">06, 10</t>
  </si>
  <si>
    <t xml:space="preserve">Softmax</t>
  </si>
  <si>
    <t xml:space="preserve">Turns a list of scores into probabilities summing to 1.</t>
  </si>
  <si>
    <t xml:space="preserve">07</t>
  </si>
  <si>
    <t xml:space="preserve">Standardisation</t>
  </si>
  <si>
    <t xml:space="preserve">(x − mean) ÷ std: puts features on a common scale.</t>
  </si>
  <si>
    <t xml:space="preserve">10</t>
  </si>
  <si>
    <t xml:space="preserve">Squashes to (−1, 1), centred on 0.</t>
  </si>
  <si>
    <t xml:space="preserve">Vector</t>
  </si>
  <si>
    <t xml:space="preserve">An ordered list of numbers.</t>
  </si>
  <si>
    <t xml:space="preserve">Weight</t>
  </si>
  <si>
    <t xml:space="preserve">How much an input matters to a neuron; learned.</t>
  </si>
  <si>
    <t xml:space="preserve">What comes next: how the weights get learned</t>
  </si>
  <si>
    <t xml:space="preserve">Everything in this workbook uses FIXED weights. Training finds good weights automatically. The next concepts, in order:</t>
  </si>
  <si>
    <t xml:space="preserve">Concept</t>
  </si>
  <si>
    <t xml:space="preserve">One-line idea</t>
  </si>
  <si>
    <t xml:space="preserve">Loss function</t>
  </si>
  <si>
    <t xml:space="preserve">One number measuring how wrong the output is (e.g. cross-entropy = −ln p(correct)).</t>
  </si>
  <si>
    <t xml:space="preserve">Gradient</t>
  </si>
  <si>
    <t xml:space="preserve">For every weight: how much the loss changes if that weight moves a little (a slope).</t>
  </si>
  <si>
    <t xml:space="preserve">Gradient descent</t>
  </si>
  <si>
    <t xml:space="preserve">Nudge every weight a small step downhill: w ← w − learning_rate × gradient.</t>
  </si>
  <si>
    <t xml:space="preserve">Backpropagation</t>
  </si>
  <si>
    <t xml:space="preserve">The chain rule, applied layer by layer backwards, to get all gradients efficiently.</t>
  </si>
  <si>
    <t xml:space="preserve">Vanishing gradients</t>
  </si>
  <si>
    <t xml:space="preserve">Slopes multiplied through many layers can shrink to ~0 — why ReLU, residuals and LayerNorm matter.</t>
  </si>
  <si>
    <t xml:space="preserve">Optimisers</t>
  </si>
  <si>
    <t xml:space="preserve">Smarter step rules such as momentum and Adam (used by the Transformer).</t>
  </si>
  <si>
    <t xml:space="preserve">Overfitting &amp; regularisation</t>
  </si>
  <si>
    <t xml:space="preserve">Memorising instead of generalising; fixed with dropout, more data, etc.</t>
  </si>
</sst>
</file>

<file path=xl/styles.xml><?xml version="1.0" encoding="utf-8"?>
<styleSheet xmlns="http://schemas.openxmlformats.org/spreadsheetml/2006/main">
  <numFmts count="12">
    <numFmt numFmtId="164" formatCode="General"/>
    <numFmt numFmtId="165" formatCode="0.0"/>
    <numFmt numFmtId="166" formatCode="0.##"/>
    <numFmt numFmtId="167" formatCode="0"/>
    <numFmt numFmtId="168" formatCode="#,##0"/>
    <numFmt numFmtId="169" formatCode="0.###"/>
    <numFmt numFmtId="170" formatCode="0.00"/>
    <numFmt numFmtId="171" formatCode="0.0#"/>
    <numFmt numFmtId="172" formatCode="General"/>
    <numFmt numFmtId="173" formatCode="0.0%"/>
    <numFmt numFmtId="174" formatCode="0.000"/>
    <numFmt numFmtId="175" formatCode="0.00000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1F3864"/>
      <name val="Arial"/>
      <family val="0"/>
      <charset val="1"/>
    </font>
    <font>
      <b val="true"/>
      <sz val="12"/>
      <color rgb="FFFFFFFF"/>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b val="true"/>
      <sz val="10"/>
      <color rgb="FF1F3864"/>
      <name val="Arial"/>
      <family val="0"/>
      <charset val="1"/>
    </font>
    <font>
      <b val="true"/>
      <sz val="10"/>
      <color rgb="FFFFFFFF"/>
      <name val="Arial"/>
      <family val="0"/>
      <charset val="1"/>
    </font>
    <font>
      <b val="true"/>
      <u val="single"/>
      <sz val="10"/>
      <color rgb="FF2E75B6"/>
      <name val="Arial"/>
      <family val="0"/>
      <charset val="1"/>
    </font>
    <font>
      <i val="true"/>
      <sz val="10"/>
      <color rgb="FF7F3F00"/>
      <name val="Arial"/>
      <family val="0"/>
      <charset val="1"/>
    </font>
    <font>
      <i val="true"/>
      <sz val="10"/>
      <color rgb="FF000000"/>
      <name val="Arial"/>
      <family val="0"/>
      <charset val="1"/>
    </font>
    <font>
      <sz val="10"/>
      <color rgb="FF404040"/>
      <name val="Arial"/>
      <family val="0"/>
      <charset val="1"/>
    </font>
    <font>
      <b val="true"/>
      <sz val="12"/>
      <color rgb="FF1F3864"/>
      <name val="Arial"/>
      <family val="0"/>
      <charset val="1"/>
    </font>
    <font>
      <b val="true"/>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1F3864"/>
        <bgColor rgb="FF333399"/>
      </patternFill>
    </fill>
    <fill>
      <patternFill patternType="solid">
        <fgColor rgb="FFF2F2F2"/>
        <bgColor rgb="FFE2EFDA"/>
      </patternFill>
    </fill>
    <fill>
      <patternFill patternType="solid">
        <fgColor rgb="FFDEEBF7"/>
        <bgColor rgb="FFD9E2F3"/>
      </patternFill>
    </fill>
    <fill>
      <patternFill patternType="solid">
        <fgColor rgb="FF2E75B6"/>
        <bgColor rgb="FF0066CC"/>
      </patternFill>
    </fill>
    <fill>
      <patternFill patternType="solid">
        <fgColor rgb="FFFFF2CC"/>
        <bgColor rgb="FFFBE5D6"/>
      </patternFill>
    </fill>
    <fill>
      <patternFill patternType="solid">
        <fgColor rgb="FFE2EFDA"/>
        <bgColor rgb="FFDEEBF7"/>
      </patternFill>
    </fill>
    <fill>
      <patternFill patternType="solid">
        <fgColor rgb="FFFBE5D6"/>
        <bgColor rgb="FFFFF2CC"/>
      </patternFill>
    </fill>
    <fill>
      <patternFill patternType="solid">
        <fgColor rgb="FFD9E2F3"/>
        <bgColor rgb="FFDEEBF7"/>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5" fontId="9" fillId="6"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10" fillId="7"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4" fillId="8" borderId="0"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5" fillId="3"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6" fontId="9" fillId="6" borderId="1" xfId="0" applyFont="true" applyBorder="true" applyAlignment="true" applyProtection="false">
      <alignment horizontal="center" vertical="top"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6" fontId="10" fillId="7" borderId="1" xfId="0" applyFont="true" applyBorder="true" applyAlignment="true" applyProtection="false">
      <alignment horizontal="center" vertical="top" textRotation="0" wrapText="true" indent="0" shrinkToFit="false"/>
      <protection locked="true" hidden="false"/>
    </xf>
    <xf numFmtId="167" fontId="9" fillId="6" borderId="1" xfId="0" applyFont="true" applyBorder="true" applyAlignment="true" applyProtection="false">
      <alignment horizontal="center" vertical="top" textRotation="0" wrapText="false" indent="0" shrinkToFit="false"/>
      <protection locked="true" hidden="false"/>
    </xf>
    <xf numFmtId="168" fontId="8" fillId="0" borderId="1" xfId="0" applyFont="true" applyBorder="true" applyAlignment="true" applyProtection="false">
      <alignment horizontal="center" vertical="top" textRotation="0" wrapText="false" indent="0" shrinkToFit="false"/>
      <protection locked="true" hidden="false"/>
    </xf>
    <xf numFmtId="168" fontId="10" fillId="7"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6" fillId="9"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7"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9" fontId="8" fillId="0" borderId="1" xfId="0" applyFont="true" applyBorder="true" applyAlignment="true" applyProtection="false">
      <alignment horizontal="center" vertical="top" textRotation="0" wrapText="fals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70"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6" fontId="10" fillId="3" borderId="1" xfId="0" applyFont="true" applyBorder="true" applyAlignment="true" applyProtection="false">
      <alignment horizontal="center" vertical="top" textRotation="0" wrapText="true" indent="0" shrinkToFit="false"/>
      <protection locked="true" hidden="false"/>
    </xf>
    <xf numFmtId="170" fontId="8" fillId="3" borderId="1" xfId="0" applyFont="true" applyBorder="true" applyAlignment="true" applyProtection="false">
      <alignment horizontal="center" vertical="top" textRotation="0" wrapText="true" indent="0" shrinkToFit="false"/>
      <protection locked="true" hidden="false"/>
    </xf>
    <xf numFmtId="167" fontId="8" fillId="3" borderId="1" xfId="0" applyFont="true" applyBorder="true" applyAlignment="true" applyProtection="false">
      <alignment horizontal="center" vertical="top" textRotation="0" wrapText="true" indent="0" shrinkToFit="false"/>
      <protection locked="true" hidden="false"/>
    </xf>
    <xf numFmtId="171" fontId="9" fillId="6" borderId="1" xfId="0" applyFont="true" applyBorder="true" applyAlignment="true" applyProtection="false">
      <alignment horizontal="center" vertical="top" textRotation="0" wrapText="false" indent="0" shrinkToFit="false"/>
      <protection locked="true" hidden="false"/>
    </xf>
    <xf numFmtId="170" fontId="10" fillId="7" borderId="1" xfId="0" applyFont="true" applyBorder="true" applyAlignment="true" applyProtection="false">
      <alignment horizontal="center" vertical="top" textRotation="0" wrapText="true" indent="0" shrinkToFit="false"/>
      <protection locked="true" hidden="false"/>
    </xf>
    <xf numFmtId="172" fontId="8" fillId="0" borderId="1" xfId="0" applyFont="true" applyBorder="true" applyAlignment="true" applyProtection="false">
      <alignment horizontal="center" vertical="top" textRotation="0" wrapText="true" indent="0" shrinkToFit="false"/>
      <protection locked="true" hidden="false"/>
    </xf>
    <xf numFmtId="164" fontId="18" fillId="6" borderId="0"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6" fontId="10" fillId="7" borderId="1" xfId="0" applyFont="true" applyBorder="true" applyAlignment="true" applyProtection="false">
      <alignment horizontal="center" vertical="top" textRotation="0" wrapText="false" indent="0" shrinkToFit="false"/>
      <protection locked="true" hidden="false"/>
    </xf>
    <xf numFmtId="166" fontId="8" fillId="10" borderId="1" xfId="0" applyFont="true" applyBorder="true" applyAlignment="true" applyProtection="false">
      <alignment horizontal="center" vertical="top" textRotation="0" wrapText="false" indent="0" shrinkToFit="false"/>
      <protection locked="true" hidden="false"/>
    </xf>
    <xf numFmtId="167" fontId="10" fillId="7" borderId="1" xfId="0" applyFont="true" applyBorder="true" applyAlignment="true" applyProtection="false">
      <alignment horizontal="center" vertical="top" textRotation="0" wrapText="false" indent="0" shrinkToFit="false"/>
      <protection locked="true" hidden="false"/>
    </xf>
    <xf numFmtId="173" fontId="10" fillId="7" borderId="1" xfId="0" applyFont="true" applyBorder="true" applyAlignment="true" applyProtection="false">
      <alignment horizontal="center" vertical="top" textRotation="0" wrapText="false" indent="0" shrinkToFit="false"/>
      <protection locked="true" hidden="false"/>
    </xf>
    <xf numFmtId="172" fontId="10" fillId="7"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74" fontId="10" fillId="7" borderId="1" xfId="0" applyFont="true" applyBorder="true" applyAlignment="true" applyProtection="false">
      <alignment horizontal="center" vertical="top" textRotation="0" wrapText="false" indent="0" shrinkToFit="false"/>
      <protection locked="true" hidden="false"/>
    </xf>
    <xf numFmtId="174" fontId="8" fillId="10" borderId="1" xfId="0" applyFont="true" applyBorder="true" applyAlignment="true" applyProtection="false">
      <alignment horizontal="center" vertical="top" textRotation="0" wrapText="false" indent="0" shrinkToFit="false"/>
      <protection locked="true" hidden="false"/>
    </xf>
    <xf numFmtId="168" fontId="9" fillId="6" borderId="1" xfId="0" applyFont="true" applyBorder="true" applyAlignment="true" applyProtection="false">
      <alignment horizontal="center" vertical="top" textRotation="0" wrapText="false" indent="0" shrinkToFit="false"/>
      <protection locked="true" hidden="false"/>
    </xf>
    <xf numFmtId="174" fontId="8" fillId="0" borderId="1" xfId="0" applyFont="true" applyBorder="true" applyAlignment="true" applyProtection="false">
      <alignment horizontal="center" vertical="top" textRotation="0" wrapText="true" indent="0" shrinkToFit="false"/>
      <protection locked="true" hidden="false"/>
    </xf>
    <xf numFmtId="174" fontId="8" fillId="3" borderId="1" xfId="0" applyFont="true" applyBorder="true" applyAlignment="true" applyProtection="false">
      <alignment horizontal="center" vertical="top" textRotation="0" wrapText="true" indent="0" shrinkToFit="false"/>
      <protection locked="true" hidden="false"/>
    </xf>
    <xf numFmtId="174" fontId="8" fillId="0" borderId="1" xfId="0" applyFont="true" applyBorder="true" applyAlignment="true" applyProtection="false">
      <alignment horizontal="center" vertical="top" textRotation="0" wrapText="false" indent="0" shrinkToFit="false"/>
      <protection locked="true" hidden="false"/>
    </xf>
    <xf numFmtId="173" fontId="8" fillId="0" borderId="1" xfId="0" applyFont="true" applyBorder="true" applyAlignment="true" applyProtection="false">
      <alignment horizontal="center" vertical="top" textRotation="0" wrapText="true" indent="0" shrinkToFit="false"/>
      <protection locked="true" hidden="false"/>
    </xf>
    <xf numFmtId="173" fontId="8" fillId="3" borderId="1" xfId="0" applyFont="true" applyBorder="true" applyAlignment="true" applyProtection="false">
      <alignment horizontal="center" vertical="top" textRotation="0" wrapText="true" indent="0" shrinkToFit="false"/>
      <protection locked="true" hidden="false"/>
    </xf>
    <xf numFmtId="175" fontId="8" fillId="0" borderId="1" xfId="0" applyFont="true" applyBorder="true" applyAlignment="true" applyProtection="false">
      <alignment horizontal="center" vertical="top" textRotation="0" wrapText="false" indent="0" shrinkToFit="false"/>
      <protection locked="true" hidden="false"/>
    </xf>
    <xf numFmtId="175" fontId="10" fillId="7"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4" fontId="10" fillId="3" borderId="0" xfId="0" applyFont="true" applyBorder="true" applyAlignment="true" applyProtection="false">
      <alignment horizontal="left"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4" fontId="11" fillId="9" borderId="0" xfId="0" applyFont="true" applyBorder="fals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70" fontId="9" fillId="6" borderId="1" xfId="0" applyFont="true" applyBorder="true" applyAlignment="true" applyProtection="false">
      <alignment horizontal="center" vertical="top"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73" fontId="10" fillId="7" borderId="1" xfId="0" applyFont="true" applyBorder="true" applyAlignment="true" applyProtection="false">
      <alignment horizontal="center" vertical="top" textRotation="0" wrapText="true" indent="0" shrinkToFit="false"/>
      <protection locked="true" hidden="false"/>
    </xf>
    <xf numFmtId="164" fontId="10" fillId="7"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BE5D6"/>
      <rgbColor rgb="FF9BC2E6"/>
      <rgbColor rgb="FFFF99CC"/>
      <rgbColor rgb="FFD9E2F3"/>
      <rgbColor rgb="FFF4B084"/>
      <rgbColor rgb="FF2E75B6"/>
      <rgbColor rgb="FF33CCCC"/>
      <rgbColor rgb="FFA9D08E"/>
      <rgbColor rgb="FFFFCC00"/>
      <rgbColor rgb="FFFF9900"/>
      <rgbColor rgb="FFED7D31"/>
      <rgbColor rgb="FF595959"/>
      <rgbColor rgb="FFA5A5A5"/>
      <rgbColor rgb="FF1F3864"/>
      <rgbColor rgb="FF70AD47"/>
      <rgbColor rgb="FF003300"/>
      <rgbColor rgb="FF333300"/>
      <rgbColor rgb="FF7F3F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Activation functions</a:t>
            </a:r>
          </a:p>
        </c:rich>
      </c:tx>
      <c:overlay val="0"/>
      <c:spPr>
        <a:noFill/>
        <a:ln w="0">
          <a:noFill/>
        </a:ln>
      </c:spPr>
    </c:title>
    <c:autoTitleDeleted val="0"/>
    <c:plotArea>
      <c:scatterChart>
        <c:scatterStyle val="line"/>
        <c:varyColors val="0"/>
        <c:ser>
          <c:idx val="0"/>
          <c:order val="0"/>
          <c:tx>
            <c:strRef>
              <c:f>"step"</c:f>
              <c:strCache>
                <c:ptCount val="1"/>
                <c:pt idx="0">
                  <c:v>step</c:v>
                </c:pt>
              </c:strCache>
            </c:strRef>
          </c:tx>
          <c:spPr>
            <a:solidFill>
              <a:srgbClr val="a5a5a5"/>
            </a:solidFill>
            <a:ln w="24840">
              <a:solidFill>
                <a:srgbClr val="a5a5a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Activation Functions'!$B$30:$B$46</c:f>
              <c:numCache>
                <c:formatCode>0.0</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'06 Activation Functions'!$C$30:$C$46</c:f>
              <c:numCache>
                <c:formatCode>0.000</c:formatCode>
                <c:ptCount val="17"/>
                <c:pt idx="0">
                  <c:v>0</c:v>
                </c:pt>
                <c:pt idx="1">
                  <c:v>0</c:v>
                </c:pt>
                <c:pt idx="2">
                  <c:v>0</c:v>
                </c:pt>
                <c:pt idx="3">
                  <c:v>0</c:v>
                </c:pt>
                <c:pt idx="4">
                  <c:v>0</c:v>
                </c:pt>
                <c:pt idx="5">
                  <c:v>0</c:v>
                </c:pt>
                <c:pt idx="6">
                  <c:v>0</c:v>
                </c:pt>
                <c:pt idx="7">
                  <c:v>0</c:v>
                </c:pt>
                <c:pt idx="8">
                  <c:v>0</c:v>
                </c:pt>
                <c:pt idx="9">
                  <c:v>1</c:v>
                </c:pt>
                <c:pt idx="10">
                  <c:v>1</c:v>
                </c:pt>
                <c:pt idx="11">
                  <c:v>1</c:v>
                </c:pt>
                <c:pt idx="12">
                  <c:v>1</c:v>
                </c:pt>
                <c:pt idx="13">
                  <c:v>1</c:v>
                </c:pt>
                <c:pt idx="14">
                  <c:v>1</c:v>
                </c:pt>
                <c:pt idx="15">
                  <c:v>1</c:v>
                </c:pt>
                <c:pt idx="16">
                  <c:v>1</c:v>
                </c:pt>
              </c:numCache>
            </c:numRef>
          </c:yVal>
          <c:smooth val="1"/>
        </c:ser>
        <c:ser>
          <c:idx val="1"/>
          <c:order val="1"/>
          <c:tx>
            <c:strRef>
              <c:f>"sigmoid"</c:f>
              <c:strCache>
                <c:ptCount val="1"/>
                <c:pt idx="0">
                  <c:v>sigmoid</c:v>
                </c:pt>
              </c:strCache>
            </c:strRef>
          </c:tx>
          <c:spPr>
            <a:solidFill>
              <a:srgbClr val="2e75b6"/>
            </a:solidFill>
            <a:ln w="24840">
              <a:solidFill>
                <a:srgbClr val="2e75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Activation Functions'!$B$30:$B$46</c:f>
              <c:numCache>
                <c:formatCode>0.0</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'06 Activation Functions'!$D$30:$D$46</c:f>
              <c:numCache>
                <c:formatCode>0.000</c:formatCode>
                <c:ptCount val="17"/>
                <c:pt idx="0">
                  <c:v>0.0179862099620916</c:v>
                </c:pt>
                <c:pt idx="1">
                  <c:v>0.0293122307513563</c:v>
                </c:pt>
                <c:pt idx="2">
                  <c:v>0.0474258731775668</c:v>
                </c:pt>
                <c:pt idx="3">
                  <c:v>0.0758581800212436</c:v>
                </c:pt>
                <c:pt idx="4">
                  <c:v>0.119202922022118</c:v>
                </c:pt>
                <c:pt idx="5">
                  <c:v>0.182425523806356</c:v>
                </c:pt>
                <c:pt idx="6">
                  <c:v>0.268941421369995</c:v>
                </c:pt>
                <c:pt idx="7">
                  <c:v>0.377540668798145</c:v>
                </c:pt>
                <c:pt idx="8">
                  <c:v>0.5</c:v>
                </c:pt>
                <c:pt idx="9">
                  <c:v>0.622459331201855</c:v>
                </c:pt>
                <c:pt idx="10">
                  <c:v>0.731058578630005</c:v>
                </c:pt>
                <c:pt idx="11">
                  <c:v>0.817574476193644</c:v>
                </c:pt>
                <c:pt idx="12">
                  <c:v>0.880797077977882</c:v>
                </c:pt>
                <c:pt idx="13">
                  <c:v>0.924141819978757</c:v>
                </c:pt>
                <c:pt idx="14">
                  <c:v>0.952574126822433</c:v>
                </c:pt>
                <c:pt idx="15">
                  <c:v>0.970687769248644</c:v>
                </c:pt>
                <c:pt idx="16">
                  <c:v>0.982013790037909</c:v>
                </c:pt>
              </c:numCache>
            </c:numRef>
          </c:yVal>
          <c:smooth val="1"/>
        </c:ser>
        <c:ser>
          <c:idx val="2"/>
          <c:order val="2"/>
          <c:tx>
            <c:strRef>
              <c:f>"tanh"</c:f>
              <c:strCache>
                <c:ptCount val="1"/>
                <c:pt idx="0">
                  <c:v>tanh</c:v>
                </c:pt>
              </c:strCache>
            </c:strRef>
          </c:tx>
          <c:spPr>
            <a:solidFill>
              <a:srgbClr val="ed7d31"/>
            </a:solidFill>
            <a:ln w="2484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Activation Functions'!$B$30:$B$46</c:f>
              <c:numCache>
                <c:formatCode>0.0</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'06 Activation Functions'!$E$30:$E$46</c:f>
              <c:numCache>
                <c:formatCode>0.000</c:formatCode>
                <c:ptCount val="17"/>
                <c:pt idx="0">
                  <c:v>-0.999329299739067</c:v>
                </c:pt>
                <c:pt idx="1">
                  <c:v>-0.998177897611199</c:v>
                </c:pt>
                <c:pt idx="2">
                  <c:v>-0.995054753686731</c:v>
                </c:pt>
                <c:pt idx="3">
                  <c:v>-0.98661429815143</c:v>
                </c:pt>
                <c:pt idx="4">
                  <c:v>-0.964027580075817</c:v>
                </c:pt>
                <c:pt idx="5">
                  <c:v>-0.905148253644866</c:v>
                </c:pt>
                <c:pt idx="6">
                  <c:v>-0.761594155955765</c:v>
                </c:pt>
                <c:pt idx="7">
                  <c:v>-0.46211715726001</c:v>
                </c:pt>
                <c:pt idx="8">
                  <c:v>0</c:v>
                </c:pt>
                <c:pt idx="9">
                  <c:v>0.46211715726001</c:v>
                </c:pt>
                <c:pt idx="10">
                  <c:v>0.761594155955765</c:v>
                </c:pt>
                <c:pt idx="11">
                  <c:v>0.905148253644866</c:v>
                </c:pt>
                <c:pt idx="12">
                  <c:v>0.964027580075817</c:v>
                </c:pt>
                <c:pt idx="13">
                  <c:v>0.98661429815143</c:v>
                </c:pt>
                <c:pt idx="14">
                  <c:v>0.995054753686731</c:v>
                </c:pt>
                <c:pt idx="15">
                  <c:v>0.998177897611199</c:v>
                </c:pt>
                <c:pt idx="16">
                  <c:v>0.999329299739067</c:v>
                </c:pt>
              </c:numCache>
            </c:numRef>
          </c:yVal>
          <c:smooth val="1"/>
        </c:ser>
        <c:ser>
          <c:idx val="3"/>
          <c:order val="3"/>
          <c:tx>
            <c:strRef>
              <c:f>"ReLU"</c:f>
              <c:strCache>
                <c:ptCount val="1"/>
                <c:pt idx="0">
                  <c:v>ReLU</c:v>
                </c:pt>
              </c:strCache>
            </c:strRef>
          </c:tx>
          <c:spPr>
            <a:solidFill>
              <a:srgbClr val="1f3864"/>
            </a:solidFill>
            <a:ln w="2484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Activation Functions'!$B$30:$B$46</c:f>
              <c:numCache>
                <c:formatCode>0.0</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'06 Activation Functions'!$F$30:$F$46</c:f>
              <c:numCache>
                <c:formatCode>0.000</c:formatCode>
                <c:ptCount val="17"/>
                <c:pt idx="0">
                  <c:v>0</c:v>
                </c:pt>
                <c:pt idx="1">
                  <c:v>0</c:v>
                </c:pt>
                <c:pt idx="2">
                  <c:v>0</c:v>
                </c:pt>
                <c:pt idx="3">
                  <c:v>0</c:v>
                </c:pt>
                <c:pt idx="4">
                  <c:v>0</c:v>
                </c:pt>
                <c:pt idx="5">
                  <c:v>0</c:v>
                </c:pt>
                <c:pt idx="6">
                  <c:v>0</c:v>
                </c:pt>
                <c:pt idx="7">
                  <c:v>0</c:v>
                </c:pt>
                <c:pt idx="8">
                  <c:v>0</c:v>
                </c:pt>
                <c:pt idx="9">
                  <c:v>0.5</c:v>
                </c:pt>
                <c:pt idx="10">
                  <c:v>1</c:v>
                </c:pt>
                <c:pt idx="11">
                  <c:v>1.5</c:v>
                </c:pt>
                <c:pt idx="12">
                  <c:v>2</c:v>
                </c:pt>
                <c:pt idx="13">
                  <c:v>2.5</c:v>
                </c:pt>
                <c:pt idx="14">
                  <c:v>3</c:v>
                </c:pt>
                <c:pt idx="15">
                  <c:v>3.5</c:v>
                </c:pt>
                <c:pt idx="16">
                  <c:v>4</c:v>
                </c:pt>
              </c:numCache>
            </c:numRef>
          </c:yVal>
          <c:smooth val="1"/>
        </c:ser>
        <c:ser>
          <c:idx val="4"/>
          <c:order val="4"/>
          <c:tx>
            <c:strRef>
              <c:f>"GELU"</c:f>
              <c:strCache>
                <c:ptCount val="1"/>
                <c:pt idx="0">
                  <c:v>GELU</c:v>
                </c:pt>
              </c:strCache>
            </c:strRef>
          </c:tx>
          <c:spPr>
            <a:solidFill>
              <a:srgbClr val="70ad47"/>
            </a:solidFill>
            <a:ln w="24840">
              <a:solidFill>
                <a:srgbClr val="70ad4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Activation Functions'!$B$30:$B$46</c:f>
              <c:numCache>
                <c:formatCode>0.0</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'06 Activation Functions'!$G$30:$G$46</c:f>
              <c:numCache>
                <c:formatCode>0.000</c:formatCode>
                <c:ptCount val="17"/>
                <c:pt idx="0">
                  <c:v>-7.02459481922713E-005</c:v>
                </c:pt>
                <c:pt idx="1">
                  <c:v>-0.00061619765537374</c:v>
                </c:pt>
                <c:pt idx="2">
                  <c:v>-0.00363739208177299</c:v>
                </c:pt>
                <c:pt idx="3">
                  <c:v>-0.0150842660899986</c:v>
                </c:pt>
                <c:pt idx="4">
                  <c:v>-0.0454023059122249</c:v>
                </c:pt>
                <c:pt idx="5">
                  <c:v>-0.100428423019767</c:v>
                </c:pt>
                <c:pt idx="6">
                  <c:v>-0.158808009391723</c:v>
                </c:pt>
                <c:pt idx="7">
                  <c:v>-0.154285990174856</c:v>
                </c:pt>
                <c:pt idx="8">
                  <c:v>0</c:v>
                </c:pt>
                <c:pt idx="9">
                  <c:v>0.345714009825144</c:v>
                </c:pt>
                <c:pt idx="10">
                  <c:v>0.841191990608277</c:v>
                </c:pt>
                <c:pt idx="11">
                  <c:v>1.39957157698023</c:v>
                </c:pt>
                <c:pt idx="12">
                  <c:v>1.95459769408778</c:v>
                </c:pt>
                <c:pt idx="13">
                  <c:v>2.48491573391</c:v>
                </c:pt>
                <c:pt idx="14">
                  <c:v>2.99636260791823</c:v>
                </c:pt>
                <c:pt idx="15">
                  <c:v>3.49938380234463</c:v>
                </c:pt>
                <c:pt idx="16">
                  <c:v>3.99992975405181</c:v>
                </c:pt>
              </c:numCache>
            </c:numRef>
          </c:yVal>
          <c:smooth val="1"/>
        </c:ser>
        <c:axId val="18500148"/>
        <c:axId val="41408317"/>
      </c:scatterChart>
      <c:valAx>
        <c:axId val="18500148"/>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z</a:t>
                </a:r>
              </a:p>
            </c:rich>
          </c:tx>
          <c:overlay val="0"/>
          <c:spPr>
            <a:noFill/>
            <a:ln w="0">
              <a:noFill/>
            </a:ln>
          </c:spPr>
        </c:title>
        <c:numFmt formatCode="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1408317"/>
        <c:crosses val="autoZero"/>
        <c:crossBetween val="midCat"/>
      </c:valAx>
      <c:valAx>
        <c:axId val="4140831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f(z)</a:t>
                </a:r>
              </a:p>
            </c:rich>
          </c:tx>
          <c:overlay val="0"/>
          <c:spPr>
            <a:noFill/>
            <a:ln w="0">
              <a:noFill/>
            </a:ln>
          </c:spPr>
        </c:title>
        <c:numFmt formatCode="0.0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850014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47</xdr:row>
      <xdr:rowOff>0</xdr:rowOff>
    </xdr:from>
    <xdr:to>
      <xdr:col>9</xdr:col>
      <xdr:colOff>763200</xdr:colOff>
      <xdr:row>62</xdr:row>
      <xdr:rowOff>21960</xdr:rowOff>
    </xdr:to>
    <xdr:graphicFrame>
      <xdr:nvGraphicFramePr>
        <xdr:cNvPr id="0" name="Chart 1"/>
        <xdr:cNvGraphicFramePr/>
      </xdr:nvGraphicFramePr>
      <xdr:xfrm>
        <a:off x="2489040" y="1026792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nn_check.xlsx" TargetMode="External"/><Relationship Id="rId2" Type="http://schemas.openxmlformats.org/officeDocument/2006/relationships/hyperlink" Target="nn_check.xlsx" TargetMode="External"/><Relationship Id="rId3" Type="http://schemas.openxmlformats.org/officeDocument/2006/relationships/hyperlink" Target="nn_check.xlsx" TargetMode="External"/><Relationship Id="rId4" Type="http://schemas.openxmlformats.org/officeDocument/2006/relationships/hyperlink" Target="nn_check.xlsx" TargetMode="External"/><Relationship Id="rId5" Type="http://schemas.openxmlformats.org/officeDocument/2006/relationships/hyperlink" Target="nn_check.xlsx" TargetMode="External"/><Relationship Id="rId6" Type="http://schemas.openxmlformats.org/officeDocument/2006/relationships/hyperlink" Target="nn_check.xlsx" TargetMode="External"/><Relationship Id="rId7" Type="http://schemas.openxmlformats.org/officeDocument/2006/relationships/hyperlink" Target="nn_check.xlsx" TargetMode="External"/><Relationship Id="rId8" Type="http://schemas.openxmlformats.org/officeDocument/2006/relationships/hyperlink" Target="nn_check.xlsx" TargetMode="External"/><Relationship Id="rId9" Type="http://schemas.openxmlformats.org/officeDocument/2006/relationships/hyperlink" Target="nn_check.xlsx" TargetMode="External"/><Relationship Id="rId10" Type="http://schemas.openxmlformats.org/officeDocument/2006/relationships/hyperlink" Target="nn_check.xlsx" TargetMode="External"/><Relationship Id="rId11" Type="http://schemas.openxmlformats.org/officeDocument/2006/relationships/hyperlink" Target="nn_check.xlsx" TargetMode="External"/><Relationship Id="rId12" Type="http://schemas.openxmlformats.org/officeDocument/2006/relationships/hyperlink" Target="nn_check.xlsx"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N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0</v>
      </c>
      <c r="C1" s="1"/>
      <c r="D1" s="1"/>
      <c r="E1" s="1"/>
      <c r="F1" s="1"/>
      <c r="G1" s="1"/>
      <c r="H1" s="1"/>
      <c r="I1" s="1"/>
      <c r="J1" s="1"/>
      <c r="K1" s="1"/>
      <c r="L1" s="1"/>
      <c r="M1" s="1"/>
      <c r="N1" s="1"/>
    </row>
    <row r="2" customFormat="false" ht="17.25" hidden="false" customHeight="true" outlineLevel="0" collapsed="false">
      <c r="B2" s="2" t="s">
        <v>1</v>
      </c>
      <c r="C2" s="2"/>
      <c r="D2" s="2"/>
      <c r="E2" s="2"/>
      <c r="F2" s="2"/>
      <c r="G2" s="2"/>
      <c r="H2" s="2"/>
      <c r="I2" s="2"/>
      <c r="J2" s="2"/>
      <c r="K2" s="2"/>
      <c r="L2" s="2"/>
      <c r="M2" s="2"/>
      <c r="N2" s="2"/>
    </row>
    <row r="4" customFormat="false" ht="34.5" hidden="false" customHeight="true" outlineLevel="0" collapsed="false">
      <c r="B4" s="3" t="s">
        <v>2</v>
      </c>
      <c r="C4" s="3"/>
      <c r="D4" s="3"/>
      <c r="E4" s="3"/>
      <c r="F4" s="3"/>
      <c r="G4" s="3"/>
      <c r="H4" s="3"/>
      <c r="I4" s="3"/>
      <c r="J4" s="3"/>
      <c r="K4" s="3"/>
      <c r="L4" s="3"/>
      <c r="M4" s="3"/>
      <c r="N4" s="3"/>
    </row>
    <row r="5" customFormat="false" ht="21.75" hidden="false" customHeight="true" outlineLevel="0" collapsed="false">
      <c r="B5" s="4" t="s">
        <v>3</v>
      </c>
      <c r="C5" s="4"/>
      <c r="D5" s="4"/>
      <c r="E5" s="4"/>
      <c r="F5" s="4"/>
      <c r="G5" s="4"/>
      <c r="H5" s="4"/>
      <c r="I5" s="4"/>
      <c r="J5" s="4"/>
      <c r="K5" s="4"/>
      <c r="L5" s="4"/>
      <c r="M5" s="4"/>
      <c r="N5" s="4"/>
    </row>
    <row r="6" customFormat="false" ht="17.25" hidden="false" customHeight="true" outlineLevel="0" collapsed="false">
      <c r="B6" s="5" t="s">
        <v>4</v>
      </c>
      <c r="C6" s="5"/>
      <c r="D6" s="5"/>
      <c r="E6" s="5"/>
      <c r="F6" s="5"/>
      <c r="G6" s="5"/>
      <c r="H6" s="5"/>
      <c r="I6" s="5"/>
      <c r="J6" s="5"/>
      <c r="K6" s="5"/>
      <c r="L6" s="5"/>
      <c r="M6" s="5"/>
      <c r="N6" s="5"/>
    </row>
    <row r="7" customFormat="false" ht="17.25" hidden="false" customHeight="true" outlineLevel="0" collapsed="false">
      <c r="B7" s="5" t="s">
        <v>5</v>
      </c>
      <c r="C7" s="5"/>
      <c r="D7" s="5"/>
      <c r="E7" s="5"/>
      <c r="F7" s="5"/>
      <c r="G7" s="5"/>
      <c r="H7" s="5"/>
      <c r="I7" s="5"/>
      <c r="J7" s="5"/>
      <c r="K7" s="5"/>
      <c r="L7" s="5"/>
      <c r="M7" s="5"/>
      <c r="N7" s="5"/>
    </row>
    <row r="8" customFormat="false" ht="17.25" hidden="false" customHeight="true" outlineLevel="0" collapsed="false">
      <c r="B8" s="5" t="s">
        <v>6</v>
      </c>
      <c r="C8" s="5"/>
      <c r="D8" s="5"/>
      <c r="E8" s="5"/>
      <c r="F8" s="5"/>
      <c r="G8" s="5"/>
      <c r="H8" s="5"/>
      <c r="I8" s="5"/>
      <c r="J8" s="5"/>
      <c r="K8" s="5"/>
      <c r="L8" s="5"/>
      <c r="M8" s="5"/>
      <c r="N8" s="5"/>
    </row>
    <row r="9" customFormat="false" ht="17.25" hidden="false" customHeight="true" outlineLevel="0" collapsed="false">
      <c r="B9" s="5" t="s">
        <v>7</v>
      </c>
      <c r="C9" s="5"/>
      <c r="D9" s="5"/>
      <c r="E9" s="5"/>
      <c r="F9" s="5"/>
      <c r="G9" s="5"/>
      <c r="H9" s="5"/>
      <c r="I9" s="5"/>
      <c r="J9" s="5"/>
      <c r="K9" s="5"/>
      <c r="L9" s="5"/>
      <c r="M9" s="5"/>
      <c r="N9" s="5"/>
    </row>
    <row r="10" customFormat="false" ht="17.25" hidden="false" customHeight="true" outlineLevel="0" collapsed="false">
      <c r="B10" s="5" t="s">
        <v>8</v>
      </c>
      <c r="C10" s="5"/>
      <c r="D10" s="5"/>
      <c r="E10" s="5"/>
      <c r="F10" s="5"/>
      <c r="G10" s="5"/>
      <c r="H10" s="5"/>
      <c r="I10" s="5"/>
      <c r="J10" s="5"/>
      <c r="K10" s="5"/>
      <c r="L10" s="5"/>
      <c r="M10" s="5"/>
      <c r="N10" s="5"/>
    </row>
    <row r="11" customFormat="false" ht="21.75" hidden="false" customHeight="true" outlineLevel="0" collapsed="false">
      <c r="B11" s="4" t="s">
        <v>9</v>
      </c>
      <c r="C11" s="4"/>
      <c r="D11" s="4"/>
      <c r="E11" s="4"/>
      <c r="F11" s="4"/>
      <c r="G11" s="4"/>
      <c r="H11" s="4"/>
      <c r="I11" s="4"/>
      <c r="J11" s="4"/>
      <c r="K11" s="4"/>
      <c r="L11" s="4"/>
      <c r="M11" s="4"/>
      <c r="N11" s="4"/>
    </row>
    <row r="12" customFormat="false" ht="17.25" hidden="false" customHeight="true" outlineLevel="0" collapsed="false">
      <c r="B12" s="6" t="n">
        <v>1.5</v>
      </c>
      <c r="C12" s="5" t="s">
        <v>10</v>
      </c>
      <c r="D12" s="5"/>
      <c r="E12" s="5"/>
      <c r="F12" s="5"/>
      <c r="G12" s="5"/>
      <c r="H12" s="5"/>
      <c r="I12" s="5"/>
      <c r="J12" s="5"/>
      <c r="K12" s="5"/>
      <c r="L12" s="5"/>
      <c r="M12" s="5"/>
      <c r="N12" s="5"/>
    </row>
    <row r="13" customFormat="false" ht="17.25" hidden="false" customHeight="true" outlineLevel="0" collapsed="false">
      <c r="B13" s="7" t="n">
        <f aca="false">B12*2</f>
        <v>3</v>
      </c>
      <c r="C13" s="5" t="s">
        <v>11</v>
      </c>
      <c r="D13" s="5"/>
      <c r="E13" s="5"/>
      <c r="F13" s="5"/>
      <c r="G13" s="5"/>
      <c r="H13" s="5"/>
      <c r="I13" s="5"/>
      <c r="J13" s="5"/>
      <c r="K13" s="5"/>
      <c r="L13" s="5"/>
      <c r="M13" s="5"/>
      <c r="N13" s="5"/>
    </row>
    <row r="14" customFormat="false" ht="17.25" hidden="false" customHeight="true" outlineLevel="0" collapsed="false">
      <c r="B14" s="8" t="n">
        <f aca="false">B12*3</f>
        <v>4.5</v>
      </c>
      <c r="C14" s="5" t="s">
        <v>12</v>
      </c>
      <c r="D14" s="5"/>
      <c r="E14" s="5"/>
      <c r="F14" s="5"/>
      <c r="G14" s="5"/>
      <c r="H14" s="5"/>
      <c r="I14" s="5"/>
      <c r="J14" s="5"/>
      <c r="K14" s="5"/>
      <c r="L14" s="5"/>
      <c r="M14" s="5"/>
      <c r="N14" s="5"/>
    </row>
    <row r="15" customFormat="false" ht="17.25" hidden="false" customHeight="true" outlineLevel="0" collapsed="false">
      <c r="B15" s="9" t="s">
        <v>13</v>
      </c>
      <c r="C15" s="5" t="s">
        <v>14</v>
      </c>
      <c r="D15" s="5"/>
      <c r="E15" s="5"/>
      <c r="F15" s="5"/>
      <c r="G15" s="5"/>
      <c r="H15" s="5"/>
      <c r="I15" s="5"/>
      <c r="J15" s="5"/>
      <c r="K15" s="5"/>
      <c r="L15" s="5"/>
      <c r="M15" s="5"/>
      <c r="N15" s="5"/>
    </row>
    <row r="17" customFormat="false" ht="21.75" hidden="false" customHeight="true" outlineLevel="0" collapsed="false">
      <c r="B17" s="4" t="s">
        <v>15</v>
      </c>
      <c r="C17" s="4"/>
      <c r="D17" s="4"/>
      <c r="E17" s="4"/>
      <c r="F17" s="4"/>
      <c r="G17" s="4"/>
      <c r="H17" s="4"/>
      <c r="I17" s="4"/>
      <c r="J17" s="4"/>
      <c r="K17" s="4"/>
      <c r="L17" s="4"/>
      <c r="M17" s="4"/>
      <c r="N17" s="4"/>
    </row>
    <row r="18" customFormat="false" ht="17.25" hidden="false" customHeight="true" outlineLevel="0" collapsed="false">
      <c r="B18" s="10" t="s">
        <v>16</v>
      </c>
      <c r="C18" s="10"/>
      <c r="D18" s="10"/>
      <c r="E18" s="10" t="s">
        <v>17</v>
      </c>
      <c r="F18" s="10"/>
      <c r="G18" s="10"/>
      <c r="H18" s="10"/>
      <c r="I18" s="10"/>
      <c r="J18" s="10"/>
      <c r="K18" s="10"/>
      <c r="L18" s="10"/>
      <c r="M18" s="10" t="s">
        <v>18</v>
      </c>
      <c r="N18" s="10"/>
    </row>
    <row r="19" customFormat="false" ht="17.25" hidden="false" customHeight="true" outlineLevel="0" collapsed="false">
      <c r="B19" s="11" t="s">
        <v>19</v>
      </c>
      <c r="C19" s="11"/>
      <c r="D19" s="11"/>
      <c r="E19" s="12" t="s">
        <v>20</v>
      </c>
      <c r="F19" s="12"/>
      <c r="G19" s="12"/>
      <c r="H19" s="12"/>
      <c r="I19" s="12"/>
      <c r="J19" s="12"/>
      <c r="K19" s="12"/>
      <c r="L19" s="12"/>
      <c r="M19" s="13" t="s">
        <v>21</v>
      </c>
      <c r="N19" s="13"/>
    </row>
    <row r="20" customFormat="false" ht="17.25" hidden="false" customHeight="true" outlineLevel="0" collapsed="false">
      <c r="B20" s="14" t="s">
        <v>22</v>
      </c>
      <c r="C20" s="14"/>
      <c r="D20" s="14"/>
      <c r="E20" s="15" t="s">
        <v>23</v>
      </c>
      <c r="F20" s="15"/>
      <c r="G20" s="15"/>
      <c r="H20" s="15"/>
      <c r="I20" s="15"/>
      <c r="J20" s="15"/>
      <c r="K20" s="15"/>
      <c r="L20" s="15"/>
      <c r="M20" s="16" t="s">
        <v>21</v>
      </c>
      <c r="N20" s="16"/>
    </row>
    <row r="21" customFormat="false" ht="17.25" hidden="false" customHeight="true" outlineLevel="0" collapsed="false">
      <c r="B21" s="11" t="s">
        <v>24</v>
      </c>
      <c r="C21" s="11"/>
      <c r="D21" s="11"/>
      <c r="E21" s="12" t="s">
        <v>25</v>
      </c>
      <c r="F21" s="12"/>
      <c r="G21" s="12"/>
      <c r="H21" s="12"/>
      <c r="I21" s="12"/>
      <c r="J21" s="12"/>
      <c r="K21" s="12"/>
      <c r="L21" s="12"/>
      <c r="M21" s="13" t="s">
        <v>21</v>
      </c>
      <c r="N21" s="13"/>
    </row>
    <row r="22" customFormat="false" ht="17.25" hidden="false" customHeight="true" outlineLevel="0" collapsed="false">
      <c r="B22" s="14" t="s">
        <v>26</v>
      </c>
      <c r="C22" s="14"/>
      <c r="D22" s="14"/>
      <c r="E22" s="15" t="s">
        <v>27</v>
      </c>
      <c r="F22" s="15"/>
      <c r="G22" s="15"/>
      <c r="H22" s="15"/>
      <c r="I22" s="15"/>
      <c r="J22" s="15"/>
      <c r="K22" s="15"/>
      <c r="L22" s="15"/>
      <c r="M22" s="16" t="s">
        <v>21</v>
      </c>
      <c r="N22" s="16"/>
    </row>
    <row r="23" customFormat="false" ht="17.25" hidden="false" customHeight="true" outlineLevel="0" collapsed="false">
      <c r="B23" s="11" t="s">
        <v>28</v>
      </c>
      <c r="C23" s="11"/>
      <c r="D23" s="11"/>
      <c r="E23" s="12" t="s">
        <v>29</v>
      </c>
      <c r="F23" s="12"/>
      <c r="G23" s="12"/>
      <c r="H23" s="12"/>
      <c r="I23" s="12"/>
      <c r="J23" s="12"/>
      <c r="K23" s="12"/>
      <c r="L23" s="12"/>
      <c r="M23" s="13" t="s">
        <v>30</v>
      </c>
      <c r="N23" s="13"/>
    </row>
    <row r="24" customFormat="false" ht="17.25" hidden="false" customHeight="true" outlineLevel="0" collapsed="false">
      <c r="B24" s="14" t="s">
        <v>31</v>
      </c>
      <c r="C24" s="14"/>
      <c r="D24" s="14"/>
      <c r="E24" s="15" t="s">
        <v>32</v>
      </c>
      <c r="F24" s="15"/>
      <c r="G24" s="15"/>
      <c r="H24" s="15"/>
      <c r="I24" s="15"/>
      <c r="J24" s="15"/>
      <c r="K24" s="15"/>
      <c r="L24" s="15"/>
      <c r="M24" s="16" t="s">
        <v>30</v>
      </c>
      <c r="N24" s="16"/>
    </row>
    <row r="25" customFormat="false" ht="17.25" hidden="false" customHeight="true" outlineLevel="0" collapsed="false">
      <c r="B25" s="11" t="s">
        <v>33</v>
      </c>
      <c r="C25" s="11"/>
      <c r="D25" s="11"/>
      <c r="E25" s="12" t="s">
        <v>34</v>
      </c>
      <c r="F25" s="12"/>
      <c r="G25" s="12"/>
      <c r="H25" s="12"/>
      <c r="I25" s="12"/>
      <c r="J25" s="12"/>
      <c r="K25" s="12"/>
      <c r="L25" s="12"/>
      <c r="M25" s="13" t="s">
        <v>30</v>
      </c>
      <c r="N25" s="13"/>
    </row>
    <row r="26" customFormat="false" ht="17.25" hidden="false" customHeight="true" outlineLevel="0" collapsed="false">
      <c r="B26" s="14" t="s">
        <v>35</v>
      </c>
      <c r="C26" s="14"/>
      <c r="D26" s="14"/>
      <c r="E26" s="15" t="s">
        <v>36</v>
      </c>
      <c r="F26" s="15"/>
      <c r="G26" s="15"/>
      <c r="H26" s="15"/>
      <c r="I26" s="15"/>
      <c r="J26" s="15"/>
      <c r="K26" s="15"/>
      <c r="L26" s="15"/>
      <c r="M26" s="16" t="s">
        <v>30</v>
      </c>
      <c r="N26" s="16"/>
    </row>
    <row r="27" customFormat="false" ht="17.25" hidden="false" customHeight="true" outlineLevel="0" collapsed="false">
      <c r="B27" s="11" t="s">
        <v>37</v>
      </c>
      <c r="C27" s="11"/>
      <c r="D27" s="11"/>
      <c r="E27" s="12" t="s">
        <v>38</v>
      </c>
      <c r="F27" s="12"/>
      <c r="G27" s="12"/>
      <c r="H27" s="12"/>
      <c r="I27" s="12"/>
      <c r="J27" s="12"/>
      <c r="K27" s="12"/>
      <c r="L27" s="12"/>
      <c r="M27" s="13" t="s">
        <v>30</v>
      </c>
      <c r="N27" s="13"/>
    </row>
    <row r="28" customFormat="false" ht="17.25" hidden="false" customHeight="true" outlineLevel="0" collapsed="false">
      <c r="B28" s="14" t="s">
        <v>39</v>
      </c>
      <c r="C28" s="14"/>
      <c r="D28" s="14"/>
      <c r="E28" s="15" t="s">
        <v>40</v>
      </c>
      <c r="F28" s="15"/>
      <c r="G28" s="15"/>
      <c r="H28" s="15"/>
      <c r="I28" s="15"/>
      <c r="J28" s="15"/>
      <c r="K28" s="15"/>
      <c r="L28" s="15"/>
      <c r="M28" s="16" t="s">
        <v>30</v>
      </c>
      <c r="N28" s="16"/>
    </row>
    <row r="29" customFormat="false" ht="17.25" hidden="false" customHeight="true" outlineLevel="0" collapsed="false">
      <c r="B29" s="11" t="s">
        <v>41</v>
      </c>
      <c r="C29" s="11"/>
      <c r="D29" s="11"/>
      <c r="E29" s="12" t="s">
        <v>42</v>
      </c>
      <c r="F29" s="12"/>
      <c r="G29" s="12"/>
      <c r="H29" s="12"/>
      <c r="I29" s="12"/>
      <c r="J29" s="12"/>
      <c r="K29" s="12"/>
      <c r="L29" s="12"/>
      <c r="M29" s="13" t="s">
        <v>43</v>
      </c>
      <c r="N29" s="13"/>
    </row>
    <row r="30" customFormat="false" ht="17.25" hidden="false" customHeight="true" outlineLevel="0" collapsed="false">
      <c r="B30" s="14" t="s">
        <v>44</v>
      </c>
      <c r="C30" s="14"/>
      <c r="D30" s="14"/>
      <c r="E30" s="15" t="s">
        <v>45</v>
      </c>
      <c r="F30" s="15"/>
      <c r="G30" s="15"/>
      <c r="H30" s="15"/>
      <c r="I30" s="15"/>
      <c r="J30" s="15"/>
      <c r="K30" s="15"/>
      <c r="L30" s="15"/>
      <c r="M30" s="16" t="s">
        <v>46</v>
      </c>
      <c r="N30" s="16"/>
    </row>
    <row r="31" customFormat="false" ht="17.25" hidden="false" customHeight="true" outlineLevel="0" collapsed="false">
      <c r="B31" s="17" t="s">
        <v>47</v>
      </c>
      <c r="C31" s="17"/>
      <c r="D31" s="17"/>
      <c r="E31" s="17"/>
      <c r="F31" s="17"/>
      <c r="G31" s="17"/>
      <c r="H31" s="17"/>
      <c r="I31" s="17"/>
      <c r="J31" s="17"/>
      <c r="K31" s="17"/>
      <c r="L31" s="17"/>
      <c r="M31" s="17"/>
      <c r="N31" s="17"/>
    </row>
  </sheetData>
  <mergeCells count="55">
    <mergeCell ref="B1:N1"/>
    <mergeCell ref="B2:N2"/>
    <mergeCell ref="B4:N4"/>
    <mergeCell ref="B5:N5"/>
    <mergeCell ref="B6:N6"/>
    <mergeCell ref="B7:N7"/>
    <mergeCell ref="B8:N8"/>
    <mergeCell ref="B9:N9"/>
    <mergeCell ref="B10:N10"/>
    <mergeCell ref="B11:N11"/>
    <mergeCell ref="C12:N12"/>
    <mergeCell ref="C13:N13"/>
    <mergeCell ref="C14:N14"/>
    <mergeCell ref="C15:N15"/>
    <mergeCell ref="B17:N17"/>
    <mergeCell ref="B18:D18"/>
    <mergeCell ref="E18:L18"/>
    <mergeCell ref="M18:N18"/>
    <mergeCell ref="B19:D19"/>
    <mergeCell ref="E19:L19"/>
    <mergeCell ref="M19:N19"/>
    <mergeCell ref="B20:D20"/>
    <mergeCell ref="E20:L20"/>
    <mergeCell ref="M20:N20"/>
    <mergeCell ref="B21:D21"/>
    <mergeCell ref="E21:L21"/>
    <mergeCell ref="M21:N21"/>
    <mergeCell ref="B22:D22"/>
    <mergeCell ref="E22:L22"/>
    <mergeCell ref="M22:N22"/>
    <mergeCell ref="B23:D23"/>
    <mergeCell ref="E23:L23"/>
    <mergeCell ref="M23:N23"/>
    <mergeCell ref="B24:D24"/>
    <mergeCell ref="E24:L24"/>
    <mergeCell ref="M24:N24"/>
    <mergeCell ref="B25:D25"/>
    <mergeCell ref="E25:L25"/>
    <mergeCell ref="M25:N25"/>
    <mergeCell ref="B26:D26"/>
    <mergeCell ref="E26:L26"/>
    <mergeCell ref="M26:N26"/>
    <mergeCell ref="B27:D27"/>
    <mergeCell ref="E27:L27"/>
    <mergeCell ref="M27:N27"/>
    <mergeCell ref="B28:D28"/>
    <mergeCell ref="E28:L28"/>
    <mergeCell ref="M28:N28"/>
    <mergeCell ref="B29:D29"/>
    <mergeCell ref="E29:L29"/>
    <mergeCell ref="M29:N29"/>
    <mergeCell ref="B30:D30"/>
    <mergeCell ref="E30:L30"/>
    <mergeCell ref="M30:N30"/>
    <mergeCell ref="B31:N31"/>
  </mergeCells>
  <hyperlinks>
    <hyperlink ref="B19" r:id="rId1" location="'01%20What%20Is%20a%20Neural%20Net'!A1" display="01 What Is a Neural Net"/>
    <hyperlink ref="B20" r:id="rId2" location="'02%20Vectors%20and%20Dot%20Product'!A1" display="02 Vectors and Dot Product"/>
    <hyperlink ref="B21" r:id="rId3" location="'03%20Matrices'!A1" display="03 Matrices"/>
    <hyperlink ref="B22" r:id="rId4" location="'04%20The%20Neuron'!A1" display="04 The Neuron"/>
    <hyperlink ref="B23" r:id="rId5" location="'05%20Linear%20Layer'!A1" display="05 Linear Layer"/>
    <hyperlink ref="B24" r:id="rId6" location="'06%20Activation%20Functions'!A1" display="06 Activation Functions"/>
    <hyperlink ref="B25" r:id="rId7" location="'07%20Softmax'!A1" display="07 Softmax"/>
    <hyperlink ref="B26" r:id="rId8" location="'08%20Why%20Layers%20(XOR)'!A1" display="08 Why Layers (XOR)"/>
    <hyperlink ref="B27" r:id="rId9" location="'09%20E2E%20Fruit%20Classifier'!A1" display="09 E2E Fruit Classifier"/>
    <hyperlink ref="B28" r:id="rId10" location="'10%20E2E%20Exam%20Predictor'!A1" display="10 E2E Exam Predictor"/>
    <hyperlink ref="B29" r:id="rId11" location="'11%20E2E%20Bridge%20to%20Attention'!A1" display="11 E2E Bridge to Attention"/>
    <hyperlink ref="B30" r:id="rId12" location="'12%20Glossary%20and%20Next%20Steps'!A1" display="12 Glossary and Next Step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48</v>
      </c>
      <c r="C1" s="1"/>
      <c r="D1" s="1"/>
      <c r="E1" s="1"/>
      <c r="F1" s="1"/>
      <c r="G1" s="1"/>
      <c r="H1" s="1"/>
      <c r="I1" s="1"/>
      <c r="J1" s="1"/>
      <c r="K1" s="1"/>
      <c r="L1" s="1"/>
      <c r="M1" s="1"/>
      <c r="N1" s="1"/>
    </row>
    <row r="2" customFormat="false" ht="17.25" hidden="false" customHeight="true" outlineLevel="0" collapsed="false">
      <c r="B2" s="2" t="s">
        <v>49</v>
      </c>
      <c r="C2" s="2"/>
      <c r="D2" s="2"/>
      <c r="E2" s="2"/>
      <c r="F2" s="2"/>
      <c r="G2" s="2"/>
      <c r="H2" s="2"/>
      <c r="I2" s="2"/>
      <c r="J2" s="2"/>
      <c r="K2" s="2"/>
      <c r="L2" s="2"/>
      <c r="M2" s="2"/>
      <c r="N2" s="2"/>
    </row>
    <row r="4" customFormat="false" ht="34.5" hidden="false" customHeight="true" outlineLevel="0" collapsed="false">
      <c r="B4" s="3" t="s">
        <v>50</v>
      </c>
      <c r="C4" s="3"/>
      <c r="D4" s="3"/>
      <c r="E4" s="3"/>
      <c r="F4" s="3"/>
      <c r="G4" s="3"/>
      <c r="H4" s="3"/>
      <c r="I4" s="3"/>
      <c r="J4" s="3"/>
      <c r="K4" s="3"/>
      <c r="L4" s="3"/>
      <c r="M4" s="3"/>
      <c r="N4" s="3"/>
    </row>
    <row r="5" customFormat="false" ht="21.75" hidden="false" customHeight="true" outlineLevel="0" collapsed="false">
      <c r="B5" s="4" t="s">
        <v>51</v>
      </c>
      <c r="C5" s="4"/>
      <c r="D5" s="4"/>
      <c r="E5" s="4"/>
      <c r="F5" s="4"/>
      <c r="G5" s="4"/>
      <c r="H5" s="4"/>
      <c r="I5" s="4"/>
      <c r="J5" s="4"/>
      <c r="K5" s="4"/>
      <c r="L5" s="4"/>
      <c r="M5" s="4"/>
      <c r="N5" s="4"/>
    </row>
    <row r="6" customFormat="false" ht="17.25" hidden="false" customHeight="true" outlineLevel="0" collapsed="false">
      <c r="B6" s="10" t="s">
        <v>52</v>
      </c>
      <c r="C6" s="10"/>
      <c r="D6" s="10" t="s">
        <v>53</v>
      </c>
      <c r="E6" s="10"/>
      <c r="F6" s="10"/>
      <c r="G6" s="10"/>
      <c r="H6" s="10"/>
      <c r="I6" s="10"/>
      <c r="J6" s="10"/>
      <c r="K6" s="10" t="s">
        <v>54</v>
      </c>
      <c r="L6" s="10"/>
      <c r="M6" s="10"/>
      <c r="N6" s="10"/>
    </row>
    <row r="7" customFormat="false" ht="17.25" hidden="false" customHeight="true" outlineLevel="0" collapsed="false">
      <c r="B7" s="18" t="s">
        <v>55</v>
      </c>
      <c r="C7" s="18"/>
      <c r="D7" s="12" t="s">
        <v>56</v>
      </c>
      <c r="E7" s="12"/>
      <c r="F7" s="12"/>
      <c r="G7" s="12"/>
      <c r="H7" s="12"/>
      <c r="I7" s="12"/>
      <c r="J7" s="12"/>
      <c r="K7" s="12" t="s">
        <v>57</v>
      </c>
      <c r="L7" s="12"/>
      <c r="M7" s="12"/>
      <c r="N7" s="12"/>
    </row>
    <row r="8" customFormat="false" ht="17.25" hidden="false" customHeight="true" outlineLevel="0" collapsed="false">
      <c r="B8" s="9" t="s">
        <v>58</v>
      </c>
      <c r="C8" s="9"/>
      <c r="D8" s="15" t="s">
        <v>59</v>
      </c>
      <c r="E8" s="15"/>
      <c r="F8" s="15"/>
      <c r="G8" s="15"/>
      <c r="H8" s="15"/>
      <c r="I8" s="15"/>
      <c r="J8" s="15"/>
      <c r="K8" s="15" t="s">
        <v>60</v>
      </c>
      <c r="L8" s="15"/>
      <c r="M8" s="15"/>
      <c r="N8" s="15"/>
    </row>
    <row r="9" customFormat="false" ht="17.25" hidden="false" customHeight="true" outlineLevel="0" collapsed="false">
      <c r="B9" s="18" t="s">
        <v>61</v>
      </c>
      <c r="C9" s="18"/>
      <c r="D9" s="12" t="s">
        <v>62</v>
      </c>
      <c r="E9" s="12"/>
      <c r="F9" s="12"/>
      <c r="G9" s="12"/>
      <c r="H9" s="12"/>
      <c r="I9" s="12"/>
      <c r="J9" s="12"/>
      <c r="K9" s="12" t="s">
        <v>63</v>
      </c>
      <c r="L9" s="12"/>
      <c r="M9" s="12"/>
      <c r="N9" s="12"/>
    </row>
    <row r="10" customFormat="false" ht="17.25" hidden="false" customHeight="true" outlineLevel="0" collapsed="false">
      <c r="B10" s="9" t="s">
        <v>64</v>
      </c>
      <c r="C10" s="9"/>
      <c r="D10" s="15" t="s">
        <v>65</v>
      </c>
      <c r="E10" s="15"/>
      <c r="F10" s="15"/>
      <c r="G10" s="15"/>
      <c r="H10" s="15"/>
      <c r="I10" s="15"/>
      <c r="J10" s="15"/>
      <c r="K10" s="15" t="s">
        <v>66</v>
      </c>
      <c r="L10" s="15"/>
      <c r="M10" s="15"/>
      <c r="N10" s="15"/>
    </row>
    <row r="11" customFormat="false" ht="17.25" hidden="false" customHeight="true" outlineLevel="0" collapsed="false">
      <c r="B11" s="18" t="s">
        <v>67</v>
      </c>
      <c r="C11" s="18"/>
      <c r="D11" s="12" t="s">
        <v>68</v>
      </c>
      <c r="E11" s="12"/>
      <c r="F11" s="12"/>
      <c r="G11" s="12"/>
      <c r="H11" s="12"/>
      <c r="I11" s="12"/>
      <c r="J11" s="12"/>
      <c r="K11" s="12" t="s">
        <v>69</v>
      </c>
      <c r="L11" s="12"/>
      <c r="M11" s="12"/>
      <c r="N11" s="12"/>
    </row>
    <row r="12" customFormat="false" ht="17.25" hidden="false" customHeight="true" outlineLevel="0" collapsed="false">
      <c r="B12" s="9" t="s">
        <v>70</v>
      </c>
      <c r="C12" s="9"/>
      <c r="D12" s="15" t="s">
        <v>71</v>
      </c>
      <c r="E12" s="15"/>
      <c r="F12" s="15"/>
      <c r="G12" s="15"/>
      <c r="H12" s="15"/>
      <c r="I12" s="15"/>
      <c r="J12" s="15"/>
      <c r="K12" s="15" t="s">
        <v>72</v>
      </c>
      <c r="L12" s="15"/>
      <c r="M12" s="15"/>
      <c r="N12" s="15"/>
    </row>
    <row r="13" customFormat="false" ht="17.25" hidden="false" customHeight="true" outlineLevel="0" collapsed="false">
      <c r="B13" s="18" t="s">
        <v>73</v>
      </c>
      <c r="C13" s="18"/>
      <c r="D13" s="12" t="s">
        <v>74</v>
      </c>
      <c r="E13" s="12"/>
      <c r="F13" s="12"/>
      <c r="G13" s="12"/>
      <c r="H13" s="12"/>
      <c r="I13" s="12"/>
      <c r="J13" s="12"/>
      <c r="K13" s="12" t="s">
        <v>75</v>
      </c>
      <c r="L13" s="12"/>
      <c r="M13" s="12"/>
      <c r="N13" s="12"/>
    </row>
    <row r="14" customFormat="false" ht="17.25" hidden="false" customHeight="true" outlineLevel="0" collapsed="false">
      <c r="B14" s="9" t="s">
        <v>76</v>
      </c>
      <c r="C14" s="9"/>
      <c r="D14" s="15" t="s">
        <v>77</v>
      </c>
      <c r="E14" s="15"/>
      <c r="F14" s="15"/>
      <c r="G14" s="15"/>
      <c r="H14" s="15"/>
      <c r="I14" s="15"/>
      <c r="J14" s="15"/>
      <c r="K14" s="15" t="s">
        <v>78</v>
      </c>
      <c r="L14" s="15"/>
      <c r="M14" s="15"/>
      <c r="N14" s="15"/>
    </row>
    <row r="15" customFormat="false" ht="17.25" hidden="false" customHeight="true" outlineLevel="0" collapsed="false">
      <c r="B15" s="18" t="s">
        <v>79</v>
      </c>
      <c r="C15" s="18"/>
      <c r="D15" s="12" t="s">
        <v>80</v>
      </c>
      <c r="E15" s="12"/>
      <c r="F15" s="12"/>
      <c r="G15" s="12"/>
      <c r="H15" s="12"/>
      <c r="I15" s="12"/>
      <c r="J15" s="12"/>
      <c r="K15" s="12" t="s">
        <v>81</v>
      </c>
      <c r="L15" s="12"/>
      <c r="M15" s="12"/>
      <c r="N15" s="12"/>
    </row>
    <row r="17" customFormat="false" ht="31.5" hidden="false" customHeight="true" outlineLevel="0" collapsed="false">
      <c r="B17" s="19" t="s">
        <v>82</v>
      </c>
      <c r="C17" s="19"/>
      <c r="D17" s="19"/>
      <c r="E17" s="19"/>
      <c r="F17" s="19"/>
      <c r="G17" s="19"/>
      <c r="H17" s="19"/>
      <c r="I17" s="19"/>
      <c r="J17" s="19"/>
      <c r="K17" s="19"/>
      <c r="L17" s="19"/>
      <c r="M17" s="19"/>
      <c r="N17" s="19"/>
    </row>
    <row r="18" customFormat="false" ht="31.5" hidden="false" customHeight="true" outlineLevel="0" collapsed="false">
      <c r="B18" s="17" t="s">
        <v>83</v>
      </c>
      <c r="C18" s="17"/>
      <c r="D18" s="17"/>
      <c r="E18" s="17"/>
      <c r="F18" s="17"/>
      <c r="G18" s="17"/>
      <c r="H18" s="17"/>
      <c r="I18" s="17"/>
      <c r="J18" s="17"/>
      <c r="K18" s="17"/>
      <c r="L18" s="17"/>
      <c r="M18" s="17"/>
      <c r="N18" s="17"/>
    </row>
    <row r="19" customFormat="false" ht="21.75" hidden="false" customHeight="true" outlineLevel="0" collapsed="false">
      <c r="B19" s="4" t="s">
        <v>84</v>
      </c>
      <c r="C19" s="4"/>
      <c r="D19" s="4"/>
      <c r="E19" s="4"/>
      <c r="F19" s="4"/>
      <c r="G19" s="4"/>
      <c r="H19" s="4"/>
      <c r="I19" s="4"/>
      <c r="J19" s="4"/>
      <c r="K19" s="4"/>
      <c r="L19" s="4"/>
      <c r="M19" s="4"/>
      <c r="N19" s="4"/>
    </row>
    <row r="20" customFormat="false" ht="31.5" hidden="false" customHeight="true" outlineLevel="0" collapsed="false">
      <c r="B20" s="5" t="s">
        <v>85</v>
      </c>
      <c r="C20" s="5"/>
      <c r="D20" s="5"/>
      <c r="E20" s="5"/>
      <c r="F20" s="5"/>
      <c r="G20" s="5"/>
      <c r="H20" s="5"/>
      <c r="I20" s="5"/>
      <c r="J20" s="5"/>
      <c r="K20" s="5"/>
      <c r="L20" s="5"/>
      <c r="M20" s="5"/>
      <c r="N20" s="5"/>
    </row>
    <row r="21" customFormat="false" ht="17.25" hidden="false" customHeight="true" outlineLevel="0" collapsed="false">
      <c r="B21" s="20" t="s">
        <v>86</v>
      </c>
      <c r="C21" s="21" t="n">
        <v>2</v>
      </c>
      <c r="D21" s="22" t="s">
        <v>87</v>
      </c>
      <c r="E21" s="22"/>
      <c r="F21" s="22"/>
      <c r="G21" s="22"/>
      <c r="H21" s="22"/>
      <c r="I21" s="22"/>
      <c r="J21" s="22"/>
      <c r="K21" s="22"/>
      <c r="L21" s="22"/>
      <c r="M21" s="22"/>
      <c r="N21" s="22"/>
    </row>
    <row r="22" customFormat="false" ht="17.25" hidden="false" customHeight="true" outlineLevel="0" collapsed="false">
      <c r="B22" s="20" t="s">
        <v>88</v>
      </c>
      <c r="C22" s="21" t="n">
        <v>1</v>
      </c>
      <c r="D22" s="22" t="s">
        <v>89</v>
      </c>
      <c r="E22" s="22"/>
      <c r="F22" s="22"/>
      <c r="G22" s="22"/>
      <c r="H22" s="22"/>
      <c r="I22" s="22"/>
      <c r="J22" s="22"/>
      <c r="K22" s="22"/>
      <c r="L22" s="22"/>
      <c r="M22" s="22"/>
      <c r="N22" s="22"/>
    </row>
    <row r="23" customFormat="false" ht="17.25" hidden="false" customHeight="true" outlineLevel="0" collapsed="false">
      <c r="B23" s="10" t="s">
        <v>90</v>
      </c>
      <c r="C23" s="10"/>
      <c r="D23" s="10" t="s">
        <v>91</v>
      </c>
      <c r="E23" s="10"/>
      <c r="F23" s="10" t="s">
        <v>13</v>
      </c>
      <c r="G23" s="10"/>
      <c r="H23" s="10"/>
      <c r="I23" s="10"/>
      <c r="J23" s="10"/>
      <c r="K23" s="10"/>
      <c r="L23" s="10"/>
      <c r="M23" s="10"/>
      <c r="N23" s="10"/>
    </row>
    <row r="24" customFormat="false" ht="17.25" hidden="false" customHeight="true" outlineLevel="0" collapsed="false">
      <c r="B24" s="23" t="n">
        <v>0</v>
      </c>
      <c r="C24" s="23"/>
      <c r="D24" s="24" t="n">
        <f aca="false">C21*B24+C22</f>
        <v>1</v>
      </c>
      <c r="E24" s="24"/>
      <c r="F24" s="12" t="str">
        <f aca="false">IF(ROUND(C21,3)&lt;0,"("&amp;ROUND(C21,3)&amp;")",ROUND(C21,3)&amp;"")&amp;" × "&amp;B24&amp;" + "&amp;IF(ROUND(C22,3)&lt;0,"("&amp;ROUND(C22,3)&amp;")",ROUND(C22,3)&amp;"")&amp;" = "&amp;IF(ROUND(D24,3)&lt;0,"("&amp;ROUND(D24,3)&amp;")",ROUND(D24,3)&amp;"")</f>
        <v>2 × 0 + 1 = 1</v>
      </c>
      <c r="G24" s="12"/>
      <c r="H24" s="12"/>
      <c r="I24" s="12"/>
      <c r="J24" s="12"/>
      <c r="K24" s="12"/>
      <c r="L24" s="12"/>
      <c r="M24" s="12"/>
      <c r="N24" s="12"/>
    </row>
    <row r="25" customFormat="false" ht="17.25" hidden="false" customHeight="true" outlineLevel="0" collapsed="false">
      <c r="B25" s="23" t="n">
        <v>1</v>
      </c>
      <c r="C25" s="23"/>
      <c r="D25" s="24" t="n">
        <f aca="false">C21*B25+C22</f>
        <v>3</v>
      </c>
      <c r="E25" s="24"/>
      <c r="F25" s="15" t="str">
        <f aca="false">IF(ROUND(C21,3)&lt;0,"("&amp;ROUND(C21,3)&amp;")",ROUND(C21,3)&amp;"")&amp;" × "&amp;B25&amp;" + "&amp;IF(ROUND(C22,3)&lt;0,"("&amp;ROUND(C22,3)&amp;")",ROUND(C22,3)&amp;"")&amp;" = "&amp;IF(ROUND(D25,3)&lt;0,"("&amp;ROUND(D25,3)&amp;")",ROUND(D25,3)&amp;"")</f>
        <v>2 × 1 + 1 = 3</v>
      </c>
      <c r="G25" s="15"/>
      <c r="H25" s="15"/>
      <c r="I25" s="15"/>
      <c r="J25" s="15"/>
      <c r="K25" s="15"/>
      <c r="L25" s="15"/>
      <c r="M25" s="15"/>
      <c r="N25" s="15"/>
    </row>
    <row r="26" customFormat="false" ht="17.25" hidden="false" customHeight="true" outlineLevel="0" collapsed="false">
      <c r="B26" s="23" t="n">
        <v>2</v>
      </c>
      <c r="C26" s="23"/>
      <c r="D26" s="24" t="n">
        <f aca="false">C21*B26+C22</f>
        <v>5</v>
      </c>
      <c r="E26" s="24"/>
      <c r="F26" s="12" t="str">
        <f aca="false">IF(ROUND(C21,3)&lt;0,"("&amp;ROUND(C21,3)&amp;")",ROUND(C21,3)&amp;"")&amp;" × "&amp;B26&amp;" + "&amp;IF(ROUND(C22,3)&lt;0,"("&amp;ROUND(C22,3)&amp;")",ROUND(C22,3)&amp;"")&amp;" = "&amp;IF(ROUND(D26,3)&lt;0,"("&amp;ROUND(D26,3)&amp;")",ROUND(D26,3)&amp;"")</f>
        <v>2 × 2 + 1 = 5</v>
      </c>
      <c r="G26" s="12"/>
      <c r="H26" s="12"/>
      <c r="I26" s="12"/>
      <c r="J26" s="12"/>
      <c r="K26" s="12"/>
      <c r="L26" s="12"/>
      <c r="M26" s="12"/>
      <c r="N26" s="12"/>
    </row>
    <row r="27" customFormat="false" ht="17.25" hidden="false" customHeight="true" outlineLevel="0" collapsed="false">
      <c r="B27" s="23" t="n">
        <v>3</v>
      </c>
      <c r="C27" s="23"/>
      <c r="D27" s="24" t="n">
        <f aca="false">C21*B27+C22</f>
        <v>7</v>
      </c>
      <c r="E27" s="24"/>
      <c r="F27" s="15" t="str">
        <f aca="false">IF(ROUND(C21,3)&lt;0,"("&amp;ROUND(C21,3)&amp;")",ROUND(C21,3)&amp;"")&amp;" × "&amp;B27&amp;" + "&amp;IF(ROUND(C22,3)&lt;0,"("&amp;ROUND(C22,3)&amp;")",ROUND(C22,3)&amp;"")&amp;" = "&amp;IF(ROUND(D27,3)&lt;0,"("&amp;ROUND(D27,3)&amp;")",ROUND(D27,3)&amp;"")</f>
        <v>2 × 3 + 1 = 7</v>
      </c>
      <c r="G27" s="15"/>
      <c r="H27" s="15"/>
      <c r="I27" s="15"/>
      <c r="J27" s="15"/>
      <c r="K27" s="15"/>
      <c r="L27" s="15"/>
      <c r="M27" s="15"/>
      <c r="N27" s="15"/>
    </row>
    <row r="28" customFormat="false" ht="17.25" hidden="false" customHeight="true" outlineLevel="0" collapsed="false">
      <c r="B28" s="23" t="n">
        <v>4</v>
      </c>
      <c r="C28" s="23"/>
      <c r="D28" s="24" t="n">
        <f aca="false">C21*B28+C22</f>
        <v>9</v>
      </c>
      <c r="E28" s="24"/>
      <c r="F28" s="12" t="str">
        <f aca="false">IF(ROUND(C21,3)&lt;0,"("&amp;ROUND(C21,3)&amp;")",ROUND(C21,3)&amp;"")&amp;" × "&amp;B28&amp;" + "&amp;IF(ROUND(C22,3)&lt;0,"("&amp;ROUND(C22,3)&amp;")",ROUND(C22,3)&amp;"")&amp;" = "&amp;IF(ROUND(D28,3)&lt;0,"("&amp;ROUND(D28,3)&amp;")",ROUND(D28,3)&amp;"")</f>
        <v>2 × 4 + 1 = 9</v>
      </c>
      <c r="G28" s="12"/>
      <c r="H28" s="12"/>
      <c r="I28" s="12"/>
      <c r="J28" s="12"/>
      <c r="K28" s="12"/>
      <c r="L28" s="12"/>
      <c r="M28" s="12"/>
      <c r="N28" s="12"/>
    </row>
    <row r="30" customFormat="false" ht="21.75" hidden="false" customHeight="true" outlineLevel="0" collapsed="false">
      <c r="B30" s="4" t="s">
        <v>92</v>
      </c>
      <c r="C30" s="4"/>
      <c r="D30" s="4"/>
      <c r="E30" s="4"/>
      <c r="F30" s="4"/>
      <c r="G30" s="4"/>
      <c r="H30" s="4"/>
      <c r="I30" s="4"/>
      <c r="J30" s="4"/>
      <c r="K30" s="4"/>
      <c r="L30" s="4"/>
      <c r="M30" s="4"/>
      <c r="N30" s="4"/>
    </row>
    <row r="31" customFormat="false" ht="31.5" hidden="false" customHeight="true" outlineLevel="0" collapsed="false">
      <c r="B31" s="5" t="s">
        <v>93</v>
      </c>
      <c r="C31" s="5"/>
      <c r="D31" s="5"/>
      <c r="E31" s="5"/>
      <c r="F31" s="5"/>
      <c r="G31" s="5"/>
      <c r="H31" s="5"/>
      <c r="I31" s="5"/>
      <c r="J31" s="5"/>
      <c r="K31" s="5"/>
      <c r="L31" s="5"/>
      <c r="M31" s="5"/>
      <c r="N31" s="5"/>
    </row>
    <row r="32" customFormat="false" ht="15.75" hidden="false" customHeight="true" outlineLevel="0" collapsed="false">
      <c r="B32" s="20" t="s">
        <v>94</v>
      </c>
      <c r="C32" s="25" t="n">
        <v>3</v>
      </c>
    </row>
    <row r="33" customFormat="false" ht="15.75" hidden="false" customHeight="true" outlineLevel="0" collapsed="false">
      <c r="B33" s="20" t="s">
        <v>95</v>
      </c>
      <c r="C33" s="25" t="n">
        <v>4</v>
      </c>
    </row>
    <row r="34" customFormat="false" ht="15.75" hidden="false" customHeight="true" outlineLevel="0" collapsed="false">
      <c r="B34" s="20" t="s">
        <v>96</v>
      </c>
      <c r="C34" s="25" t="n">
        <v>2</v>
      </c>
    </row>
    <row r="35" customFormat="false" ht="17.25" hidden="false" customHeight="true" outlineLevel="0" collapsed="false">
      <c r="B35" s="20" t="s">
        <v>97</v>
      </c>
      <c r="C35" s="26" t="n">
        <f aca="false">C32*C33+C33</f>
        <v>16</v>
      </c>
      <c r="D35" s="22" t="s">
        <v>98</v>
      </c>
      <c r="E35" s="22"/>
      <c r="F35" s="22"/>
      <c r="G35" s="22"/>
      <c r="H35" s="22"/>
      <c r="I35" s="22"/>
      <c r="J35" s="22"/>
      <c r="K35" s="22"/>
      <c r="L35" s="22"/>
      <c r="M35" s="22"/>
      <c r="N35" s="22"/>
    </row>
    <row r="36" customFormat="false" ht="17.25" hidden="false" customHeight="true" outlineLevel="0" collapsed="false">
      <c r="B36" s="20" t="s">
        <v>99</v>
      </c>
      <c r="C36" s="26" t="n">
        <f aca="false">C33*C34+C34</f>
        <v>10</v>
      </c>
      <c r="D36" s="22" t="s">
        <v>100</v>
      </c>
      <c r="E36" s="22"/>
      <c r="F36" s="22"/>
      <c r="G36" s="22"/>
      <c r="H36" s="22"/>
      <c r="I36" s="22"/>
      <c r="J36" s="22"/>
      <c r="K36" s="22"/>
      <c r="L36" s="22"/>
      <c r="M36" s="22"/>
      <c r="N36" s="22"/>
    </row>
    <row r="37" customFormat="false" ht="15.75" hidden="false" customHeight="true" outlineLevel="0" collapsed="false">
      <c r="B37" s="20" t="s">
        <v>101</v>
      </c>
      <c r="C37" s="27" t="n">
        <f aca="false">C35+C36</f>
        <v>26</v>
      </c>
    </row>
    <row r="38" customFormat="false" ht="15.75" hidden="false" customHeight="true" outlineLevel="0" collapsed="false">
      <c r="B38" s="9" t="s">
        <v>13</v>
      </c>
      <c r="C38" s="28" t="str">
        <f aca="false">"("&amp;C32&amp;"×"&amp;C33&amp;" + "&amp;C33&amp;") + ("&amp;C33&amp;"×"&amp;C34&amp;" + "&amp;C34&amp;") = "&amp;C35&amp;" + "&amp;C36&amp;" = "&amp;(C35+C36)</f>
        <v>(3×4 + 4) + (4×2 + 2) = 16 + 10 = 26</v>
      </c>
      <c r="D38" s="28"/>
      <c r="E38" s="28"/>
      <c r="F38" s="28"/>
      <c r="G38" s="28"/>
      <c r="H38" s="28"/>
      <c r="I38" s="28"/>
      <c r="J38" s="28"/>
      <c r="K38" s="28"/>
      <c r="L38" s="28"/>
      <c r="M38" s="28"/>
      <c r="N38" s="28"/>
    </row>
    <row r="39" customFormat="false" ht="31.5" hidden="false" customHeight="true" outlineLevel="0" collapsed="false">
      <c r="B39" s="5" t="s">
        <v>102</v>
      </c>
      <c r="C39" s="5"/>
      <c r="D39" s="5"/>
      <c r="E39" s="5"/>
      <c r="F39" s="5"/>
      <c r="G39" s="5"/>
      <c r="H39" s="5"/>
      <c r="I39" s="5"/>
      <c r="J39" s="5"/>
      <c r="K39" s="5"/>
      <c r="L39" s="5"/>
      <c r="M39" s="5"/>
      <c r="N39" s="5"/>
    </row>
    <row r="40" customFormat="false" ht="18.75" hidden="false" customHeight="true" outlineLevel="0" collapsed="false">
      <c r="B40" s="29" t="s">
        <v>103</v>
      </c>
      <c r="C40" s="29"/>
      <c r="D40" s="29"/>
      <c r="E40" s="29"/>
      <c r="F40" s="29"/>
      <c r="G40" s="29"/>
      <c r="H40" s="29"/>
      <c r="I40" s="29"/>
      <c r="J40" s="29"/>
      <c r="K40" s="29"/>
      <c r="L40" s="29"/>
      <c r="M40" s="29"/>
      <c r="N40" s="29"/>
    </row>
    <row r="41" customFormat="false" ht="17.25" hidden="false" customHeight="true" outlineLevel="0" collapsed="false">
      <c r="B41" s="10" t="s">
        <v>104</v>
      </c>
      <c r="C41" s="10"/>
      <c r="D41" s="10"/>
      <c r="E41" s="10" t="s">
        <v>105</v>
      </c>
      <c r="F41" s="10"/>
      <c r="G41" s="10"/>
      <c r="H41" s="10" t="s">
        <v>106</v>
      </c>
      <c r="I41" s="10"/>
      <c r="J41" s="10"/>
      <c r="K41" s="10"/>
      <c r="L41" s="10"/>
      <c r="M41" s="10"/>
      <c r="N41" s="10"/>
    </row>
    <row r="42" customFormat="false" ht="17.25" hidden="false" customHeight="true" outlineLevel="0" collapsed="false">
      <c r="B42" s="12" t="s">
        <v>90</v>
      </c>
      <c r="C42" s="12"/>
      <c r="D42" s="12"/>
      <c r="E42" s="12" t="s">
        <v>107</v>
      </c>
      <c r="F42" s="12"/>
      <c r="G42" s="12"/>
      <c r="H42" s="12" t="s">
        <v>108</v>
      </c>
      <c r="I42" s="12"/>
      <c r="J42" s="12"/>
      <c r="K42" s="12"/>
      <c r="L42" s="12"/>
      <c r="M42" s="12"/>
      <c r="N42" s="12"/>
    </row>
    <row r="43" customFormat="false" ht="17.25" hidden="false" customHeight="true" outlineLevel="0" collapsed="false">
      <c r="B43" s="15" t="s">
        <v>109</v>
      </c>
      <c r="C43" s="15"/>
      <c r="D43" s="15"/>
      <c r="E43" s="15" t="s">
        <v>110</v>
      </c>
      <c r="F43" s="15"/>
      <c r="G43" s="15"/>
      <c r="H43" s="15" t="s">
        <v>111</v>
      </c>
      <c r="I43" s="15"/>
      <c r="J43" s="15"/>
      <c r="K43" s="15"/>
      <c r="L43" s="15"/>
      <c r="M43" s="15"/>
      <c r="N43" s="15"/>
    </row>
    <row r="44" customFormat="false" ht="17.25" hidden="false" customHeight="true" outlineLevel="0" collapsed="false">
      <c r="B44" s="12" t="s">
        <v>112</v>
      </c>
      <c r="C44" s="12"/>
      <c r="D44" s="12"/>
      <c r="E44" s="12" t="s">
        <v>110</v>
      </c>
      <c r="F44" s="12"/>
      <c r="G44" s="12"/>
      <c r="H44" s="12" t="s">
        <v>113</v>
      </c>
      <c r="I44" s="12"/>
      <c r="J44" s="12"/>
      <c r="K44" s="12"/>
      <c r="L44" s="12"/>
      <c r="M44" s="12"/>
      <c r="N44" s="12"/>
    </row>
    <row r="45" customFormat="false" ht="17.25" hidden="false" customHeight="true" outlineLevel="0" collapsed="false">
      <c r="B45" s="15" t="s">
        <v>114</v>
      </c>
      <c r="C45" s="15"/>
      <c r="D45" s="15"/>
      <c r="E45" s="15" t="s">
        <v>115</v>
      </c>
      <c r="F45" s="15"/>
      <c r="G45" s="15"/>
      <c r="H45" s="15" t="s">
        <v>116</v>
      </c>
      <c r="I45" s="15"/>
      <c r="J45" s="15"/>
      <c r="K45" s="15"/>
      <c r="L45" s="15"/>
      <c r="M45" s="15"/>
      <c r="N45" s="15"/>
    </row>
    <row r="46" customFormat="false" ht="17.25" hidden="false" customHeight="true" outlineLevel="0" collapsed="false">
      <c r="B46" s="12" t="s">
        <v>117</v>
      </c>
      <c r="C46" s="12"/>
      <c r="D46" s="12"/>
      <c r="E46" s="12" t="s">
        <v>115</v>
      </c>
      <c r="F46" s="12"/>
      <c r="G46" s="12"/>
      <c r="H46" s="12" t="s">
        <v>118</v>
      </c>
      <c r="I46" s="12"/>
      <c r="J46" s="12"/>
      <c r="K46" s="12"/>
      <c r="L46" s="12"/>
      <c r="M46" s="12"/>
      <c r="N46" s="12"/>
    </row>
    <row r="47" customFormat="false" ht="18.75" hidden="false" customHeight="true" outlineLevel="0" collapsed="false">
      <c r="B47" s="29" t="s">
        <v>119</v>
      </c>
      <c r="C47" s="29"/>
      <c r="D47" s="29"/>
      <c r="E47" s="29"/>
      <c r="F47" s="29"/>
      <c r="G47" s="29"/>
      <c r="H47" s="29"/>
      <c r="I47" s="29"/>
      <c r="J47" s="29"/>
      <c r="K47" s="29"/>
      <c r="L47" s="29"/>
      <c r="M47" s="29"/>
      <c r="N47" s="29"/>
    </row>
    <row r="48" customFormat="false" ht="17.25" hidden="false" customHeight="true" outlineLevel="0" collapsed="false">
      <c r="B48" s="30" t="s">
        <v>120</v>
      </c>
      <c r="C48" s="30"/>
      <c r="D48" s="30"/>
      <c r="E48" s="30"/>
      <c r="F48" s="30"/>
      <c r="G48" s="30"/>
      <c r="H48" s="30"/>
      <c r="I48" s="30"/>
      <c r="J48" s="30"/>
      <c r="K48" s="30"/>
      <c r="L48" s="30"/>
      <c r="M48" s="30"/>
      <c r="N48" s="30"/>
    </row>
    <row r="49" customFormat="false" ht="17.25" hidden="false" customHeight="true" outlineLevel="0" collapsed="false">
      <c r="B49" s="31" t="s">
        <v>121</v>
      </c>
      <c r="C49" s="31"/>
      <c r="D49" s="31"/>
      <c r="E49" s="31"/>
      <c r="F49" s="31"/>
      <c r="G49" s="31"/>
      <c r="H49" s="31"/>
      <c r="I49" s="31"/>
      <c r="J49" s="31"/>
      <c r="K49" s="31"/>
      <c r="L49" s="31"/>
      <c r="M49" s="31"/>
      <c r="N49" s="31"/>
    </row>
    <row r="50" customFormat="false" ht="17.25" hidden="false" customHeight="true" outlineLevel="0" collapsed="false">
      <c r="B50" s="30" t="s">
        <v>122</v>
      </c>
      <c r="C50" s="30"/>
      <c r="D50" s="30"/>
      <c r="E50" s="30"/>
      <c r="F50" s="30"/>
      <c r="G50" s="30"/>
      <c r="H50" s="30"/>
      <c r="I50" s="30"/>
      <c r="J50" s="30"/>
      <c r="K50" s="30"/>
      <c r="L50" s="30"/>
      <c r="M50" s="30"/>
      <c r="N50" s="30"/>
    </row>
    <row r="51" customFormat="false" ht="17.25" hidden="false" customHeight="true" outlineLevel="0" collapsed="false">
      <c r="B51" s="31" t="s">
        <v>123</v>
      </c>
      <c r="C51" s="31"/>
      <c r="D51" s="31"/>
      <c r="E51" s="31"/>
      <c r="F51" s="31"/>
      <c r="G51" s="31"/>
      <c r="H51" s="31"/>
      <c r="I51" s="31"/>
      <c r="J51" s="31"/>
      <c r="K51" s="31"/>
      <c r="L51" s="31"/>
      <c r="M51" s="31"/>
      <c r="N51" s="31"/>
    </row>
    <row r="52" customFormat="false" ht="17.25" hidden="false" customHeight="true" outlineLevel="0" collapsed="false">
      <c r="B52" s="30" t="s">
        <v>124</v>
      </c>
      <c r="C52" s="30"/>
      <c r="D52" s="30"/>
      <c r="E52" s="30"/>
      <c r="F52" s="30"/>
      <c r="G52" s="30"/>
      <c r="H52" s="30"/>
      <c r="I52" s="30"/>
      <c r="J52" s="30"/>
      <c r="K52" s="30"/>
      <c r="L52" s="30"/>
      <c r="M52" s="30"/>
      <c r="N52" s="30"/>
    </row>
    <row r="53" customFormat="false" ht="17.25" hidden="false" customHeight="true" outlineLevel="0" collapsed="false">
      <c r="B53" s="31" t="s">
        <v>125</v>
      </c>
      <c r="C53" s="31"/>
      <c r="D53" s="31"/>
      <c r="E53" s="31"/>
      <c r="F53" s="31"/>
      <c r="G53" s="31"/>
      <c r="H53" s="31"/>
      <c r="I53" s="31"/>
      <c r="J53" s="31"/>
      <c r="K53" s="31"/>
      <c r="L53" s="31"/>
      <c r="M53" s="31"/>
      <c r="N53" s="31"/>
    </row>
  </sheetData>
  <mergeCells count="90">
    <mergeCell ref="B1:N1"/>
    <mergeCell ref="B2:N2"/>
    <mergeCell ref="B4:N4"/>
    <mergeCell ref="B5:N5"/>
    <mergeCell ref="B6:C6"/>
    <mergeCell ref="D6:J6"/>
    <mergeCell ref="K6:N6"/>
    <mergeCell ref="B7:C7"/>
    <mergeCell ref="D7:J7"/>
    <mergeCell ref="K7:N7"/>
    <mergeCell ref="B8:C8"/>
    <mergeCell ref="D8:J8"/>
    <mergeCell ref="K8:N8"/>
    <mergeCell ref="B9:C9"/>
    <mergeCell ref="D9:J9"/>
    <mergeCell ref="K9:N9"/>
    <mergeCell ref="B10:C10"/>
    <mergeCell ref="D10:J10"/>
    <mergeCell ref="K10:N10"/>
    <mergeCell ref="B11:C11"/>
    <mergeCell ref="D11:J11"/>
    <mergeCell ref="K11:N11"/>
    <mergeCell ref="B12:C12"/>
    <mergeCell ref="D12:J12"/>
    <mergeCell ref="K12:N12"/>
    <mergeCell ref="B13:C13"/>
    <mergeCell ref="D13:J13"/>
    <mergeCell ref="K13:N13"/>
    <mergeCell ref="B14:C14"/>
    <mergeCell ref="D14:J14"/>
    <mergeCell ref="K14:N14"/>
    <mergeCell ref="B15:C15"/>
    <mergeCell ref="D15:J15"/>
    <mergeCell ref="K15:N15"/>
    <mergeCell ref="B17:N17"/>
    <mergeCell ref="B18:N18"/>
    <mergeCell ref="B19:N19"/>
    <mergeCell ref="B20:N20"/>
    <mergeCell ref="D21:N21"/>
    <mergeCell ref="D22:N22"/>
    <mergeCell ref="B23:C23"/>
    <mergeCell ref="D23:E23"/>
    <mergeCell ref="F23:N23"/>
    <mergeCell ref="B24:C24"/>
    <mergeCell ref="D24:E24"/>
    <mergeCell ref="F24:N24"/>
    <mergeCell ref="B25:C25"/>
    <mergeCell ref="D25:E25"/>
    <mergeCell ref="F25:N25"/>
    <mergeCell ref="B26:C26"/>
    <mergeCell ref="D26:E26"/>
    <mergeCell ref="F26:N26"/>
    <mergeCell ref="B27:C27"/>
    <mergeCell ref="D27:E27"/>
    <mergeCell ref="F27:N27"/>
    <mergeCell ref="B28:C28"/>
    <mergeCell ref="D28:E28"/>
    <mergeCell ref="F28:N28"/>
    <mergeCell ref="B30:N30"/>
    <mergeCell ref="B31:N31"/>
    <mergeCell ref="D35:N35"/>
    <mergeCell ref="D36:N36"/>
    <mergeCell ref="C38:N38"/>
    <mergeCell ref="B39:N39"/>
    <mergeCell ref="B40:N40"/>
    <mergeCell ref="B41:D41"/>
    <mergeCell ref="E41:G41"/>
    <mergeCell ref="H41:N41"/>
    <mergeCell ref="B42:D42"/>
    <mergeCell ref="E42:G42"/>
    <mergeCell ref="H42:N42"/>
    <mergeCell ref="B43:D43"/>
    <mergeCell ref="E43:G43"/>
    <mergeCell ref="H43:N43"/>
    <mergeCell ref="B44:D44"/>
    <mergeCell ref="E44:G44"/>
    <mergeCell ref="H44:N44"/>
    <mergeCell ref="B45:D45"/>
    <mergeCell ref="E45:G45"/>
    <mergeCell ref="H45:N45"/>
    <mergeCell ref="B46:D46"/>
    <mergeCell ref="E46:G46"/>
    <mergeCell ref="H46:N46"/>
    <mergeCell ref="B47:N47"/>
    <mergeCell ref="B48:N48"/>
    <mergeCell ref="B49:N49"/>
    <mergeCell ref="B50:N50"/>
    <mergeCell ref="B51:N51"/>
    <mergeCell ref="B52:N52"/>
    <mergeCell ref="B53:N5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126</v>
      </c>
      <c r="C1" s="1"/>
      <c r="D1" s="1"/>
      <c r="E1" s="1"/>
      <c r="F1" s="1"/>
      <c r="G1" s="1"/>
      <c r="H1" s="1"/>
      <c r="I1" s="1"/>
      <c r="J1" s="1"/>
      <c r="K1" s="1"/>
      <c r="L1" s="1"/>
      <c r="M1" s="1"/>
      <c r="N1" s="1"/>
    </row>
    <row r="2" customFormat="false" ht="17.25" hidden="false" customHeight="true" outlineLevel="0" collapsed="false">
      <c r="B2" s="2" t="s">
        <v>127</v>
      </c>
      <c r="C2" s="2"/>
      <c r="D2" s="2"/>
      <c r="E2" s="2"/>
      <c r="F2" s="2"/>
      <c r="G2" s="2"/>
      <c r="H2" s="2"/>
      <c r="I2" s="2"/>
      <c r="J2" s="2"/>
      <c r="K2" s="2"/>
      <c r="L2" s="2"/>
      <c r="M2" s="2"/>
      <c r="N2" s="2"/>
    </row>
    <row r="4" customFormat="false" ht="34.5" hidden="false" customHeight="true" outlineLevel="0" collapsed="false">
      <c r="B4" s="3" t="s">
        <v>128</v>
      </c>
      <c r="C4" s="3"/>
      <c r="D4" s="3"/>
      <c r="E4" s="3"/>
      <c r="F4" s="3"/>
      <c r="G4" s="3"/>
      <c r="H4" s="3"/>
      <c r="I4" s="3"/>
      <c r="J4" s="3"/>
      <c r="K4" s="3"/>
      <c r="L4" s="3"/>
      <c r="M4" s="3"/>
      <c r="N4" s="3"/>
    </row>
    <row r="5" customFormat="false" ht="20.25" hidden="false" customHeight="true" outlineLevel="0" collapsed="false">
      <c r="B5" s="32" t="s">
        <v>129</v>
      </c>
      <c r="C5" s="32"/>
      <c r="D5" s="32"/>
      <c r="E5" s="32"/>
      <c r="F5" s="32"/>
      <c r="G5" s="32"/>
      <c r="H5" s="32"/>
      <c r="I5" s="32"/>
      <c r="J5" s="32"/>
      <c r="K5" s="32"/>
      <c r="L5" s="32"/>
      <c r="M5" s="32"/>
      <c r="N5" s="32"/>
    </row>
    <row r="6" customFormat="false" ht="17.25" hidden="false" customHeight="true" outlineLevel="0" collapsed="false">
      <c r="B6" s="10" t="s">
        <v>130</v>
      </c>
      <c r="C6" s="10" t="s">
        <v>131</v>
      </c>
      <c r="D6" s="10"/>
      <c r="E6" s="10"/>
      <c r="F6" s="10"/>
      <c r="G6" s="10"/>
      <c r="H6" s="10"/>
      <c r="I6" s="10"/>
      <c r="J6" s="10"/>
      <c r="K6" s="10"/>
      <c r="L6" s="10" t="s">
        <v>132</v>
      </c>
      <c r="M6" s="10"/>
      <c r="N6" s="10"/>
    </row>
    <row r="7" customFormat="false" ht="17.25" hidden="false" customHeight="true" outlineLevel="0" collapsed="false">
      <c r="B7" s="18" t="s">
        <v>133</v>
      </c>
      <c r="C7" s="12" t="s">
        <v>134</v>
      </c>
      <c r="D7" s="12"/>
      <c r="E7" s="12"/>
      <c r="F7" s="12"/>
      <c r="G7" s="12"/>
      <c r="H7" s="12"/>
      <c r="I7" s="12"/>
      <c r="J7" s="12"/>
      <c r="K7" s="12"/>
      <c r="L7" s="12" t="s">
        <v>46</v>
      </c>
      <c r="M7" s="12"/>
      <c r="N7" s="12"/>
    </row>
    <row r="8" customFormat="false" ht="17.25" hidden="false" customHeight="true" outlineLevel="0" collapsed="false">
      <c r="B8" s="9" t="s">
        <v>135</v>
      </c>
      <c r="C8" s="15" t="s">
        <v>136</v>
      </c>
      <c r="D8" s="15"/>
      <c r="E8" s="15"/>
      <c r="F8" s="15"/>
      <c r="G8" s="15"/>
      <c r="H8" s="15"/>
      <c r="I8" s="15"/>
      <c r="J8" s="15"/>
      <c r="K8" s="15"/>
      <c r="L8" s="15" t="s">
        <v>46</v>
      </c>
      <c r="M8" s="15"/>
      <c r="N8" s="15"/>
    </row>
    <row r="9" customFormat="false" ht="17.25" hidden="false" customHeight="true" outlineLevel="0" collapsed="false">
      <c r="B9" s="18" t="s">
        <v>137</v>
      </c>
      <c r="C9" s="12" t="s">
        <v>138</v>
      </c>
      <c r="D9" s="12"/>
      <c r="E9" s="12"/>
      <c r="F9" s="12"/>
      <c r="G9" s="12"/>
      <c r="H9" s="12"/>
      <c r="I9" s="12"/>
      <c r="J9" s="12"/>
      <c r="K9" s="12"/>
      <c r="L9" s="12" t="s">
        <v>46</v>
      </c>
      <c r="M9" s="12"/>
      <c r="N9" s="12"/>
    </row>
    <row r="10" customFormat="false" ht="17.25" hidden="false" customHeight="true" outlineLevel="0" collapsed="false">
      <c r="B10" s="9" t="s">
        <v>139</v>
      </c>
      <c r="C10" s="15" t="s">
        <v>140</v>
      </c>
      <c r="D10" s="15"/>
      <c r="E10" s="15"/>
      <c r="F10" s="15"/>
      <c r="G10" s="15"/>
      <c r="H10" s="15"/>
      <c r="I10" s="15"/>
      <c r="J10" s="15"/>
      <c r="K10" s="15"/>
      <c r="L10" s="15" t="s">
        <v>141</v>
      </c>
      <c r="M10" s="15"/>
      <c r="N10" s="15"/>
    </row>
    <row r="11" customFormat="false" ht="21.75" hidden="false" customHeight="true" outlineLevel="0" collapsed="false">
      <c r="B11" s="4" t="s">
        <v>142</v>
      </c>
      <c r="C11" s="4"/>
      <c r="D11" s="4"/>
      <c r="E11" s="4"/>
      <c r="F11" s="4"/>
      <c r="G11" s="4"/>
      <c r="H11" s="4"/>
      <c r="I11" s="4"/>
      <c r="J11" s="4"/>
      <c r="K11" s="4"/>
      <c r="L11" s="4"/>
      <c r="M11" s="4"/>
      <c r="N11" s="4"/>
    </row>
    <row r="12" customFormat="false" ht="17.25" hidden="false" customHeight="true" outlineLevel="0" collapsed="false">
      <c r="B12" s="33" t="s">
        <v>143</v>
      </c>
      <c r="C12" s="33"/>
      <c r="D12" s="33"/>
      <c r="F12" s="33" t="s">
        <v>144</v>
      </c>
      <c r="G12" s="33"/>
      <c r="H12" s="33"/>
      <c r="J12" s="33" t="s">
        <v>145</v>
      </c>
      <c r="K12" s="33"/>
      <c r="L12" s="33"/>
    </row>
    <row r="13" customFormat="false" ht="15" hidden="false" customHeight="false" outlineLevel="0" collapsed="false">
      <c r="B13" s="15"/>
      <c r="C13" s="34" t="s">
        <v>146</v>
      </c>
      <c r="D13" s="34" t="s">
        <v>147</v>
      </c>
      <c r="F13" s="15"/>
      <c r="G13" s="34" t="s">
        <v>146</v>
      </c>
      <c r="H13" s="34" t="s">
        <v>147</v>
      </c>
      <c r="J13" s="15"/>
      <c r="K13" s="34" t="s">
        <v>146</v>
      </c>
      <c r="L13" s="34" t="s">
        <v>147</v>
      </c>
    </row>
    <row r="14" customFormat="false" ht="15" hidden="false" customHeight="false" outlineLevel="0" collapsed="false">
      <c r="B14" s="20"/>
      <c r="C14" s="21" t="n">
        <v>3</v>
      </c>
      <c r="D14" s="21" t="n">
        <v>4</v>
      </c>
      <c r="F14" s="20"/>
      <c r="G14" s="21" t="n">
        <v>6</v>
      </c>
      <c r="H14" s="21" t="n">
        <v>8</v>
      </c>
      <c r="J14" s="20"/>
      <c r="K14" s="21" t="n">
        <v>-4</v>
      </c>
      <c r="L14" s="21" t="n">
        <v>3</v>
      </c>
    </row>
    <row r="16" customFormat="false" ht="17.25" hidden="false" customHeight="true" outlineLevel="0" collapsed="false">
      <c r="B16" s="33" t="s">
        <v>148</v>
      </c>
      <c r="C16" s="33"/>
      <c r="D16" s="33"/>
    </row>
    <row r="17" customFormat="false" ht="15" hidden="false" customHeight="false" outlineLevel="0" collapsed="false">
      <c r="B17" s="15"/>
      <c r="C17" s="34" t="s">
        <v>146</v>
      </c>
      <c r="D17" s="34" t="s">
        <v>147</v>
      </c>
    </row>
    <row r="18" customFormat="false" ht="15" hidden="false" customHeight="false" outlineLevel="0" collapsed="false">
      <c r="B18" s="20"/>
      <c r="C18" s="21" t="n">
        <v>-3</v>
      </c>
      <c r="D18" s="21" t="n">
        <v>-4</v>
      </c>
    </row>
    <row r="20" customFormat="false" ht="17.25" hidden="false" customHeight="true" outlineLevel="0" collapsed="false">
      <c r="B20" s="20" t="s">
        <v>135</v>
      </c>
      <c r="C20" s="35" t="n">
        <f aca="false">SQRT(SUMSQ(C14,D14))</f>
        <v>5</v>
      </c>
      <c r="D20" s="22" t="s">
        <v>149</v>
      </c>
      <c r="E20" s="22"/>
      <c r="F20" s="22"/>
      <c r="G20" s="22"/>
      <c r="H20" s="22"/>
      <c r="I20" s="22"/>
      <c r="J20" s="22"/>
      <c r="K20" s="22"/>
      <c r="L20" s="22"/>
      <c r="M20" s="22"/>
      <c r="N20" s="22"/>
    </row>
    <row r="21" customFormat="false" ht="17.25" hidden="false" customHeight="true" outlineLevel="0" collapsed="false">
      <c r="B21" s="10" t="s">
        <v>150</v>
      </c>
      <c r="C21" s="10" t="s">
        <v>151</v>
      </c>
      <c r="D21" s="10"/>
      <c r="E21" s="10" t="s">
        <v>152</v>
      </c>
      <c r="F21" s="10"/>
      <c r="G21" s="10" t="s">
        <v>153</v>
      </c>
      <c r="H21" s="10"/>
      <c r="I21" s="10" t="s">
        <v>154</v>
      </c>
      <c r="J21" s="10"/>
      <c r="K21" s="10"/>
      <c r="L21" s="10"/>
      <c r="M21" s="10"/>
      <c r="N21" s="10"/>
    </row>
    <row r="22" customFormat="false" ht="17.25" hidden="false" customHeight="true" outlineLevel="0" collapsed="false">
      <c r="B22" s="12" t="s">
        <v>155</v>
      </c>
      <c r="C22" s="36" t="n">
        <f aca="false">C14*G14+D14*H14</f>
        <v>50</v>
      </c>
      <c r="D22" s="36"/>
      <c r="E22" s="37" t="n">
        <f aca="false">(C14*G14+D14*H14)/(SQRT(SUMSQ(C14,D14))*SQRT(SUMSQ(G14,H14)))</f>
        <v>1</v>
      </c>
      <c r="F22" s="37"/>
      <c r="G22" s="38" t="n">
        <f aca="false">DEGREES(ACOS((C14*G14+D14*H14)/(SQRT(SUMSQ(C14,D14))*SQRT(SUMSQ(G14,H14)))))</f>
        <v>0</v>
      </c>
      <c r="H22" s="38"/>
      <c r="I22" s="12" t="s">
        <v>156</v>
      </c>
      <c r="J22" s="12"/>
      <c r="K22" s="12"/>
      <c r="L22" s="12"/>
      <c r="M22" s="12"/>
      <c r="N22" s="12"/>
    </row>
    <row r="23" customFormat="false" ht="17.25" hidden="false" customHeight="true" outlineLevel="0" collapsed="false">
      <c r="B23" s="15" t="s">
        <v>157</v>
      </c>
      <c r="C23" s="39" t="n">
        <f aca="false">C14*K14+D14*L14</f>
        <v>0</v>
      </c>
      <c r="D23" s="39"/>
      <c r="E23" s="40" t="n">
        <f aca="false">(C14*K14+D14*L14)/(SQRT(SUMSQ(C14,D14))*SQRT(SUMSQ(K14,L14)))</f>
        <v>0</v>
      </c>
      <c r="F23" s="40"/>
      <c r="G23" s="41" t="n">
        <f aca="false">DEGREES(ACOS((C14*K14+D14*L14)/(SQRT(SUMSQ(C14,D14))*SQRT(SUMSQ(K14,L14)))))</f>
        <v>90</v>
      </c>
      <c r="H23" s="41"/>
      <c r="I23" s="15" t="s">
        <v>158</v>
      </c>
      <c r="J23" s="15"/>
      <c r="K23" s="15"/>
      <c r="L23" s="15"/>
      <c r="M23" s="15"/>
      <c r="N23" s="15"/>
    </row>
    <row r="24" customFormat="false" ht="17.25" hidden="false" customHeight="true" outlineLevel="0" collapsed="false">
      <c r="B24" s="12" t="s">
        <v>159</v>
      </c>
      <c r="C24" s="36" t="n">
        <f aca="false">C14*C18+D14*D18</f>
        <v>-25</v>
      </c>
      <c r="D24" s="36"/>
      <c r="E24" s="37" t="n">
        <f aca="false">(C14*C18+D14*D18)/(SQRT(SUMSQ(C14,D14))*SQRT(SUMSQ(C18,D18)))</f>
        <v>-1</v>
      </c>
      <c r="F24" s="37"/>
      <c r="G24" s="38" t="n">
        <f aca="false">DEGREES(ACOS((C14*C18+D14*D18)/(SQRT(SUMSQ(C14,D14))*SQRT(SUMSQ(C18,D18)))))</f>
        <v>180</v>
      </c>
      <c r="H24" s="38"/>
      <c r="I24" s="12" t="s">
        <v>160</v>
      </c>
      <c r="J24" s="12"/>
      <c r="K24" s="12"/>
      <c r="L24" s="12"/>
      <c r="M24" s="12"/>
      <c r="N24" s="12"/>
    </row>
    <row r="25" customFormat="false" ht="15.75" hidden="false" customHeight="true" outlineLevel="0" collapsed="false">
      <c r="B25" s="9" t="s">
        <v>155</v>
      </c>
      <c r="C25" s="28" t="str">
        <f aca="false">IF(ROUND(C14,3)&lt;0,"("&amp;ROUND(C14,3)&amp;")",ROUND(C14,3)&amp;"")&amp;"×"&amp;IF(ROUND(G14,3)&lt;0,"("&amp;ROUND(G14,3)&amp;")",ROUND(G14,3)&amp;"")&amp;" + "&amp;IF(ROUND(D14,3)&lt;0,"("&amp;ROUND(D14,3)&amp;")",ROUND(D14,3)&amp;"")&amp;"×"&amp;IF(ROUND(H14,3)&lt;0,"("&amp;ROUND(H14,3)&amp;")",ROUND(H14,3)&amp;"")&amp;"  =  "&amp;IF(ROUND(C22,3)&lt;0,"("&amp;ROUND(C22,3)&amp;")",ROUND(C22,3)&amp;"")</f>
        <v>3×6 + 4×8  =  50</v>
      </c>
      <c r="D25" s="28"/>
      <c r="E25" s="28"/>
      <c r="F25" s="28"/>
      <c r="G25" s="28"/>
      <c r="H25" s="28"/>
      <c r="I25" s="28"/>
      <c r="J25" s="28"/>
      <c r="K25" s="28"/>
      <c r="L25" s="28"/>
      <c r="M25" s="28"/>
      <c r="N25" s="28"/>
    </row>
    <row r="26" customFormat="false" ht="15.75" hidden="false" customHeight="true" outlineLevel="0" collapsed="false">
      <c r="B26" s="9" t="s">
        <v>157</v>
      </c>
      <c r="C26" s="28" t="str">
        <f aca="false">IF(ROUND(C14,3)&lt;0,"("&amp;ROUND(C14,3)&amp;")",ROUND(C14,3)&amp;"")&amp;"×"&amp;IF(ROUND(K14,3)&lt;0,"("&amp;ROUND(K14,3)&amp;")",ROUND(K14,3)&amp;"")&amp;" + "&amp;IF(ROUND(D14,3)&lt;0,"("&amp;ROUND(D14,3)&amp;")",ROUND(D14,3)&amp;"")&amp;"×"&amp;IF(ROUND(L14,3)&lt;0,"("&amp;ROUND(L14,3)&amp;")",ROUND(L14,3)&amp;"")&amp;"  =  "&amp;IF(ROUND(C23,3)&lt;0,"("&amp;ROUND(C23,3)&amp;")",ROUND(C23,3)&amp;"")</f>
        <v>3×(-4) + 4×3  =  0</v>
      </c>
      <c r="D26" s="28"/>
      <c r="E26" s="28"/>
      <c r="F26" s="28"/>
      <c r="G26" s="28"/>
      <c r="H26" s="28"/>
      <c r="I26" s="28"/>
      <c r="J26" s="28"/>
      <c r="K26" s="28"/>
      <c r="L26" s="28"/>
      <c r="M26" s="28"/>
      <c r="N26" s="28"/>
    </row>
    <row r="27" customFormat="false" ht="15.75" hidden="false" customHeight="true" outlineLevel="0" collapsed="false">
      <c r="B27" s="9" t="s">
        <v>159</v>
      </c>
      <c r="C27" s="28" t="str">
        <f aca="false">IF(ROUND(C14,3)&lt;0,"("&amp;ROUND(C14,3)&amp;")",ROUND(C14,3)&amp;"")&amp;"×"&amp;IF(ROUND(C18,3)&lt;0,"("&amp;ROUND(C18,3)&amp;")",ROUND(C18,3)&amp;"")&amp;" + "&amp;IF(ROUND(D14,3)&lt;0,"("&amp;ROUND(D14,3)&amp;")",ROUND(D14,3)&amp;"")&amp;"×"&amp;IF(ROUND(D18,3)&lt;0,"("&amp;ROUND(D18,3)&amp;")",ROUND(D18,3)&amp;"")&amp;"  =  "&amp;IF(ROUND(C24,3)&lt;0,"("&amp;ROUND(C24,3)&amp;")",ROUND(C24,3)&amp;"")</f>
        <v>3×(-3) + 4×(-4)  =  (-25)</v>
      </c>
      <c r="D27" s="28"/>
      <c r="E27" s="28"/>
      <c r="F27" s="28"/>
      <c r="G27" s="28"/>
      <c r="H27" s="28"/>
      <c r="I27" s="28"/>
      <c r="J27" s="28"/>
      <c r="K27" s="28"/>
      <c r="L27" s="28"/>
      <c r="M27" s="28"/>
      <c r="N27" s="28"/>
    </row>
    <row r="29" customFormat="false" ht="21.75" hidden="false" customHeight="true" outlineLevel="0" collapsed="false">
      <c r="B29" s="4" t="s">
        <v>161</v>
      </c>
      <c r="C29" s="4"/>
      <c r="D29" s="4"/>
      <c r="E29" s="4"/>
      <c r="F29" s="4"/>
      <c r="G29" s="4"/>
      <c r="H29" s="4"/>
      <c r="I29" s="4"/>
      <c r="J29" s="4"/>
      <c r="K29" s="4"/>
      <c r="L29" s="4"/>
      <c r="M29" s="4"/>
      <c r="N29" s="4"/>
    </row>
    <row r="30" customFormat="false" ht="31.5" hidden="false" customHeight="true" outlineLevel="0" collapsed="false">
      <c r="B30" s="5" t="s">
        <v>162</v>
      </c>
      <c r="C30" s="5"/>
      <c r="D30" s="5"/>
      <c r="E30" s="5"/>
      <c r="F30" s="5"/>
      <c r="G30" s="5"/>
      <c r="H30" s="5"/>
      <c r="I30" s="5"/>
      <c r="J30" s="5"/>
      <c r="K30" s="5"/>
      <c r="L30" s="5"/>
      <c r="M30" s="5"/>
      <c r="N30" s="5"/>
    </row>
    <row r="31" customFormat="false" ht="17.25" hidden="false" customHeight="true" outlineLevel="0" collapsed="false">
      <c r="B31" s="33" t="s">
        <v>163</v>
      </c>
      <c r="C31" s="33"/>
      <c r="D31" s="33"/>
      <c r="E31" s="33"/>
    </row>
    <row r="32" customFormat="false" ht="15" hidden="false" customHeight="false" outlineLevel="0" collapsed="false">
      <c r="B32" s="15"/>
      <c r="C32" s="34" t="s">
        <v>164</v>
      </c>
      <c r="D32" s="34" t="s">
        <v>165</v>
      </c>
      <c r="E32" s="34" t="s">
        <v>166</v>
      </c>
    </row>
    <row r="33" customFormat="false" ht="15" hidden="false" customHeight="false" outlineLevel="0" collapsed="false">
      <c r="B33" s="20"/>
      <c r="C33" s="42" t="n">
        <v>0.9</v>
      </c>
      <c r="D33" s="42" t="n">
        <v>-0.5</v>
      </c>
      <c r="E33" s="42" t="n">
        <v>0.6</v>
      </c>
    </row>
    <row r="35" customFormat="false" ht="17.25" hidden="false" customHeight="true" outlineLevel="0" collapsed="false">
      <c r="B35" s="33" t="s">
        <v>167</v>
      </c>
      <c r="C35" s="33"/>
      <c r="D35" s="33"/>
      <c r="E35" s="33"/>
    </row>
    <row r="36" customFormat="false" ht="23.85" hidden="false" customHeight="false" outlineLevel="0" collapsed="false">
      <c r="B36" s="15"/>
      <c r="C36" s="34" t="s">
        <v>164</v>
      </c>
      <c r="D36" s="34" t="s">
        <v>165</v>
      </c>
      <c r="E36" s="34" t="s">
        <v>166</v>
      </c>
      <c r="F36" s="34" t="s">
        <v>168</v>
      </c>
      <c r="G36" s="34" t="s">
        <v>169</v>
      </c>
    </row>
    <row r="37" customFormat="false" ht="15" hidden="false" customHeight="false" outlineLevel="0" collapsed="false">
      <c r="B37" s="20" t="s">
        <v>170</v>
      </c>
      <c r="C37" s="42" t="n">
        <v>0.9</v>
      </c>
      <c r="D37" s="42" t="n">
        <v>0.1</v>
      </c>
      <c r="E37" s="42" t="n">
        <v>0.3</v>
      </c>
      <c r="F37" s="43" t="n">
        <f aca="false">C33*C37+D33*D37+E33*E37</f>
        <v>0.94</v>
      </c>
      <c r="G37" s="44" t="n">
        <f aca="false">RANK(F37,$F$37:$F$40)</f>
        <v>1</v>
      </c>
    </row>
    <row r="38" customFormat="false" ht="15" hidden="false" customHeight="false" outlineLevel="0" collapsed="false">
      <c r="B38" s="20" t="s">
        <v>171</v>
      </c>
      <c r="C38" s="42" t="n">
        <v>0.1</v>
      </c>
      <c r="D38" s="42" t="n">
        <v>0.9</v>
      </c>
      <c r="E38" s="42" t="n">
        <v>0.4</v>
      </c>
      <c r="F38" s="43" t="n">
        <f aca="false">C33*C38+D33*D38+E33*E38</f>
        <v>-0.12</v>
      </c>
      <c r="G38" s="44" t="n">
        <f aca="false">RANK(F38,$F$37:$F$40)</f>
        <v>3</v>
      </c>
    </row>
    <row r="39" customFormat="false" ht="15" hidden="false" customHeight="false" outlineLevel="0" collapsed="false">
      <c r="B39" s="20" t="s">
        <v>172</v>
      </c>
      <c r="C39" s="42" t="n">
        <v>0.5</v>
      </c>
      <c r="D39" s="42" t="n">
        <v>0.2</v>
      </c>
      <c r="E39" s="42" t="n">
        <v>0.9</v>
      </c>
      <c r="F39" s="43" t="n">
        <f aca="false">C33*C39+D33*D39+E33*E39</f>
        <v>0.89</v>
      </c>
      <c r="G39" s="44" t="n">
        <f aca="false">RANK(F39,$F$37:$F$40)</f>
        <v>2</v>
      </c>
    </row>
    <row r="40" customFormat="false" ht="15" hidden="false" customHeight="false" outlineLevel="0" collapsed="false">
      <c r="B40" s="20" t="s">
        <v>173</v>
      </c>
      <c r="C40" s="42" t="n">
        <v>0</v>
      </c>
      <c r="D40" s="42" t="n">
        <v>0.8</v>
      </c>
      <c r="E40" s="42" t="n">
        <v>0</v>
      </c>
      <c r="F40" s="43" t="n">
        <f aca="false">C33*C40+D33*D40+E33*E40</f>
        <v>-0.4</v>
      </c>
      <c r="G40" s="44" t="n">
        <f aca="false">RANK(F40,$F$37:$F$40)</f>
        <v>4</v>
      </c>
    </row>
    <row r="42" customFormat="false" ht="15.75" hidden="false" customHeight="true" outlineLevel="0" collapsed="false">
      <c r="B42" s="9" t="s">
        <v>170</v>
      </c>
      <c r="C42" s="28" t="str">
        <f aca="false">IF(ROUND(C33,3)&lt;0,"("&amp;ROUND(C33,3)&amp;")",ROUND(C33,3)&amp;"")&amp;"×"&amp;IF(ROUND(C37,3)&lt;0,"("&amp;ROUND(C37,3)&amp;")",ROUND(C37,3)&amp;"")&amp;" + "&amp;IF(ROUND(D33,3)&lt;0,"("&amp;ROUND(D33,3)&amp;")",ROUND(D33,3)&amp;"")&amp;"×"&amp;IF(ROUND(D37,3)&lt;0,"("&amp;ROUND(D37,3)&amp;")",ROUND(D37,3)&amp;"")&amp;" + "&amp;IF(ROUND(E33,3)&lt;0,"("&amp;ROUND(E33,3)&amp;")",ROUND(E33,3)&amp;"")&amp;"×"&amp;IF(ROUND(E37,3)&lt;0,"("&amp;ROUND(E37,3)&amp;")",ROUND(E37,3)&amp;"")&amp;"  =  "&amp;IF(ROUND(F37,3)&lt;0,"("&amp;ROUND(F37,3)&amp;")",ROUND(F37,3)&amp;"")</f>
        <v>0.9×0.9 + (-0.5)×0.1 + 0.6×0.3  =  0.94</v>
      </c>
      <c r="D42" s="28"/>
      <c r="E42" s="28"/>
      <c r="F42" s="28"/>
      <c r="G42" s="28"/>
      <c r="H42" s="28"/>
      <c r="I42" s="28"/>
      <c r="J42" s="28"/>
      <c r="K42" s="28"/>
      <c r="L42" s="28"/>
      <c r="M42" s="28"/>
      <c r="N42" s="28"/>
    </row>
    <row r="43" customFormat="false" ht="15.75" hidden="false" customHeight="true" outlineLevel="0" collapsed="false">
      <c r="B43" s="9" t="s">
        <v>173</v>
      </c>
      <c r="C43" s="28" t="str">
        <f aca="false">IF(ROUND(C33,3)&lt;0,"("&amp;ROUND(C33,3)&amp;")",ROUND(C33,3)&amp;"")&amp;"×"&amp;IF(ROUND(C40,3)&lt;0,"("&amp;ROUND(C40,3)&amp;")",ROUND(C40,3)&amp;"")&amp;" + "&amp;IF(ROUND(D33,3)&lt;0,"("&amp;ROUND(D33,3)&amp;")",ROUND(D33,3)&amp;"")&amp;"×"&amp;IF(ROUND(D40,3)&lt;0,"("&amp;ROUND(D40,3)&amp;")",ROUND(D40,3)&amp;"")&amp;" + "&amp;IF(ROUND(E33,3)&lt;0,"("&amp;ROUND(E33,3)&amp;")",ROUND(E33,3)&amp;"")&amp;"×"&amp;IF(ROUND(E40,3)&lt;0,"("&amp;ROUND(E40,3)&amp;")",ROUND(E40,3)&amp;"")&amp;"  =  "&amp;IF(ROUND(F40,3)&lt;0,"("&amp;ROUND(F40,3)&amp;")",ROUND(F40,3)&amp;"")</f>
        <v>0.9×0 + (-0.5)×0.8 + 0.6×0  =  (-0.4)</v>
      </c>
      <c r="D43" s="28"/>
      <c r="E43" s="28"/>
      <c r="F43" s="28"/>
      <c r="G43" s="28"/>
      <c r="H43" s="28"/>
      <c r="I43" s="28"/>
      <c r="J43" s="28"/>
      <c r="K43" s="28"/>
      <c r="L43" s="28"/>
      <c r="M43" s="28"/>
      <c r="N43" s="28"/>
    </row>
    <row r="44" customFormat="false" ht="17.25" hidden="false" customHeight="true" outlineLevel="0" collapsed="false">
      <c r="B44" s="5" t="s">
        <v>174</v>
      </c>
      <c r="C44" s="5"/>
      <c r="D44" s="5"/>
      <c r="E44" s="5"/>
      <c r="F44" s="5"/>
      <c r="G44" s="5"/>
      <c r="H44" s="5"/>
      <c r="I44" s="5"/>
      <c r="J44" s="5"/>
      <c r="K44" s="5"/>
      <c r="L44" s="5"/>
      <c r="M44" s="5"/>
      <c r="N44" s="5"/>
    </row>
    <row r="45" customFormat="false" ht="17.25" hidden="false" customHeight="true" outlineLevel="0" collapsed="false">
      <c r="B45" s="45" t="s">
        <v>175</v>
      </c>
      <c r="C45" s="45"/>
      <c r="D45" s="45"/>
      <c r="E45" s="45"/>
      <c r="F45" s="45"/>
      <c r="G45" s="45"/>
      <c r="H45" s="45"/>
      <c r="I45" s="45"/>
      <c r="J45" s="45"/>
      <c r="K45" s="45"/>
      <c r="L45" s="45"/>
      <c r="M45" s="45"/>
      <c r="N45" s="45"/>
    </row>
    <row r="46" customFormat="false" ht="17.25" hidden="false" customHeight="true" outlineLevel="0" collapsed="false">
      <c r="B46" s="17" t="s">
        <v>176</v>
      </c>
      <c r="C46" s="17"/>
      <c r="D46" s="17"/>
      <c r="E46" s="17"/>
      <c r="F46" s="17"/>
      <c r="G46" s="17"/>
      <c r="H46" s="17"/>
      <c r="I46" s="17"/>
      <c r="J46" s="17"/>
      <c r="K46" s="17"/>
      <c r="L46" s="17"/>
      <c r="M46" s="17"/>
      <c r="N46" s="17"/>
    </row>
    <row r="47" customFormat="false" ht="18.75" hidden="false" customHeight="true" outlineLevel="0" collapsed="false">
      <c r="B47" s="29" t="s">
        <v>119</v>
      </c>
      <c r="C47" s="29"/>
      <c r="D47" s="29"/>
      <c r="E47" s="29"/>
      <c r="F47" s="29"/>
      <c r="G47" s="29"/>
      <c r="H47" s="29"/>
      <c r="I47" s="29"/>
      <c r="J47" s="29"/>
      <c r="K47" s="29"/>
      <c r="L47" s="29"/>
      <c r="M47" s="29"/>
      <c r="N47" s="29"/>
    </row>
    <row r="48" customFormat="false" ht="17.25" hidden="false" customHeight="true" outlineLevel="0" collapsed="false">
      <c r="B48" s="30" t="s">
        <v>177</v>
      </c>
      <c r="C48" s="30"/>
      <c r="D48" s="30"/>
      <c r="E48" s="30"/>
      <c r="F48" s="30"/>
      <c r="G48" s="30"/>
      <c r="H48" s="30"/>
      <c r="I48" s="30"/>
      <c r="J48" s="30"/>
      <c r="K48" s="30"/>
      <c r="L48" s="30"/>
      <c r="M48" s="30"/>
      <c r="N48" s="30"/>
    </row>
    <row r="49" customFormat="false" ht="17.25" hidden="false" customHeight="true" outlineLevel="0" collapsed="false">
      <c r="B49" s="31" t="s">
        <v>178</v>
      </c>
      <c r="C49" s="31"/>
      <c r="D49" s="31"/>
      <c r="E49" s="31"/>
      <c r="F49" s="31"/>
      <c r="G49" s="31"/>
      <c r="H49" s="31"/>
      <c r="I49" s="31"/>
      <c r="J49" s="31"/>
      <c r="K49" s="31"/>
      <c r="L49" s="31"/>
      <c r="M49" s="31"/>
      <c r="N49" s="31"/>
    </row>
    <row r="50" customFormat="false" ht="17.25" hidden="false" customHeight="true" outlineLevel="0" collapsed="false">
      <c r="B50" s="30" t="s">
        <v>179</v>
      </c>
      <c r="C50" s="30"/>
      <c r="D50" s="30"/>
      <c r="E50" s="30"/>
      <c r="F50" s="30"/>
      <c r="G50" s="30"/>
      <c r="H50" s="30"/>
      <c r="I50" s="30"/>
      <c r="J50" s="30"/>
      <c r="K50" s="30"/>
      <c r="L50" s="30"/>
      <c r="M50" s="30"/>
      <c r="N50" s="30"/>
    </row>
    <row r="51" customFormat="false" ht="17.25" hidden="false" customHeight="true" outlineLevel="0" collapsed="false">
      <c r="B51" s="31" t="s">
        <v>180</v>
      </c>
      <c r="C51" s="31"/>
      <c r="D51" s="31"/>
      <c r="E51" s="31"/>
      <c r="F51" s="31"/>
      <c r="G51" s="31"/>
      <c r="H51" s="31"/>
      <c r="I51" s="31"/>
      <c r="J51" s="31"/>
      <c r="K51" s="31"/>
      <c r="L51" s="31"/>
      <c r="M51" s="31"/>
      <c r="N51" s="31"/>
    </row>
  </sheetData>
  <mergeCells count="53">
    <mergeCell ref="B1:N1"/>
    <mergeCell ref="B2:N2"/>
    <mergeCell ref="B4:N4"/>
    <mergeCell ref="B5:N5"/>
    <mergeCell ref="C6:K6"/>
    <mergeCell ref="L6:N6"/>
    <mergeCell ref="C7:K7"/>
    <mergeCell ref="L7:N7"/>
    <mergeCell ref="C8:K8"/>
    <mergeCell ref="L8:N8"/>
    <mergeCell ref="C9:K9"/>
    <mergeCell ref="L9:N9"/>
    <mergeCell ref="C10:K10"/>
    <mergeCell ref="L10:N10"/>
    <mergeCell ref="B11:N11"/>
    <mergeCell ref="B12:D12"/>
    <mergeCell ref="F12:H12"/>
    <mergeCell ref="J12:L12"/>
    <mergeCell ref="B16:D16"/>
    <mergeCell ref="D20:N20"/>
    <mergeCell ref="C21:D21"/>
    <mergeCell ref="E21:F21"/>
    <mergeCell ref="G21:H21"/>
    <mergeCell ref="I21:N21"/>
    <mergeCell ref="C22:D22"/>
    <mergeCell ref="E22:F22"/>
    <mergeCell ref="G22:H22"/>
    <mergeCell ref="I22:N22"/>
    <mergeCell ref="C23:D23"/>
    <mergeCell ref="E23:F23"/>
    <mergeCell ref="G23:H23"/>
    <mergeCell ref="I23:N23"/>
    <mergeCell ref="C24:D24"/>
    <mergeCell ref="E24:F24"/>
    <mergeCell ref="G24:H24"/>
    <mergeCell ref="I24:N24"/>
    <mergeCell ref="C25:N25"/>
    <mergeCell ref="C26:N26"/>
    <mergeCell ref="C27:N27"/>
    <mergeCell ref="B29:N29"/>
    <mergeCell ref="B30:N30"/>
    <mergeCell ref="B31:E31"/>
    <mergeCell ref="B35:E35"/>
    <mergeCell ref="C42:N42"/>
    <mergeCell ref="C43:N43"/>
    <mergeCell ref="B44:N44"/>
    <mergeCell ref="B45:N45"/>
    <mergeCell ref="B46:N46"/>
    <mergeCell ref="B47:N47"/>
    <mergeCell ref="B48:N48"/>
    <mergeCell ref="B49:N49"/>
    <mergeCell ref="B50:N50"/>
    <mergeCell ref="B51:N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181</v>
      </c>
      <c r="C1" s="1"/>
      <c r="D1" s="1"/>
      <c r="E1" s="1"/>
      <c r="F1" s="1"/>
      <c r="G1" s="1"/>
      <c r="H1" s="1"/>
      <c r="I1" s="1"/>
      <c r="J1" s="1"/>
      <c r="K1" s="1"/>
      <c r="L1" s="1"/>
      <c r="M1" s="1"/>
      <c r="N1" s="1"/>
    </row>
    <row r="2" customFormat="false" ht="17.25" hidden="false" customHeight="true" outlineLevel="0" collapsed="false">
      <c r="B2" s="2" t="s">
        <v>182</v>
      </c>
      <c r="C2" s="2"/>
      <c r="D2" s="2"/>
      <c r="E2" s="2"/>
      <c r="F2" s="2"/>
      <c r="G2" s="2"/>
      <c r="H2" s="2"/>
      <c r="I2" s="2"/>
      <c r="J2" s="2"/>
      <c r="K2" s="2"/>
      <c r="L2" s="2"/>
      <c r="M2" s="2"/>
      <c r="N2" s="2"/>
    </row>
    <row r="4" customFormat="false" ht="34.5" hidden="false" customHeight="true" outlineLevel="0" collapsed="false">
      <c r="B4" s="3" t="s">
        <v>183</v>
      </c>
      <c r="C4" s="3"/>
      <c r="D4" s="3"/>
      <c r="E4" s="3"/>
      <c r="F4" s="3"/>
      <c r="G4" s="3"/>
      <c r="H4" s="3"/>
      <c r="I4" s="3"/>
      <c r="J4" s="3"/>
      <c r="K4" s="3"/>
      <c r="L4" s="3"/>
      <c r="M4" s="3"/>
      <c r="N4" s="3"/>
    </row>
    <row r="5" customFormat="false" ht="20.25" hidden="false" customHeight="true" outlineLevel="0" collapsed="false">
      <c r="B5" s="32" t="s">
        <v>184</v>
      </c>
      <c r="C5" s="32"/>
      <c r="D5" s="32"/>
      <c r="E5" s="32"/>
      <c r="F5" s="32"/>
      <c r="G5" s="32"/>
      <c r="H5" s="32"/>
      <c r="I5" s="32"/>
      <c r="J5" s="32"/>
      <c r="K5" s="32"/>
      <c r="L5" s="32"/>
      <c r="M5" s="32"/>
      <c r="N5" s="32"/>
    </row>
    <row r="6" customFormat="false" ht="21.75" hidden="false" customHeight="true" outlineLevel="0" collapsed="false">
      <c r="B6" s="4" t="s">
        <v>185</v>
      </c>
      <c r="C6" s="4"/>
      <c r="D6" s="4"/>
      <c r="E6" s="4"/>
      <c r="F6" s="4"/>
      <c r="G6" s="4"/>
      <c r="H6" s="4"/>
      <c r="I6" s="4"/>
      <c r="J6" s="4"/>
      <c r="K6" s="4"/>
      <c r="L6" s="4"/>
      <c r="M6" s="4"/>
      <c r="N6" s="4"/>
    </row>
    <row r="7" customFormat="false" ht="15.75" hidden="false" customHeight="true" outlineLevel="0" collapsed="false">
      <c r="B7" s="20" t="s">
        <v>186</v>
      </c>
      <c r="C7" s="25" t="n">
        <v>3</v>
      </c>
    </row>
    <row r="8" customFormat="false" ht="15.75" hidden="false" customHeight="true" outlineLevel="0" collapsed="false">
      <c r="B8" s="20" t="s">
        <v>187</v>
      </c>
      <c r="C8" s="25" t="n">
        <v>4</v>
      </c>
    </row>
    <row r="9" customFormat="false" ht="17.25" hidden="false" customHeight="true" outlineLevel="0" collapsed="false">
      <c r="B9" s="20" t="s">
        <v>188</v>
      </c>
      <c r="C9" s="25" t="n">
        <v>4</v>
      </c>
      <c r="D9" s="22" t="s">
        <v>189</v>
      </c>
      <c r="E9" s="22"/>
      <c r="F9" s="22"/>
      <c r="G9" s="22"/>
      <c r="H9" s="22"/>
      <c r="I9" s="22"/>
      <c r="J9" s="22"/>
      <c r="K9" s="22"/>
      <c r="L9" s="22"/>
      <c r="M9" s="22"/>
      <c r="N9" s="22"/>
    </row>
    <row r="10" customFormat="false" ht="15.75" hidden="false" customHeight="true" outlineLevel="0" collapsed="false">
      <c r="B10" s="20" t="s">
        <v>190</v>
      </c>
      <c r="C10" s="25" t="n">
        <v>2</v>
      </c>
    </row>
    <row r="11" customFormat="false" ht="15.75" hidden="false" customHeight="true" outlineLevel="0" collapsed="false">
      <c r="B11" s="20" t="s">
        <v>191</v>
      </c>
      <c r="C11" s="46" t="str">
        <f aca="false">IF(C8=C9,"OK → result is "&amp;C7&amp;" × "&amp;C10,"✘ mismatch: A has "&amp;C8&amp;" columns but B has "&amp;C9&amp;" rows")</f>
        <v>OK → result is 3 × 2</v>
      </c>
    </row>
    <row r="12" customFormat="false" ht="21.75" hidden="false" customHeight="true" outlineLevel="0" collapsed="false">
      <c r="B12" s="4" t="s">
        <v>192</v>
      </c>
      <c r="C12" s="4"/>
      <c r="D12" s="4"/>
      <c r="E12" s="4"/>
      <c r="F12" s="4"/>
      <c r="G12" s="4"/>
      <c r="H12" s="4"/>
      <c r="I12" s="4"/>
      <c r="J12" s="4"/>
      <c r="K12" s="4"/>
      <c r="L12" s="4"/>
      <c r="M12" s="4"/>
      <c r="N12" s="4"/>
    </row>
    <row r="13" customFormat="false" ht="17.25" hidden="false" customHeight="true" outlineLevel="0" collapsed="false">
      <c r="B13" s="33" t="s">
        <v>193</v>
      </c>
      <c r="C13" s="33"/>
      <c r="D13" s="33"/>
      <c r="E13" s="33" t="s">
        <v>194</v>
      </c>
      <c r="F13" s="33"/>
      <c r="G13" s="33"/>
      <c r="H13" s="33" t="s">
        <v>195</v>
      </c>
      <c r="I13" s="33"/>
      <c r="J13" s="33"/>
    </row>
    <row r="14" customFormat="false" ht="15" hidden="false" customHeight="false" outlineLevel="0" collapsed="false">
      <c r="B14" s="15"/>
      <c r="C14" s="34" t="s">
        <v>196</v>
      </c>
      <c r="D14" s="34" t="s">
        <v>197</v>
      </c>
      <c r="E14" s="15"/>
      <c r="F14" s="34" t="s">
        <v>196</v>
      </c>
      <c r="G14" s="34" t="s">
        <v>197</v>
      </c>
      <c r="H14" s="15"/>
      <c r="I14" s="34" t="s">
        <v>196</v>
      </c>
      <c r="J14" s="34" t="s">
        <v>197</v>
      </c>
    </row>
    <row r="15" customFormat="false" ht="15" hidden="false" customHeight="false" outlineLevel="0" collapsed="false">
      <c r="B15" s="20" t="s">
        <v>198</v>
      </c>
      <c r="C15" s="25" t="n">
        <v>1</v>
      </c>
      <c r="D15" s="25" t="n">
        <v>2</v>
      </c>
      <c r="E15" s="20" t="s">
        <v>198</v>
      </c>
      <c r="F15" s="25" t="n">
        <v>5</v>
      </c>
      <c r="G15" s="25" t="n">
        <v>6</v>
      </c>
      <c r="H15" s="20" t="s">
        <v>198</v>
      </c>
      <c r="I15" s="47" t="n">
        <f aca="false">C15*F15+D15*F16</f>
        <v>19</v>
      </c>
      <c r="J15" s="47" t="n">
        <f aca="false">C15*G15+D15*G16</f>
        <v>22</v>
      </c>
    </row>
    <row r="16" customFormat="false" ht="15" hidden="false" customHeight="false" outlineLevel="0" collapsed="false">
      <c r="B16" s="20" t="s">
        <v>199</v>
      </c>
      <c r="C16" s="25" t="n">
        <v>3</v>
      </c>
      <c r="D16" s="25" t="n">
        <v>4</v>
      </c>
      <c r="E16" s="20" t="s">
        <v>199</v>
      </c>
      <c r="F16" s="25" t="n">
        <v>7</v>
      </c>
      <c r="G16" s="25" t="n">
        <v>8</v>
      </c>
      <c r="H16" s="20" t="s">
        <v>199</v>
      </c>
      <c r="I16" s="47" t="n">
        <f aca="false">C16*F15+D16*F16</f>
        <v>43</v>
      </c>
      <c r="J16" s="47" t="n">
        <f aca="false">C16*G15+D16*G16</f>
        <v>50</v>
      </c>
    </row>
    <row r="18" customFormat="false" ht="15.75" hidden="false" customHeight="true" outlineLevel="0" collapsed="false">
      <c r="B18" s="9" t="s">
        <v>200</v>
      </c>
      <c r="C18" s="28" t="str">
        <f aca="false">IF(ROUND(C15,3)&lt;0,"("&amp;ROUND(C15,3)&amp;")",ROUND(C15,3)&amp;"")&amp;"×"&amp;IF(ROUND(F15,3)&lt;0,"("&amp;ROUND(F15,3)&amp;")",ROUND(F15,3)&amp;"")&amp;" + "&amp;IF(ROUND(D15,3)&lt;0,"("&amp;ROUND(D15,3)&amp;")",ROUND(D15,3)&amp;"")&amp;"×"&amp;IF(ROUND(F16,3)&lt;0,"("&amp;ROUND(F16,3)&amp;")",ROUND(F16,3)&amp;"")&amp;"  =  "&amp;IF(ROUND(I15,3)&lt;0,"("&amp;ROUND(I15,3)&amp;")",ROUND(I15,3)&amp;"")</f>
        <v>1×5 + 2×7  =  19</v>
      </c>
      <c r="D18" s="28"/>
      <c r="E18" s="28"/>
      <c r="F18" s="28"/>
      <c r="G18" s="28"/>
      <c r="H18" s="28"/>
      <c r="I18" s="28"/>
      <c r="J18" s="28"/>
      <c r="K18" s="28"/>
      <c r="L18" s="28"/>
      <c r="M18" s="28"/>
      <c r="N18" s="28"/>
    </row>
    <row r="19" customFormat="false" ht="15.75" hidden="false" customHeight="true" outlineLevel="0" collapsed="false">
      <c r="B19" s="9" t="s">
        <v>201</v>
      </c>
      <c r="C19" s="28" t="str">
        <f aca="false">IF(ROUND(C15,3)&lt;0,"("&amp;ROUND(C15,3)&amp;")",ROUND(C15,3)&amp;"")&amp;"×"&amp;IF(ROUND(G15,3)&lt;0,"("&amp;ROUND(G15,3)&amp;")",ROUND(G15,3)&amp;"")&amp;" + "&amp;IF(ROUND(D15,3)&lt;0,"("&amp;ROUND(D15,3)&amp;")",ROUND(D15,3)&amp;"")&amp;"×"&amp;IF(ROUND(G16,3)&lt;0,"("&amp;ROUND(G16,3)&amp;")",ROUND(G16,3)&amp;"")&amp;"  =  "&amp;IF(ROUND(J15,3)&lt;0,"("&amp;ROUND(J15,3)&amp;")",ROUND(J15,3)&amp;"")</f>
        <v>1×6 + 2×8  =  22</v>
      </c>
      <c r="D19" s="28"/>
      <c r="E19" s="28"/>
      <c r="F19" s="28"/>
      <c r="G19" s="28"/>
      <c r="H19" s="28"/>
      <c r="I19" s="28"/>
      <c r="J19" s="28"/>
      <c r="K19" s="28"/>
      <c r="L19" s="28"/>
      <c r="M19" s="28"/>
      <c r="N19" s="28"/>
    </row>
    <row r="20" customFormat="false" ht="15.75" hidden="false" customHeight="true" outlineLevel="0" collapsed="false">
      <c r="B20" s="9" t="s">
        <v>202</v>
      </c>
      <c r="C20" s="28" t="str">
        <f aca="false">IF(ROUND(C16,3)&lt;0,"("&amp;ROUND(C16,3)&amp;")",ROUND(C16,3)&amp;"")&amp;"×"&amp;IF(ROUND(F15,3)&lt;0,"("&amp;ROUND(F15,3)&amp;")",ROUND(F15,3)&amp;"")&amp;" + "&amp;IF(ROUND(D16,3)&lt;0,"("&amp;ROUND(D16,3)&amp;")",ROUND(D16,3)&amp;"")&amp;"×"&amp;IF(ROUND(F16,3)&lt;0,"("&amp;ROUND(F16,3)&amp;")",ROUND(F16,3)&amp;"")&amp;"  =  "&amp;IF(ROUND(I16,3)&lt;0,"("&amp;ROUND(I16,3)&amp;")",ROUND(I16,3)&amp;"")</f>
        <v>3×5 + 4×7  =  43</v>
      </c>
      <c r="D20" s="28"/>
      <c r="E20" s="28"/>
      <c r="F20" s="28"/>
      <c r="G20" s="28"/>
      <c r="H20" s="28"/>
      <c r="I20" s="28"/>
      <c r="J20" s="28"/>
      <c r="K20" s="28"/>
      <c r="L20" s="28"/>
      <c r="M20" s="28"/>
      <c r="N20" s="28"/>
    </row>
    <row r="21" customFormat="false" ht="15.75" hidden="false" customHeight="true" outlineLevel="0" collapsed="false">
      <c r="B21" s="9" t="s">
        <v>203</v>
      </c>
      <c r="C21" s="28" t="str">
        <f aca="false">IF(ROUND(C16,3)&lt;0,"("&amp;ROUND(C16,3)&amp;")",ROUND(C16,3)&amp;"")&amp;"×"&amp;IF(ROUND(G15,3)&lt;0,"("&amp;ROUND(G15,3)&amp;")",ROUND(G15,3)&amp;"")&amp;" + "&amp;IF(ROUND(D16,3)&lt;0,"("&amp;ROUND(D16,3)&amp;")",ROUND(D16,3)&amp;"")&amp;"×"&amp;IF(ROUND(G16,3)&lt;0,"("&amp;ROUND(G16,3)&amp;")",ROUND(G16,3)&amp;"")&amp;"  =  "&amp;IF(ROUND(J16,3)&lt;0,"("&amp;ROUND(J16,3)&amp;")",ROUND(J16,3)&amp;"")</f>
        <v>3×6 + 4×8  =  50</v>
      </c>
      <c r="D21" s="28"/>
      <c r="E21" s="28"/>
      <c r="F21" s="28"/>
      <c r="G21" s="28"/>
      <c r="H21" s="28"/>
      <c r="I21" s="28"/>
      <c r="J21" s="28"/>
      <c r="K21" s="28"/>
      <c r="L21" s="28"/>
      <c r="M21" s="28"/>
      <c r="N21" s="28"/>
    </row>
    <row r="22" customFormat="false" ht="17.25" hidden="false" customHeight="true" outlineLevel="0" collapsed="false">
      <c r="B22" s="5" t="s">
        <v>204</v>
      </c>
      <c r="C22" s="5"/>
      <c r="D22" s="5"/>
      <c r="E22" s="5"/>
      <c r="F22" s="5"/>
      <c r="G22" s="5"/>
      <c r="H22" s="5"/>
      <c r="I22" s="5"/>
      <c r="J22" s="5"/>
      <c r="K22" s="5"/>
      <c r="L22" s="5"/>
      <c r="M22" s="5"/>
      <c r="N22" s="5"/>
    </row>
    <row r="24" customFormat="false" ht="21.75" hidden="false" customHeight="true" outlineLevel="0" collapsed="false">
      <c r="B24" s="4" t="s">
        <v>205</v>
      </c>
      <c r="C24" s="4"/>
      <c r="D24" s="4"/>
      <c r="E24" s="4"/>
      <c r="F24" s="4"/>
      <c r="G24" s="4"/>
      <c r="H24" s="4"/>
      <c r="I24" s="4"/>
      <c r="J24" s="4"/>
      <c r="K24" s="4"/>
      <c r="L24" s="4"/>
      <c r="M24" s="4"/>
      <c r="N24" s="4"/>
    </row>
    <row r="25" customFormat="false" ht="31.5" hidden="false" customHeight="true" outlineLevel="0" collapsed="false">
      <c r="B25" s="5" t="s">
        <v>206</v>
      </c>
      <c r="C25" s="5"/>
      <c r="D25" s="5"/>
      <c r="E25" s="5"/>
      <c r="F25" s="5"/>
      <c r="G25" s="5"/>
      <c r="H25" s="5"/>
      <c r="I25" s="5"/>
      <c r="J25" s="5"/>
      <c r="K25" s="5"/>
      <c r="L25" s="5"/>
      <c r="M25" s="5"/>
      <c r="N25" s="5"/>
    </row>
    <row r="26" customFormat="false" ht="17.25" hidden="false" customHeight="true" outlineLevel="0" collapsed="false">
      <c r="B26" s="33" t="s">
        <v>207</v>
      </c>
      <c r="C26" s="33"/>
      <c r="D26" s="33"/>
      <c r="E26" s="33"/>
      <c r="G26" s="33" t="s">
        <v>208</v>
      </c>
      <c r="H26" s="33"/>
      <c r="I26" s="33"/>
    </row>
    <row r="27" customFormat="false" ht="15" hidden="false" customHeight="false" outlineLevel="0" collapsed="false">
      <c r="B27" s="15"/>
      <c r="C27" s="34" t="s">
        <v>209</v>
      </c>
      <c r="D27" s="34" t="s">
        <v>210</v>
      </c>
      <c r="E27" s="34" t="s">
        <v>211</v>
      </c>
      <c r="G27" s="15"/>
      <c r="H27" s="34" t="s">
        <v>212</v>
      </c>
      <c r="I27" s="34" t="s">
        <v>213</v>
      </c>
    </row>
    <row r="28" customFormat="false" ht="15" hidden="false" customHeight="false" outlineLevel="0" collapsed="false">
      <c r="B28" s="20" t="s">
        <v>214</v>
      </c>
      <c r="C28" s="21" t="n">
        <v>1</v>
      </c>
      <c r="D28" s="21" t="n">
        <v>0</v>
      </c>
      <c r="E28" s="21" t="n">
        <v>2</v>
      </c>
      <c r="G28" s="20" t="s">
        <v>209</v>
      </c>
      <c r="H28" s="21" t="n">
        <v>0.5</v>
      </c>
      <c r="I28" s="21" t="n">
        <v>-1</v>
      </c>
    </row>
    <row r="29" customFormat="false" ht="15" hidden="false" customHeight="false" outlineLevel="0" collapsed="false">
      <c r="B29" s="20" t="s">
        <v>215</v>
      </c>
      <c r="C29" s="21" t="n">
        <v>0</v>
      </c>
      <c r="D29" s="21" t="n">
        <v>1</v>
      </c>
      <c r="E29" s="21" t="n">
        <v>1</v>
      </c>
      <c r="G29" s="20" t="s">
        <v>210</v>
      </c>
      <c r="H29" s="21" t="n">
        <v>1</v>
      </c>
      <c r="I29" s="21" t="n">
        <v>0</v>
      </c>
    </row>
    <row r="30" customFormat="false" ht="15" hidden="false" customHeight="false" outlineLevel="0" collapsed="false">
      <c r="B30" s="20" t="s">
        <v>216</v>
      </c>
      <c r="C30" s="21" t="n">
        <v>2</v>
      </c>
      <c r="D30" s="21" t="n">
        <v>1</v>
      </c>
      <c r="E30" s="21" t="n">
        <v>0</v>
      </c>
      <c r="G30" s="20" t="s">
        <v>211</v>
      </c>
      <c r="H30" s="21" t="n">
        <v>0</v>
      </c>
      <c r="I30" s="21" t="n">
        <v>2</v>
      </c>
    </row>
    <row r="32" customFormat="false" ht="17.25" hidden="false" customHeight="true" outlineLevel="0" collapsed="false">
      <c r="B32" s="33" t="s">
        <v>217</v>
      </c>
      <c r="C32" s="33"/>
      <c r="D32" s="33"/>
    </row>
    <row r="33" customFormat="false" ht="15" hidden="false" customHeight="false" outlineLevel="0" collapsed="false">
      <c r="B33" s="15"/>
      <c r="C33" s="34" t="s">
        <v>212</v>
      </c>
      <c r="D33" s="34" t="s">
        <v>213</v>
      </c>
    </row>
    <row r="34" customFormat="false" ht="15" hidden="false" customHeight="false" outlineLevel="0" collapsed="false">
      <c r="B34" s="20" t="s">
        <v>214</v>
      </c>
      <c r="C34" s="47" t="n">
        <f aca="false">C28*H28+D28*H29+E28*H30</f>
        <v>0.5</v>
      </c>
      <c r="D34" s="47" t="n">
        <f aca="false">C28*I28+D28*I29+E28*I30</f>
        <v>3</v>
      </c>
    </row>
    <row r="35" customFormat="false" ht="15" hidden="false" customHeight="false" outlineLevel="0" collapsed="false">
      <c r="B35" s="20" t="s">
        <v>215</v>
      </c>
      <c r="C35" s="47" t="n">
        <f aca="false">C29*H28+D29*H29+E29*H30</f>
        <v>1</v>
      </c>
      <c r="D35" s="47" t="n">
        <f aca="false">C29*I28+D29*I29+E29*I30</f>
        <v>2</v>
      </c>
    </row>
    <row r="36" customFormat="false" ht="15" hidden="false" customHeight="false" outlineLevel="0" collapsed="false">
      <c r="B36" s="20" t="s">
        <v>216</v>
      </c>
      <c r="C36" s="47" t="n">
        <f aca="false">C30*H28+D30*H29+E30*H30</f>
        <v>2</v>
      </c>
      <c r="D36" s="47" t="n">
        <f aca="false">C30*I28+D30*I29+E30*I30</f>
        <v>-2</v>
      </c>
    </row>
    <row r="38" customFormat="false" ht="15.75" hidden="false" customHeight="true" outlineLevel="0" collapsed="false">
      <c r="B38" s="9" t="s">
        <v>218</v>
      </c>
      <c r="C38" s="28" t="str">
        <f aca="false">IF(ROUND(C28,3)&lt;0,"("&amp;ROUND(C28,3)&amp;")",ROUND(C28,3)&amp;"")&amp;"×"&amp;IF(ROUND(H28,3)&lt;0,"("&amp;ROUND(H28,3)&amp;")",ROUND(H28,3)&amp;"")&amp;" + "&amp;IF(ROUND(D28,3)&lt;0,"("&amp;ROUND(D28,3)&amp;")",ROUND(D28,3)&amp;"")&amp;"×"&amp;IF(ROUND(H29,3)&lt;0,"("&amp;ROUND(H29,3)&amp;")",ROUND(H29,3)&amp;"")&amp;" + "&amp;IF(ROUND(E28,3)&lt;0,"("&amp;ROUND(E28,3)&amp;")",ROUND(E28,3)&amp;"")&amp;"×"&amp;IF(ROUND(H30,3)&lt;0,"("&amp;ROUND(H30,3)&amp;")",ROUND(H30,3)&amp;"")&amp;"  =  "&amp;IF(ROUND(C34,3)&lt;0,"("&amp;ROUND(C34,3)&amp;")",ROUND(C34,3)&amp;"")</f>
        <v>1×0.5 + 0×1 + 2×0  =  0.5</v>
      </c>
      <c r="D38" s="28"/>
      <c r="E38" s="28"/>
      <c r="F38" s="28"/>
      <c r="G38" s="28"/>
      <c r="H38" s="28"/>
      <c r="I38" s="28"/>
      <c r="J38" s="28"/>
      <c r="K38" s="28"/>
      <c r="L38" s="28"/>
      <c r="M38" s="28"/>
      <c r="N38" s="28"/>
    </row>
    <row r="39" customFormat="false" ht="15.75" hidden="false" customHeight="true" outlineLevel="0" collapsed="false">
      <c r="B39" s="9" t="s">
        <v>219</v>
      </c>
      <c r="C39" s="28" t="str">
        <f aca="false">IF(ROUND(C28,3)&lt;0,"("&amp;ROUND(C28,3)&amp;")",ROUND(C28,3)&amp;"")&amp;"×"&amp;IF(ROUND(I28,3)&lt;0,"("&amp;ROUND(I28,3)&amp;")",ROUND(I28,3)&amp;"")&amp;" + "&amp;IF(ROUND(D28,3)&lt;0,"("&amp;ROUND(D28,3)&amp;")",ROUND(D28,3)&amp;"")&amp;"×"&amp;IF(ROUND(I29,3)&lt;0,"("&amp;ROUND(I29,3)&amp;")",ROUND(I29,3)&amp;"")&amp;" + "&amp;IF(ROUND(E28,3)&lt;0,"("&amp;ROUND(E28,3)&amp;")",ROUND(E28,3)&amp;"")&amp;"×"&amp;IF(ROUND(I30,3)&lt;0,"("&amp;ROUND(I30,3)&amp;")",ROUND(I30,3)&amp;"")&amp;"  =  "&amp;IF(ROUND(D34,3)&lt;0,"("&amp;ROUND(D34,3)&amp;")",ROUND(D34,3)&amp;"")</f>
        <v>1×(-1) + 0×0 + 2×2  =  3</v>
      </c>
      <c r="D39" s="28"/>
      <c r="E39" s="28"/>
      <c r="F39" s="28"/>
      <c r="G39" s="28"/>
      <c r="H39" s="28"/>
      <c r="I39" s="28"/>
      <c r="J39" s="28"/>
      <c r="K39" s="28"/>
      <c r="L39" s="28"/>
      <c r="M39" s="28"/>
      <c r="N39" s="28"/>
    </row>
    <row r="40" customFormat="false" ht="15.75" hidden="false" customHeight="true" outlineLevel="0" collapsed="false">
      <c r="B40" s="9" t="s">
        <v>220</v>
      </c>
      <c r="C40" s="28" t="str">
        <f aca="false">IF(ROUND(C29,3)&lt;0,"("&amp;ROUND(C29,3)&amp;")",ROUND(C29,3)&amp;"")&amp;"×"&amp;IF(ROUND(H28,3)&lt;0,"("&amp;ROUND(H28,3)&amp;")",ROUND(H28,3)&amp;"")&amp;" + "&amp;IF(ROUND(D29,3)&lt;0,"("&amp;ROUND(D29,3)&amp;")",ROUND(D29,3)&amp;"")&amp;"×"&amp;IF(ROUND(H29,3)&lt;0,"("&amp;ROUND(H29,3)&amp;")",ROUND(H29,3)&amp;"")&amp;" + "&amp;IF(ROUND(E29,3)&lt;0,"("&amp;ROUND(E29,3)&amp;")",ROUND(E29,3)&amp;"")&amp;"×"&amp;IF(ROUND(H30,3)&lt;0,"("&amp;ROUND(H30,3)&amp;")",ROUND(H30,3)&amp;"")&amp;"  =  "&amp;IF(ROUND(C35,3)&lt;0,"("&amp;ROUND(C35,3)&amp;")",ROUND(C35,3)&amp;"")</f>
        <v>0×0.5 + 1×1 + 1×0  =  1</v>
      </c>
      <c r="D40" s="28"/>
      <c r="E40" s="28"/>
      <c r="F40" s="28"/>
      <c r="G40" s="28"/>
      <c r="H40" s="28"/>
      <c r="I40" s="28"/>
      <c r="J40" s="28"/>
      <c r="K40" s="28"/>
      <c r="L40" s="28"/>
      <c r="M40" s="28"/>
      <c r="N40" s="28"/>
    </row>
    <row r="41" customFormat="false" ht="15.75" hidden="false" customHeight="true" outlineLevel="0" collapsed="false">
      <c r="B41" s="9" t="s">
        <v>221</v>
      </c>
      <c r="C41" s="28" t="str">
        <f aca="false">IF(ROUND(C29,3)&lt;0,"("&amp;ROUND(C29,3)&amp;")",ROUND(C29,3)&amp;"")&amp;"×"&amp;IF(ROUND(I28,3)&lt;0,"("&amp;ROUND(I28,3)&amp;")",ROUND(I28,3)&amp;"")&amp;" + "&amp;IF(ROUND(D29,3)&lt;0,"("&amp;ROUND(D29,3)&amp;")",ROUND(D29,3)&amp;"")&amp;"×"&amp;IF(ROUND(I29,3)&lt;0,"("&amp;ROUND(I29,3)&amp;")",ROUND(I29,3)&amp;"")&amp;" + "&amp;IF(ROUND(E29,3)&lt;0,"("&amp;ROUND(E29,3)&amp;")",ROUND(E29,3)&amp;"")&amp;"×"&amp;IF(ROUND(I30,3)&lt;0,"("&amp;ROUND(I30,3)&amp;")",ROUND(I30,3)&amp;"")&amp;"  =  "&amp;IF(ROUND(D35,3)&lt;0,"("&amp;ROUND(D35,3)&amp;")",ROUND(D35,3)&amp;"")</f>
        <v>0×(-1) + 1×0 + 1×2  =  2</v>
      </c>
      <c r="D41" s="28"/>
      <c r="E41" s="28"/>
      <c r="F41" s="28"/>
      <c r="G41" s="28"/>
      <c r="H41" s="28"/>
      <c r="I41" s="28"/>
      <c r="J41" s="28"/>
      <c r="K41" s="28"/>
      <c r="L41" s="28"/>
      <c r="M41" s="28"/>
      <c r="N41" s="28"/>
    </row>
    <row r="42" customFormat="false" ht="15.75" hidden="false" customHeight="true" outlineLevel="0" collapsed="false">
      <c r="B42" s="9" t="s">
        <v>222</v>
      </c>
      <c r="C42" s="28" t="str">
        <f aca="false">IF(ROUND(C30,3)&lt;0,"("&amp;ROUND(C30,3)&amp;")",ROUND(C30,3)&amp;"")&amp;"×"&amp;IF(ROUND(H28,3)&lt;0,"("&amp;ROUND(H28,3)&amp;")",ROUND(H28,3)&amp;"")&amp;" + "&amp;IF(ROUND(D30,3)&lt;0,"("&amp;ROUND(D30,3)&amp;")",ROUND(D30,3)&amp;"")&amp;"×"&amp;IF(ROUND(H29,3)&lt;0,"("&amp;ROUND(H29,3)&amp;")",ROUND(H29,3)&amp;"")&amp;" + "&amp;IF(ROUND(E30,3)&lt;0,"("&amp;ROUND(E30,3)&amp;")",ROUND(E30,3)&amp;"")&amp;"×"&amp;IF(ROUND(H30,3)&lt;0,"("&amp;ROUND(H30,3)&amp;")",ROUND(H30,3)&amp;"")&amp;"  =  "&amp;IF(ROUND(C36,3)&lt;0,"("&amp;ROUND(C36,3)&amp;")",ROUND(C36,3)&amp;"")</f>
        <v>2×0.5 + 1×1 + 0×0  =  2</v>
      </c>
      <c r="D42" s="28"/>
      <c r="E42" s="28"/>
      <c r="F42" s="28"/>
      <c r="G42" s="28"/>
      <c r="H42" s="28"/>
      <c r="I42" s="28"/>
      <c r="J42" s="28"/>
      <c r="K42" s="28"/>
      <c r="L42" s="28"/>
      <c r="M42" s="28"/>
      <c r="N42" s="28"/>
    </row>
    <row r="43" customFormat="false" ht="15.75" hidden="false" customHeight="true" outlineLevel="0" collapsed="false">
      <c r="B43" s="9" t="s">
        <v>223</v>
      </c>
      <c r="C43" s="28" t="str">
        <f aca="false">IF(ROUND(C30,3)&lt;0,"("&amp;ROUND(C30,3)&amp;")",ROUND(C30,3)&amp;"")&amp;"×"&amp;IF(ROUND(I28,3)&lt;0,"("&amp;ROUND(I28,3)&amp;")",ROUND(I28,3)&amp;"")&amp;" + "&amp;IF(ROUND(D30,3)&lt;0,"("&amp;ROUND(D30,3)&amp;")",ROUND(D30,3)&amp;"")&amp;"×"&amp;IF(ROUND(I29,3)&lt;0,"("&amp;ROUND(I29,3)&amp;")",ROUND(I29,3)&amp;"")&amp;" + "&amp;IF(ROUND(E30,3)&lt;0,"("&amp;ROUND(E30,3)&amp;")",ROUND(E30,3)&amp;"")&amp;"×"&amp;IF(ROUND(I30,3)&lt;0,"("&amp;ROUND(I30,3)&amp;")",ROUND(I30,3)&amp;"")&amp;"  =  "&amp;IF(ROUND(D36,3)&lt;0,"("&amp;ROUND(D36,3)&amp;")",ROUND(D36,3)&amp;"")</f>
        <v>2×(-1) + 1×0 + 0×2  =  (-2)</v>
      </c>
      <c r="D43" s="28"/>
      <c r="E43" s="28"/>
      <c r="F43" s="28"/>
      <c r="G43" s="28"/>
      <c r="H43" s="28"/>
      <c r="I43" s="28"/>
      <c r="J43" s="28"/>
      <c r="K43" s="28"/>
      <c r="L43" s="28"/>
      <c r="M43" s="28"/>
      <c r="N43" s="28"/>
    </row>
    <row r="44" customFormat="false" ht="18.75" hidden="false" customHeight="true" outlineLevel="0" collapsed="false">
      <c r="B44" s="29" t="s">
        <v>224</v>
      </c>
      <c r="C44" s="29"/>
      <c r="D44" s="29"/>
      <c r="E44" s="29"/>
      <c r="F44" s="29"/>
      <c r="G44" s="29"/>
      <c r="H44" s="29"/>
      <c r="I44" s="29"/>
      <c r="J44" s="29"/>
      <c r="K44" s="29"/>
      <c r="L44" s="29"/>
      <c r="M44" s="29"/>
      <c r="N44" s="29"/>
    </row>
    <row r="45" customFormat="false" ht="17.25" hidden="false" customHeight="true" outlineLevel="0" collapsed="false">
      <c r="B45" s="33" t="s">
        <v>225</v>
      </c>
      <c r="C45" s="33"/>
      <c r="D45" s="33"/>
      <c r="E45" s="33"/>
      <c r="G45" s="33" t="s">
        <v>226</v>
      </c>
      <c r="H45" s="33"/>
      <c r="I45" s="33"/>
      <c r="J45" s="33"/>
    </row>
    <row r="46" customFormat="false" ht="15" hidden="false" customHeight="false" outlineLevel="0" collapsed="false">
      <c r="B46" s="15"/>
      <c r="C46" s="34" t="s">
        <v>209</v>
      </c>
      <c r="D46" s="34" t="s">
        <v>210</v>
      </c>
      <c r="E46" s="34" t="s">
        <v>211</v>
      </c>
      <c r="G46" s="15"/>
      <c r="H46" s="34" t="s">
        <v>196</v>
      </c>
      <c r="I46" s="34" t="s">
        <v>197</v>
      </c>
      <c r="J46" s="34" t="s">
        <v>227</v>
      </c>
    </row>
    <row r="47" customFormat="false" ht="15" hidden="false" customHeight="false" outlineLevel="0" collapsed="false">
      <c r="B47" s="20" t="s">
        <v>212</v>
      </c>
      <c r="C47" s="48" t="n">
        <f aca="false">H28</f>
        <v>0.5</v>
      </c>
      <c r="D47" s="48" t="n">
        <f aca="false">H29</f>
        <v>1</v>
      </c>
      <c r="E47" s="48" t="n">
        <f aca="false">H30</f>
        <v>0</v>
      </c>
      <c r="G47" s="20" t="s">
        <v>198</v>
      </c>
      <c r="H47" s="25" t="n">
        <v>1</v>
      </c>
      <c r="I47" s="25" t="n">
        <v>0</v>
      </c>
      <c r="J47" s="25" t="n">
        <v>0</v>
      </c>
    </row>
    <row r="48" customFormat="false" ht="15" hidden="false" customHeight="false" outlineLevel="0" collapsed="false">
      <c r="B48" s="20" t="s">
        <v>213</v>
      </c>
      <c r="C48" s="48" t="n">
        <f aca="false">I28</f>
        <v>-1</v>
      </c>
      <c r="D48" s="48" t="n">
        <f aca="false">I29</f>
        <v>0</v>
      </c>
      <c r="E48" s="48" t="n">
        <f aca="false">I30</f>
        <v>2</v>
      </c>
      <c r="G48" s="20" t="s">
        <v>199</v>
      </c>
      <c r="H48" s="25" t="n">
        <v>0</v>
      </c>
      <c r="I48" s="25" t="n">
        <v>1</v>
      </c>
      <c r="J48" s="25" t="n">
        <v>0</v>
      </c>
    </row>
    <row r="49" customFormat="false" ht="15" hidden="false" customHeight="false" outlineLevel="0" collapsed="false">
      <c r="G49" s="20" t="s">
        <v>228</v>
      </c>
      <c r="H49" s="25" t="n">
        <v>0</v>
      </c>
      <c r="I49" s="25" t="n">
        <v>0</v>
      </c>
      <c r="J49" s="25" t="n">
        <v>1</v>
      </c>
    </row>
    <row r="51" customFormat="false" ht="17.25" hidden="false" customHeight="true" outlineLevel="0" collapsed="false">
      <c r="B51" s="33" t="s">
        <v>229</v>
      </c>
      <c r="C51" s="33"/>
      <c r="D51" s="33"/>
      <c r="E51" s="33"/>
      <c r="F51" s="33"/>
      <c r="G51" s="33"/>
    </row>
    <row r="52" customFormat="false" ht="15" hidden="false" customHeight="false" outlineLevel="0" collapsed="false">
      <c r="B52" s="15"/>
      <c r="C52" s="34" t="s">
        <v>209</v>
      </c>
      <c r="D52" s="34" t="s">
        <v>210</v>
      </c>
      <c r="E52" s="34" t="s">
        <v>211</v>
      </c>
    </row>
    <row r="53" customFormat="false" ht="15" hidden="false" customHeight="false" outlineLevel="0" collapsed="false">
      <c r="B53" s="20" t="s">
        <v>214</v>
      </c>
      <c r="C53" s="48" t="n">
        <f aca="false">C28*H47+D28*H48+E28*H49</f>
        <v>1</v>
      </c>
      <c r="D53" s="48" t="n">
        <f aca="false">C28*I47+D28*I48+E28*I49</f>
        <v>0</v>
      </c>
      <c r="E53" s="48" t="n">
        <f aca="false">C28*J47+D28*J48+E28*J49</f>
        <v>2</v>
      </c>
    </row>
    <row r="54" customFormat="false" ht="15" hidden="false" customHeight="false" outlineLevel="0" collapsed="false">
      <c r="B54" s="20" t="s">
        <v>215</v>
      </c>
      <c r="C54" s="48" t="n">
        <f aca="false">C29*H47+D29*H48+E29*H49</f>
        <v>0</v>
      </c>
      <c r="D54" s="48" t="n">
        <f aca="false">C29*I47+D29*I48+E29*I49</f>
        <v>1</v>
      </c>
      <c r="E54" s="48" t="n">
        <f aca="false">C29*J47+D29*J48+E29*J49</f>
        <v>1</v>
      </c>
    </row>
    <row r="55" customFormat="false" ht="15" hidden="false" customHeight="false" outlineLevel="0" collapsed="false">
      <c r="B55" s="20" t="s">
        <v>216</v>
      </c>
      <c r="C55" s="48" t="n">
        <f aca="false">C30*H47+D30*H48+E30*H49</f>
        <v>2</v>
      </c>
      <c r="D55" s="48" t="n">
        <f aca="false">C30*I47+D30*I48+E30*I49</f>
        <v>1</v>
      </c>
      <c r="E55" s="48" t="n">
        <f aca="false">C30*J47+D30*J48+E30*J49</f>
        <v>0</v>
      </c>
    </row>
    <row r="57" customFormat="false" ht="18.75" hidden="false" customHeight="true" outlineLevel="0" collapsed="false">
      <c r="B57" s="29" t="s">
        <v>119</v>
      </c>
      <c r="C57" s="29"/>
      <c r="D57" s="29"/>
      <c r="E57" s="29"/>
      <c r="F57" s="29"/>
      <c r="G57" s="29"/>
      <c r="H57" s="29"/>
      <c r="I57" s="29"/>
      <c r="J57" s="29"/>
      <c r="K57" s="29"/>
      <c r="L57" s="29"/>
      <c r="M57" s="29"/>
      <c r="N57" s="29"/>
    </row>
    <row r="58" customFormat="false" ht="17.25" hidden="false" customHeight="true" outlineLevel="0" collapsed="false">
      <c r="B58" s="30" t="s">
        <v>230</v>
      </c>
      <c r="C58" s="30"/>
      <c r="D58" s="30"/>
      <c r="E58" s="30"/>
      <c r="F58" s="30"/>
      <c r="G58" s="30"/>
      <c r="H58" s="30"/>
      <c r="I58" s="30"/>
      <c r="J58" s="30"/>
      <c r="K58" s="30"/>
      <c r="L58" s="30"/>
      <c r="M58" s="30"/>
      <c r="N58" s="30"/>
    </row>
    <row r="59" customFormat="false" ht="17.25" hidden="false" customHeight="true" outlineLevel="0" collapsed="false">
      <c r="B59" s="31" t="s">
        <v>231</v>
      </c>
      <c r="C59" s="31"/>
      <c r="D59" s="31"/>
      <c r="E59" s="31"/>
      <c r="F59" s="31"/>
      <c r="G59" s="31"/>
      <c r="H59" s="31"/>
      <c r="I59" s="31"/>
      <c r="J59" s="31"/>
      <c r="K59" s="31"/>
      <c r="L59" s="31"/>
      <c r="M59" s="31"/>
      <c r="N59" s="31"/>
    </row>
    <row r="60" customFormat="false" ht="17.25" hidden="false" customHeight="true" outlineLevel="0" collapsed="false">
      <c r="B60" s="30" t="s">
        <v>232</v>
      </c>
      <c r="C60" s="30"/>
      <c r="D60" s="30"/>
      <c r="E60" s="30"/>
      <c r="F60" s="30"/>
      <c r="G60" s="30"/>
      <c r="H60" s="30"/>
      <c r="I60" s="30"/>
      <c r="J60" s="30"/>
      <c r="K60" s="30"/>
      <c r="L60" s="30"/>
      <c r="M60" s="30"/>
      <c r="N60" s="30"/>
    </row>
    <row r="61" customFormat="false" ht="17.25" hidden="false" customHeight="true" outlineLevel="0" collapsed="false">
      <c r="B61" s="31" t="s">
        <v>233</v>
      </c>
      <c r="C61" s="31"/>
      <c r="D61" s="31"/>
      <c r="E61" s="31"/>
      <c r="F61" s="31"/>
      <c r="G61" s="31"/>
      <c r="H61" s="31"/>
      <c r="I61" s="31"/>
      <c r="J61" s="31"/>
      <c r="K61" s="31"/>
      <c r="L61" s="31"/>
      <c r="M61" s="31"/>
      <c r="N61" s="31"/>
    </row>
    <row r="62" customFormat="false" ht="17.25" hidden="false" customHeight="true" outlineLevel="0" collapsed="false">
      <c r="B62" s="30" t="s">
        <v>234</v>
      </c>
      <c r="C62" s="30"/>
      <c r="D62" s="30"/>
      <c r="E62" s="30"/>
      <c r="F62" s="30"/>
      <c r="G62" s="30"/>
      <c r="H62" s="30"/>
      <c r="I62" s="30"/>
      <c r="J62" s="30"/>
      <c r="K62" s="30"/>
      <c r="L62" s="30"/>
      <c r="M62" s="30"/>
      <c r="N62" s="30"/>
    </row>
    <row r="63" customFormat="false" ht="17.25" hidden="false" customHeight="true" outlineLevel="0" collapsed="false">
      <c r="B63" s="31" t="s">
        <v>235</v>
      </c>
      <c r="C63" s="31"/>
      <c r="D63" s="31"/>
      <c r="E63" s="31"/>
      <c r="F63" s="31"/>
      <c r="G63" s="31"/>
      <c r="H63" s="31"/>
      <c r="I63" s="31"/>
      <c r="J63" s="31"/>
      <c r="K63" s="31"/>
      <c r="L63" s="31"/>
      <c r="M63" s="31"/>
      <c r="N63" s="31"/>
    </row>
  </sheetData>
  <mergeCells count="37">
    <mergeCell ref="B1:N1"/>
    <mergeCell ref="B2:N2"/>
    <mergeCell ref="B4:N4"/>
    <mergeCell ref="B5:N5"/>
    <mergeCell ref="B6:N6"/>
    <mergeCell ref="D9:N9"/>
    <mergeCell ref="B12:N12"/>
    <mergeCell ref="B13:D13"/>
    <mergeCell ref="E13:G13"/>
    <mergeCell ref="H13:J13"/>
    <mergeCell ref="C18:N18"/>
    <mergeCell ref="C19:N19"/>
    <mergeCell ref="C20:N20"/>
    <mergeCell ref="C21:N21"/>
    <mergeCell ref="B22:N22"/>
    <mergeCell ref="B24:N24"/>
    <mergeCell ref="B25:N25"/>
    <mergeCell ref="B26:E26"/>
    <mergeCell ref="G26:I26"/>
    <mergeCell ref="B32:D32"/>
    <mergeCell ref="C38:N38"/>
    <mergeCell ref="C39:N39"/>
    <mergeCell ref="C40:N40"/>
    <mergeCell ref="C41:N41"/>
    <mergeCell ref="C42:N42"/>
    <mergeCell ref="C43:N43"/>
    <mergeCell ref="B44:N44"/>
    <mergeCell ref="B45:E45"/>
    <mergeCell ref="G45:J45"/>
    <mergeCell ref="B51:G51"/>
    <mergeCell ref="B57:N57"/>
    <mergeCell ref="B58:N58"/>
    <mergeCell ref="B59:N59"/>
    <mergeCell ref="B60:N60"/>
    <mergeCell ref="B61:N61"/>
    <mergeCell ref="B62:N62"/>
    <mergeCell ref="B63:N6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236</v>
      </c>
      <c r="C1" s="1"/>
      <c r="D1" s="1"/>
      <c r="E1" s="1"/>
      <c r="F1" s="1"/>
      <c r="G1" s="1"/>
      <c r="H1" s="1"/>
      <c r="I1" s="1"/>
      <c r="J1" s="1"/>
      <c r="K1" s="1"/>
      <c r="L1" s="1"/>
      <c r="M1" s="1"/>
      <c r="N1" s="1"/>
    </row>
    <row r="2" customFormat="false" ht="17.25" hidden="false" customHeight="true" outlineLevel="0" collapsed="false">
      <c r="B2" s="2" t="s">
        <v>237</v>
      </c>
      <c r="C2" s="2"/>
      <c r="D2" s="2"/>
      <c r="E2" s="2"/>
      <c r="F2" s="2"/>
      <c r="G2" s="2"/>
      <c r="H2" s="2"/>
      <c r="I2" s="2"/>
      <c r="J2" s="2"/>
      <c r="K2" s="2"/>
      <c r="L2" s="2"/>
      <c r="M2" s="2"/>
      <c r="N2" s="2"/>
    </row>
    <row r="4" customFormat="false" ht="20.25" hidden="false" customHeight="true" outlineLevel="0" collapsed="false">
      <c r="B4" s="32" t="s">
        <v>238</v>
      </c>
      <c r="C4" s="32"/>
      <c r="D4" s="32"/>
      <c r="E4" s="32"/>
      <c r="F4" s="32"/>
      <c r="G4" s="32"/>
      <c r="H4" s="32"/>
      <c r="I4" s="32"/>
      <c r="J4" s="32"/>
      <c r="K4" s="32"/>
      <c r="L4" s="32"/>
      <c r="M4" s="32"/>
      <c r="N4" s="32"/>
    </row>
    <row r="5" customFormat="false" ht="34.5" hidden="false" customHeight="true" outlineLevel="0" collapsed="false">
      <c r="B5" s="3" t="s">
        <v>239</v>
      </c>
      <c r="C5" s="3"/>
      <c r="D5" s="3"/>
      <c r="E5" s="3"/>
      <c r="F5" s="3"/>
      <c r="G5" s="3"/>
      <c r="H5" s="3"/>
      <c r="I5" s="3"/>
      <c r="J5" s="3"/>
      <c r="K5" s="3"/>
      <c r="L5" s="3"/>
      <c r="M5" s="3"/>
      <c r="N5" s="3"/>
    </row>
    <row r="6" customFormat="false" ht="17.25" hidden="false" customHeight="true" outlineLevel="0" collapsed="false">
      <c r="B6" s="10" t="s">
        <v>130</v>
      </c>
      <c r="C6" s="10" t="s">
        <v>131</v>
      </c>
      <c r="D6" s="10"/>
      <c r="E6" s="10"/>
      <c r="F6" s="10"/>
      <c r="G6" s="10"/>
      <c r="H6" s="10"/>
      <c r="I6" s="10"/>
      <c r="J6" s="10"/>
      <c r="K6" s="10"/>
      <c r="L6" s="10" t="s">
        <v>132</v>
      </c>
      <c r="M6" s="10"/>
      <c r="N6" s="10"/>
    </row>
    <row r="7" customFormat="false" ht="17.25" hidden="false" customHeight="true" outlineLevel="0" collapsed="false">
      <c r="B7" s="18" t="s">
        <v>146</v>
      </c>
      <c r="C7" s="12" t="s">
        <v>240</v>
      </c>
      <c r="D7" s="12"/>
      <c r="E7" s="12"/>
      <c r="F7" s="12"/>
      <c r="G7" s="12"/>
      <c r="H7" s="12"/>
      <c r="I7" s="12"/>
      <c r="J7" s="12"/>
      <c r="K7" s="12"/>
      <c r="L7" s="12" t="s">
        <v>241</v>
      </c>
      <c r="M7" s="12"/>
      <c r="N7" s="12"/>
    </row>
    <row r="8" customFormat="false" ht="17.25" hidden="false" customHeight="true" outlineLevel="0" collapsed="false">
      <c r="B8" s="9" t="s">
        <v>242</v>
      </c>
      <c r="C8" s="15" t="s">
        <v>243</v>
      </c>
      <c r="D8" s="15"/>
      <c r="E8" s="15"/>
      <c r="F8" s="15"/>
      <c r="G8" s="15"/>
      <c r="H8" s="15"/>
      <c r="I8" s="15"/>
      <c r="J8" s="15"/>
      <c r="K8" s="15"/>
      <c r="L8" s="15" t="s">
        <v>244</v>
      </c>
      <c r="M8" s="15"/>
      <c r="N8" s="15"/>
    </row>
    <row r="9" customFormat="false" ht="17.25" hidden="false" customHeight="true" outlineLevel="0" collapsed="false">
      <c r="B9" s="18" t="s">
        <v>245</v>
      </c>
      <c r="C9" s="12" t="s">
        <v>246</v>
      </c>
      <c r="D9" s="12"/>
      <c r="E9" s="12"/>
      <c r="F9" s="12"/>
      <c r="G9" s="12"/>
      <c r="H9" s="12"/>
      <c r="I9" s="12"/>
      <c r="J9" s="12"/>
      <c r="K9" s="12"/>
      <c r="L9" s="12" t="s">
        <v>244</v>
      </c>
      <c r="M9" s="12"/>
      <c r="N9" s="12"/>
    </row>
    <row r="10" customFormat="false" ht="17.25" hidden="false" customHeight="true" outlineLevel="0" collapsed="false">
      <c r="B10" s="9" t="s">
        <v>247</v>
      </c>
      <c r="C10" s="15" t="s">
        <v>248</v>
      </c>
      <c r="D10" s="15"/>
      <c r="E10" s="15"/>
      <c r="F10" s="15"/>
      <c r="G10" s="15"/>
      <c r="H10" s="15"/>
      <c r="I10" s="15"/>
      <c r="J10" s="15"/>
      <c r="K10" s="15"/>
      <c r="L10" s="15" t="s">
        <v>249</v>
      </c>
      <c r="M10" s="15"/>
      <c r="N10" s="15"/>
    </row>
    <row r="11" customFormat="false" ht="17.25" hidden="false" customHeight="true" outlineLevel="0" collapsed="false">
      <c r="B11" s="18" t="s">
        <v>250</v>
      </c>
      <c r="C11" s="12" t="s">
        <v>251</v>
      </c>
      <c r="D11" s="12"/>
      <c r="E11" s="12"/>
      <c r="F11" s="12"/>
      <c r="G11" s="12"/>
      <c r="H11" s="12"/>
      <c r="I11" s="12"/>
      <c r="J11" s="12"/>
      <c r="K11" s="12"/>
      <c r="L11" s="12" t="s">
        <v>252</v>
      </c>
      <c r="M11" s="12"/>
      <c r="N11" s="12"/>
    </row>
    <row r="12" customFormat="false" ht="21.75" hidden="false" customHeight="true" outlineLevel="0" collapsed="false">
      <c r="B12" s="4" t="s">
        <v>253</v>
      </c>
      <c r="C12" s="4"/>
      <c r="D12" s="4"/>
      <c r="E12" s="4"/>
      <c r="F12" s="4"/>
      <c r="G12" s="4"/>
      <c r="H12" s="4"/>
      <c r="I12" s="4"/>
      <c r="J12" s="4"/>
      <c r="K12" s="4"/>
      <c r="L12" s="4"/>
      <c r="M12" s="4"/>
      <c r="N12" s="4"/>
    </row>
    <row r="13" customFormat="false" ht="17.25" hidden="false" customHeight="true" outlineLevel="0" collapsed="false">
      <c r="B13" s="5" t="s">
        <v>254</v>
      </c>
      <c r="C13" s="5"/>
      <c r="D13" s="5"/>
      <c r="E13" s="5"/>
      <c r="F13" s="5"/>
      <c r="G13" s="5"/>
      <c r="H13" s="5"/>
      <c r="I13" s="5"/>
      <c r="J13" s="5"/>
      <c r="K13" s="5"/>
      <c r="L13" s="5"/>
      <c r="M13" s="5"/>
      <c r="N13" s="5"/>
    </row>
    <row r="14" customFormat="false" ht="17.25" hidden="false" customHeight="true" outlineLevel="0" collapsed="false">
      <c r="B14" s="33" t="s">
        <v>255</v>
      </c>
      <c r="C14" s="33"/>
      <c r="D14" s="33"/>
      <c r="E14" s="33"/>
      <c r="G14" s="33" t="s">
        <v>256</v>
      </c>
      <c r="H14" s="33"/>
      <c r="I14" s="33"/>
      <c r="J14" s="33"/>
    </row>
    <row r="15" customFormat="false" ht="15" hidden="false" customHeight="false" outlineLevel="0" collapsed="false">
      <c r="B15" s="15"/>
      <c r="C15" s="34" t="s">
        <v>257</v>
      </c>
      <c r="D15" s="34" t="s">
        <v>258</v>
      </c>
      <c r="E15" s="34" t="s">
        <v>259</v>
      </c>
      <c r="G15" s="15"/>
      <c r="H15" s="34" t="s">
        <v>257</v>
      </c>
      <c r="I15" s="34" t="s">
        <v>258</v>
      </c>
      <c r="J15" s="34" t="s">
        <v>259</v>
      </c>
    </row>
    <row r="16" customFormat="false" ht="15" hidden="false" customHeight="false" outlineLevel="0" collapsed="false">
      <c r="B16" s="20"/>
      <c r="C16" s="25" t="n">
        <v>1</v>
      </c>
      <c r="D16" s="25" t="n">
        <v>1</v>
      </c>
      <c r="E16" s="25" t="n">
        <v>0</v>
      </c>
      <c r="G16" s="20"/>
      <c r="H16" s="21" t="n">
        <v>2</v>
      </c>
      <c r="I16" s="21" t="n">
        <v>1</v>
      </c>
      <c r="J16" s="21" t="n">
        <v>-3</v>
      </c>
    </row>
    <row r="18" customFormat="false" ht="15.75" hidden="false" customHeight="true" outlineLevel="0" collapsed="false">
      <c r="B18" s="20" t="s">
        <v>88</v>
      </c>
      <c r="C18" s="21" t="n">
        <v>-1.5</v>
      </c>
    </row>
    <row r="19" customFormat="false" ht="15.75" hidden="false" customHeight="true" outlineLevel="0" collapsed="false">
      <c r="B19" s="20" t="s">
        <v>260</v>
      </c>
      <c r="C19" s="35" t="n">
        <f aca="false">C16*H16+D16*I16+E16*J16+C18</f>
        <v>1.5</v>
      </c>
    </row>
    <row r="20" customFormat="false" ht="15.75" hidden="false" customHeight="true" outlineLevel="0" collapsed="false">
      <c r="B20" s="9" t="s">
        <v>13</v>
      </c>
      <c r="C20" s="28" t="str">
        <f aca="false">"z = "&amp;IF(ROUND(C16,3)&lt;0,"("&amp;ROUND(C16,3)&amp;")",ROUND(C16,3)&amp;"")&amp;"×"&amp;IF(ROUND(H16,3)&lt;0,"("&amp;ROUND(H16,3)&amp;")",ROUND(H16,3)&amp;"")&amp;" + "&amp;IF(ROUND(D16,3)&lt;0,"("&amp;ROUND(D16,3)&amp;")",ROUND(D16,3)&amp;"")&amp;"×"&amp;IF(ROUND(I16,3)&lt;0,"("&amp;ROUND(I16,3)&amp;")",ROUND(I16,3)&amp;"")&amp;" + "&amp;IF(ROUND(E16,3)&lt;0,"("&amp;ROUND(E16,3)&amp;")",ROUND(E16,3)&amp;"")&amp;"×"&amp;IF(ROUND(J16,3)&lt;0,"("&amp;ROUND(J16,3)&amp;")",ROUND(J16,3)&amp;"")&amp;" + "&amp;IF(ROUND(C18,3)&lt;0,"("&amp;ROUND(C18,3)&amp;")",ROUND(C18,3)&amp;"")&amp;"  =  "&amp;IF(ROUND(C19,3)&lt;0,"("&amp;ROUND(C19,3)&amp;")",ROUND(C19,3)&amp;"")</f>
        <v>z = 1×2 + 1×1 + 0×(-3) + (-1.5)  =  1.5</v>
      </c>
      <c r="D20" s="28"/>
      <c r="E20" s="28"/>
      <c r="F20" s="28"/>
      <c r="G20" s="28"/>
      <c r="H20" s="28"/>
      <c r="I20" s="28"/>
      <c r="J20" s="28"/>
      <c r="K20" s="28"/>
      <c r="L20" s="28"/>
      <c r="M20" s="28"/>
      <c r="N20" s="28"/>
    </row>
    <row r="21" customFormat="false" ht="17.25" hidden="false" customHeight="true" outlineLevel="0" collapsed="false">
      <c r="B21" s="20" t="s">
        <v>261</v>
      </c>
      <c r="C21" s="49" t="n">
        <f aca="false">IF(C19&gt;0,1,0)</f>
        <v>1</v>
      </c>
      <c r="D21" s="22" t="s">
        <v>262</v>
      </c>
      <c r="E21" s="22"/>
      <c r="F21" s="22"/>
      <c r="G21" s="22"/>
      <c r="H21" s="22"/>
      <c r="I21" s="22"/>
      <c r="J21" s="22"/>
      <c r="K21" s="22"/>
      <c r="L21" s="22"/>
      <c r="M21" s="22"/>
      <c r="N21" s="22"/>
    </row>
    <row r="22" customFormat="false" ht="17.25" hidden="false" customHeight="true" outlineLevel="0" collapsed="false">
      <c r="B22" s="20" t="s">
        <v>263</v>
      </c>
      <c r="C22" s="50" t="n">
        <f aca="false">1/(1+EXP(-C19))</f>
        <v>0.817574476193644</v>
      </c>
      <c r="D22" s="22" t="s">
        <v>264</v>
      </c>
      <c r="E22" s="22"/>
      <c r="F22" s="22"/>
      <c r="G22" s="22"/>
      <c r="H22" s="22"/>
      <c r="I22" s="22"/>
      <c r="J22" s="22"/>
      <c r="K22" s="22"/>
      <c r="L22" s="22"/>
      <c r="M22" s="22"/>
      <c r="N22" s="22"/>
    </row>
    <row r="23" customFormat="false" ht="17.25" hidden="false" customHeight="true" outlineLevel="0" collapsed="false">
      <c r="B23" s="45" t="s">
        <v>265</v>
      </c>
      <c r="C23" s="45"/>
      <c r="D23" s="45"/>
      <c r="E23" s="45"/>
      <c r="F23" s="45"/>
      <c r="G23" s="45"/>
      <c r="H23" s="45"/>
      <c r="I23" s="45"/>
      <c r="J23" s="45"/>
      <c r="K23" s="45"/>
      <c r="L23" s="45"/>
      <c r="M23" s="45"/>
      <c r="N23" s="45"/>
    </row>
    <row r="25" customFormat="false" ht="21.75" hidden="false" customHeight="true" outlineLevel="0" collapsed="false">
      <c r="B25" s="4" t="s">
        <v>266</v>
      </c>
      <c r="C25" s="4"/>
      <c r="D25" s="4"/>
      <c r="E25" s="4"/>
      <c r="F25" s="4"/>
      <c r="G25" s="4"/>
      <c r="H25" s="4"/>
      <c r="I25" s="4"/>
      <c r="J25" s="4"/>
      <c r="K25" s="4"/>
      <c r="L25" s="4"/>
      <c r="M25" s="4"/>
      <c r="N25" s="4"/>
    </row>
    <row r="26" customFormat="false" ht="31.5" hidden="false" customHeight="true" outlineLevel="0" collapsed="false">
      <c r="B26" s="5" t="s">
        <v>267</v>
      </c>
      <c r="C26" s="5"/>
      <c r="D26" s="5"/>
      <c r="E26" s="5"/>
      <c r="F26" s="5"/>
      <c r="G26" s="5"/>
      <c r="H26" s="5"/>
      <c r="I26" s="5"/>
      <c r="J26" s="5"/>
      <c r="K26" s="5"/>
      <c r="L26" s="5"/>
      <c r="M26" s="5"/>
      <c r="N26" s="5"/>
    </row>
    <row r="27" customFormat="false" ht="17.25" hidden="false" customHeight="true" outlineLevel="0" collapsed="false">
      <c r="B27" s="20" t="s">
        <v>268</v>
      </c>
      <c r="C27" s="21" t="n">
        <v>1</v>
      </c>
      <c r="D27" s="22" t="s">
        <v>269</v>
      </c>
      <c r="E27" s="22"/>
      <c r="F27" s="22"/>
      <c r="G27" s="22"/>
      <c r="H27" s="22"/>
      <c r="I27" s="22"/>
      <c r="J27" s="22"/>
      <c r="K27" s="22"/>
      <c r="L27" s="22"/>
      <c r="M27" s="22"/>
      <c r="N27" s="22"/>
    </row>
    <row r="28" customFormat="false" ht="17.25" hidden="false" customHeight="true" outlineLevel="0" collapsed="false">
      <c r="B28" s="20" t="s">
        <v>270</v>
      </c>
      <c r="C28" s="21" t="n">
        <v>-1.5</v>
      </c>
      <c r="D28" s="22" t="s">
        <v>271</v>
      </c>
      <c r="E28" s="22"/>
      <c r="F28" s="22"/>
      <c r="G28" s="22"/>
      <c r="H28" s="22"/>
      <c r="I28" s="22"/>
      <c r="J28" s="22"/>
      <c r="K28" s="22"/>
      <c r="L28" s="22"/>
      <c r="M28" s="22"/>
      <c r="N28" s="22"/>
    </row>
    <row r="29" customFormat="false" ht="17.25" hidden="false" customHeight="true" outlineLevel="0" collapsed="false">
      <c r="B29" s="20" t="s">
        <v>272</v>
      </c>
      <c r="C29" s="21" t="n">
        <v>-0.5</v>
      </c>
      <c r="D29" s="22" t="s">
        <v>273</v>
      </c>
      <c r="E29" s="22"/>
      <c r="F29" s="22"/>
      <c r="G29" s="22"/>
      <c r="H29" s="22"/>
      <c r="I29" s="22"/>
      <c r="J29" s="22"/>
      <c r="K29" s="22"/>
      <c r="L29" s="22"/>
      <c r="M29" s="22"/>
      <c r="N29" s="22"/>
    </row>
    <row r="30" customFormat="false" ht="17.25" hidden="false" customHeight="true" outlineLevel="0" collapsed="false">
      <c r="B30" s="10" t="s">
        <v>274</v>
      </c>
      <c r="C30" s="10" t="s">
        <v>275</v>
      </c>
      <c r="D30" s="10"/>
      <c r="E30" s="10" t="s">
        <v>276</v>
      </c>
      <c r="F30" s="10"/>
      <c r="G30" s="10" t="s">
        <v>277</v>
      </c>
      <c r="H30" s="10"/>
      <c r="I30" s="10" t="s">
        <v>278</v>
      </c>
      <c r="J30" s="10"/>
      <c r="K30" s="10" t="s">
        <v>279</v>
      </c>
      <c r="L30" s="10"/>
    </row>
    <row r="31" customFormat="false" ht="17.25" hidden="false" customHeight="true" outlineLevel="0" collapsed="false">
      <c r="B31" s="23" t="n">
        <v>0</v>
      </c>
      <c r="C31" s="23" t="n">
        <v>0</v>
      </c>
      <c r="D31" s="23"/>
      <c r="E31" s="7" t="n">
        <f aca="false">C27*B31+C27*C31+C28</f>
        <v>-1.5</v>
      </c>
      <c r="F31" s="7"/>
      <c r="G31" s="51" t="n">
        <f aca="false">IF(E31&gt;0,1,0)</f>
        <v>0</v>
      </c>
      <c r="H31" s="51"/>
      <c r="I31" s="7" t="n">
        <f aca="false">C27*B31+C27*C31+C29</f>
        <v>-0.5</v>
      </c>
      <c r="J31" s="7"/>
      <c r="K31" s="51" t="n">
        <f aca="false">IF(I31&gt;0,1,0)</f>
        <v>0</v>
      </c>
      <c r="L31" s="51"/>
    </row>
    <row r="32" customFormat="false" ht="17.25" hidden="false" customHeight="true" outlineLevel="0" collapsed="false">
      <c r="B32" s="23" t="n">
        <v>0</v>
      </c>
      <c r="C32" s="23" t="n">
        <v>1</v>
      </c>
      <c r="D32" s="23"/>
      <c r="E32" s="52" t="n">
        <f aca="false">C27*B32+C27*C32+C28</f>
        <v>-0.5</v>
      </c>
      <c r="F32" s="52"/>
      <c r="G32" s="51" t="n">
        <f aca="false">IF(E32&gt;0,1,0)</f>
        <v>0</v>
      </c>
      <c r="H32" s="51"/>
      <c r="I32" s="52" t="n">
        <f aca="false">C27*B32+C27*C32+C29</f>
        <v>0.5</v>
      </c>
      <c r="J32" s="52"/>
      <c r="K32" s="51" t="n">
        <f aca="false">IF(I32&gt;0,1,0)</f>
        <v>1</v>
      </c>
      <c r="L32" s="51"/>
    </row>
    <row r="33" customFormat="false" ht="17.25" hidden="false" customHeight="true" outlineLevel="0" collapsed="false">
      <c r="B33" s="23" t="n">
        <v>1</v>
      </c>
      <c r="C33" s="23" t="n">
        <v>0</v>
      </c>
      <c r="D33" s="23"/>
      <c r="E33" s="7" t="n">
        <f aca="false">C27*B33+C27*C33+C28</f>
        <v>-0.5</v>
      </c>
      <c r="F33" s="7"/>
      <c r="G33" s="51" t="n">
        <f aca="false">IF(E33&gt;0,1,0)</f>
        <v>0</v>
      </c>
      <c r="H33" s="51"/>
      <c r="I33" s="7" t="n">
        <f aca="false">C27*B33+C27*C33+C29</f>
        <v>0.5</v>
      </c>
      <c r="J33" s="7"/>
      <c r="K33" s="51" t="n">
        <f aca="false">IF(I33&gt;0,1,0)</f>
        <v>1</v>
      </c>
      <c r="L33" s="51"/>
    </row>
    <row r="34" customFormat="false" ht="17.25" hidden="false" customHeight="true" outlineLevel="0" collapsed="false">
      <c r="B34" s="23" t="n">
        <v>1</v>
      </c>
      <c r="C34" s="23" t="n">
        <v>1</v>
      </c>
      <c r="D34" s="23"/>
      <c r="E34" s="52" t="n">
        <f aca="false">C27*B34+C27*C34+C28</f>
        <v>0.5</v>
      </c>
      <c r="F34" s="52"/>
      <c r="G34" s="51" t="n">
        <f aca="false">IF(E34&gt;0,1,0)</f>
        <v>1</v>
      </c>
      <c r="H34" s="51"/>
      <c r="I34" s="52" t="n">
        <f aca="false">C27*B34+C27*C34+C29</f>
        <v>1.5</v>
      </c>
      <c r="J34" s="52"/>
      <c r="K34" s="51" t="n">
        <f aca="false">IF(I34&gt;0,1,0)</f>
        <v>1</v>
      </c>
      <c r="L34" s="51"/>
    </row>
    <row r="35" customFormat="false" ht="17.25" hidden="false" customHeight="true" outlineLevel="0" collapsed="false">
      <c r="B35" s="20" t="s">
        <v>280</v>
      </c>
      <c r="C35" s="53" t="str">
        <f aca="false">"x₂ = "&amp;IF(ROUND(-C28/C27,3)&lt;0,"("&amp;ROUND(-C28/C27,3)&amp;")",ROUND(-C28/C27,3)&amp;"")&amp;" − x₁"</f>
        <v>x₂ = 1.5 − x₁</v>
      </c>
      <c r="D35" s="22" t="s">
        <v>281</v>
      </c>
      <c r="E35" s="22"/>
      <c r="F35" s="22"/>
      <c r="G35" s="22"/>
      <c r="H35" s="22"/>
      <c r="I35" s="22"/>
      <c r="J35" s="22"/>
      <c r="K35" s="22"/>
      <c r="L35" s="22"/>
      <c r="M35" s="22"/>
      <c r="N35" s="22"/>
    </row>
    <row r="36" customFormat="false" ht="17.25" hidden="false" customHeight="true" outlineLevel="0" collapsed="false">
      <c r="B36" s="20" t="s">
        <v>282</v>
      </c>
      <c r="C36" s="53" t="str">
        <f aca="false">"x₂ = "&amp;IF(ROUND(-C29/C27,3)&lt;0,"("&amp;ROUND(-C29/C27,3)&amp;")",ROUND(-C29/C27,3)&amp;"")&amp;" − x₁"</f>
        <v>x₂ = 0.5 − x₁</v>
      </c>
      <c r="D36" s="22" t="s">
        <v>283</v>
      </c>
      <c r="E36" s="22"/>
      <c r="F36" s="22"/>
      <c r="G36" s="22"/>
      <c r="H36" s="22"/>
      <c r="I36" s="22"/>
      <c r="J36" s="22"/>
      <c r="K36" s="22"/>
      <c r="L36" s="22"/>
      <c r="M36" s="22"/>
      <c r="N36" s="22"/>
    </row>
    <row r="37" customFormat="false" ht="17.25" hidden="false" customHeight="true" outlineLevel="0" collapsed="false">
      <c r="B37" s="5" t="s">
        <v>284</v>
      </c>
      <c r="C37" s="5"/>
      <c r="D37" s="5"/>
      <c r="E37" s="5"/>
      <c r="F37" s="5"/>
      <c r="G37" s="5"/>
      <c r="H37" s="5"/>
      <c r="I37" s="5"/>
      <c r="J37" s="5"/>
      <c r="K37" s="5"/>
      <c r="L37" s="5"/>
      <c r="M37" s="5"/>
      <c r="N37" s="5"/>
    </row>
    <row r="38" customFormat="false" ht="18.75" hidden="false" customHeight="true" outlineLevel="0" collapsed="false">
      <c r="B38" s="29" t="s">
        <v>119</v>
      </c>
      <c r="C38" s="29"/>
      <c r="D38" s="29"/>
      <c r="E38" s="29"/>
      <c r="F38" s="29"/>
      <c r="G38" s="29"/>
      <c r="H38" s="29"/>
      <c r="I38" s="29"/>
      <c r="J38" s="29"/>
      <c r="K38" s="29"/>
      <c r="L38" s="29"/>
      <c r="M38" s="29"/>
      <c r="N38" s="29"/>
    </row>
    <row r="39" customFormat="false" ht="17.25" hidden="false" customHeight="true" outlineLevel="0" collapsed="false">
      <c r="B39" s="30" t="s">
        <v>285</v>
      </c>
      <c r="C39" s="30"/>
      <c r="D39" s="30"/>
      <c r="E39" s="30"/>
      <c r="F39" s="30"/>
      <c r="G39" s="30"/>
      <c r="H39" s="30"/>
      <c r="I39" s="30"/>
      <c r="J39" s="30"/>
      <c r="K39" s="30"/>
      <c r="L39" s="30"/>
      <c r="M39" s="30"/>
      <c r="N39" s="30"/>
    </row>
    <row r="40" customFormat="false" ht="17.25" hidden="false" customHeight="true" outlineLevel="0" collapsed="false">
      <c r="B40" s="31" t="s">
        <v>286</v>
      </c>
      <c r="C40" s="31"/>
      <c r="D40" s="31"/>
      <c r="E40" s="31"/>
      <c r="F40" s="31"/>
      <c r="G40" s="31"/>
      <c r="H40" s="31"/>
      <c r="I40" s="31"/>
      <c r="J40" s="31"/>
      <c r="K40" s="31"/>
      <c r="L40" s="31"/>
      <c r="M40" s="31"/>
      <c r="N40" s="31"/>
    </row>
    <row r="41" customFormat="false" ht="17.25" hidden="false" customHeight="true" outlineLevel="0" collapsed="false">
      <c r="B41" s="30" t="s">
        <v>287</v>
      </c>
      <c r="C41" s="30"/>
      <c r="D41" s="30"/>
      <c r="E41" s="30"/>
      <c r="F41" s="30"/>
      <c r="G41" s="30"/>
      <c r="H41" s="30"/>
      <c r="I41" s="30"/>
      <c r="J41" s="30"/>
      <c r="K41" s="30"/>
      <c r="L41" s="30"/>
      <c r="M41" s="30"/>
      <c r="N41" s="30"/>
    </row>
    <row r="42" customFormat="false" ht="17.25" hidden="false" customHeight="true" outlineLevel="0" collapsed="false">
      <c r="B42" s="31" t="s">
        <v>288</v>
      </c>
      <c r="C42" s="31"/>
      <c r="D42" s="31"/>
      <c r="E42" s="31"/>
      <c r="F42" s="31"/>
      <c r="G42" s="31"/>
      <c r="H42" s="31"/>
      <c r="I42" s="31"/>
      <c r="J42" s="31"/>
      <c r="K42" s="31"/>
      <c r="L42" s="31"/>
      <c r="M42" s="31"/>
      <c r="N42" s="31"/>
    </row>
  </sheetData>
  <mergeCells count="62">
    <mergeCell ref="B1:N1"/>
    <mergeCell ref="B2:N2"/>
    <mergeCell ref="B4:N4"/>
    <mergeCell ref="B5:N5"/>
    <mergeCell ref="C6:K6"/>
    <mergeCell ref="L6:N6"/>
    <mergeCell ref="C7:K7"/>
    <mergeCell ref="L7:N7"/>
    <mergeCell ref="C8:K8"/>
    <mergeCell ref="L8:N8"/>
    <mergeCell ref="C9:K9"/>
    <mergeCell ref="L9:N9"/>
    <mergeCell ref="C10:K10"/>
    <mergeCell ref="L10:N10"/>
    <mergeCell ref="C11:K11"/>
    <mergeCell ref="L11:N11"/>
    <mergeCell ref="B12:N12"/>
    <mergeCell ref="B13:N13"/>
    <mergeCell ref="B14:E14"/>
    <mergeCell ref="G14:J14"/>
    <mergeCell ref="C20:N20"/>
    <mergeCell ref="D21:N21"/>
    <mergeCell ref="D22:N22"/>
    <mergeCell ref="B23:N23"/>
    <mergeCell ref="B25:N25"/>
    <mergeCell ref="B26:N26"/>
    <mergeCell ref="D27:N27"/>
    <mergeCell ref="D28:N28"/>
    <mergeCell ref="D29:N29"/>
    <mergeCell ref="C30:D30"/>
    <mergeCell ref="E30:F30"/>
    <mergeCell ref="G30:H30"/>
    <mergeCell ref="I30:J30"/>
    <mergeCell ref="K30:L30"/>
    <mergeCell ref="C31:D31"/>
    <mergeCell ref="E31:F31"/>
    <mergeCell ref="G31:H31"/>
    <mergeCell ref="I31:J31"/>
    <mergeCell ref="K31:L31"/>
    <mergeCell ref="C32:D32"/>
    <mergeCell ref="E32:F32"/>
    <mergeCell ref="G32:H32"/>
    <mergeCell ref="I32:J32"/>
    <mergeCell ref="K32:L32"/>
    <mergeCell ref="C33:D33"/>
    <mergeCell ref="E33:F33"/>
    <mergeCell ref="G33:H33"/>
    <mergeCell ref="I33:J33"/>
    <mergeCell ref="K33:L33"/>
    <mergeCell ref="C34:D34"/>
    <mergeCell ref="E34:F34"/>
    <mergeCell ref="G34:H34"/>
    <mergeCell ref="I34:J34"/>
    <mergeCell ref="K34:L34"/>
    <mergeCell ref="D35:N35"/>
    <mergeCell ref="D36:N36"/>
    <mergeCell ref="B37:N37"/>
    <mergeCell ref="B38:N38"/>
    <mergeCell ref="B39:N39"/>
    <mergeCell ref="B40:N40"/>
    <mergeCell ref="B41:N41"/>
    <mergeCell ref="B42:N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289</v>
      </c>
      <c r="C1" s="1"/>
      <c r="D1" s="1"/>
      <c r="E1" s="1"/>
      <c r="F1" s="1"/>
      <c r="G1" s="1"/>
      <c r="H1" s="1"/>
      <c r="I1" s="1"/>
      <c r="J1" s="1"/>
      <c r="K1" s="1"/>
      <c r="L1" s="1"/>
      <c r="M1" s="1"/>
      <c r="N1" s="1"/>
    </row>
    <row r="2" customFormat="false" ht="17.25" hidden="false" customHeight="true" outlineLevel="0" collapsed="false">
      <c r="B2" s="2" t="s">
        <v>290</v>
      </c>
      <c r="C2" s="2"/>
      <c r="D2" s="2"/>
      <c r="E2" s="2"/>
      <c r="F2" s="2"/>
      <c r="G2" s="2"/>
      <c r="H2" s="2"/>
      <c r="I2" s="2"/>
      <c r="J2" s="2"/>
      <c r="K2" s="2"/>
      <c r="L2" s="2"/>
      <c r="M2" s="2"/>
      <c r="N2" s="2"/>
    </row>
    <row r="4" customFormat="false" ht="20.25" hidden="false" customHeight="true" outlineLevel="0" collapsed="false">
      <c r="B4" s="32" t="s">
        <v>291</v>
      </c>
      <c r="C4" s="32"/>
      <c r="D4" s="32"/>
      <c r="E4" s="32"/>
      <c r="F4" s="32"/>
      <c r="G4" s="32"/>
      <c r="H4" s="32"/>
      <c r="I4" s="32"/>
      <c r="J4" s="32"/>
      <c r="K4" s="32"/>
      <c r="L4" s="32"/>
      <c r="M4" s="32"/>
      <c r="N4" s="32"/>
    </row>
    <row r="5" customFormat="false" ht="34.5" hidden="false" customHeight="true" outlineLevel="0" collapsed="false">
      <c r="B5" s="3" t="s">
        <v>292</v>
      </c>
      <c r="C5" s="3"/>
      <c r="D5" s="3"/>
      <c r="E5" s="3"/>
      <c r="F5" s="3"/>
      <c r="G5" s="3"/>
      <c r="H5" s="3"/>
      <c r="I5" s="3"/>
      <c r="J5" s="3"/>
      <c r="K5" s="3"/>
      <c r="L5" s="3"/>
      <c r="M5" s="3"/>
      <c r="N5" s="3"/>
    </row>
    <row r="6" customFormat="false" ht="21.75" hidden="false" customHeight="true" outlineLevel="0" collapsed="false">
      <c r="B6" s="4" t="s">
        <v>293</v>
      </c>
      <c r="C6" s="4"/>
      <c r="D6" s="4"/>
      <c r="E6" s="4"/>
      <c r="F6" s="4"/>
      <c r="G6" s="4"/>
      <c r="H6" s="4"/>
      <c r="I6" s="4"/>
      <c r="J6" s="4"/>
      <c r="K6" s="4"/>
      <c r="L6" s="4"/>
      <c r="M6" s="4"/>
      <c r="N6" s="4"/>
    </row>
    <row r="7" customFormat="false" ht="17.25" hidden="false" customHeight="true" outlineLevel="0" collapsed="false">
      <c r="B7" s="33" t="s">
        <v>294</v>
      </c>
      <c r="C7" s="33"/>
      <c r="D7" s="33"/>
      <c r="E7" s="33"/>
    </row>
    <row r="8" customFormat="false" ht="15" hidden="false" customHeight="false" outlineLevel="0" collapsed="false">
      <c r="B8" s="15"/>
      <c r="C8" s="34" t="s">
        <v>295</v>
      </c>
      <c r="D8" s="34" t="s">
        <v>296</v>
      </c>
      <c r="E8" s="34" t="s">
        <v>297</v>
      </c>
    </row>
    <row r="9" customFormat="false" ht="15" hidden="false" customHeight="false" outlineLevel="0" collapsed="false">
      <c r="B9" s="20"/>
      <c r="C9" s="21" t="n">
        <v>1</v>
      </c>
      <c r="D9" s="21" t="n">
        <v>2</v>
      </c>
      <c r="E9" s="21" t="n">
        <v>3</v>
      </c>
    </row>
    <row r="11" customFormat="false" ht="17.25" hidden="false" customHeight="true" outlineLevel="0" collapsed="false">
      <c r="B11" s="33" t="s">
        <v>298</v>
      </c>
      <c r="C11" s="33"/>
      <c r="D11" s="33"/>
      <c r="G11" s="33" t="s">
        <v>299</v>
      </c>
      <c r="H11" s="33"/>
      <c r="I11" s="33"/>
    </row>
    <row r="12" customFormat="false" ht="15" hidden="false" customHeight="false" outlineLevel="0" collapsed="false">
      <c r="B12" s="15"/>
      <c r="C12" s="34" t="s">
        <v>212</v>
      </c>
      <c r="D12" s="34" t="s">
        <v>213</v>
      </c>
      <c r="G12" s="15"/>
      <c r="H12" s="34" t="s">
        <v>212</v>
      </c>
      <c r="I12" s="34" t="s">
        <v>213</v>
      </c>
    </row>
    <row r="13" customFormat="false" ht="15" hidden="false" customHeight="false" outlineLevel="0" collapsed="false">
      <c r="B13" s="20" t="s">
        <v>295</v>
      </c>
      <c r="C13" s="21" t="n">
        <v>0.5</v>
      </c>
      <c r="D13" s="21" t="n">
        <v>-1</v>
      </c>
      <c r="G13" s="20"/>
      <c r="H13" s="21" t="n">
        <v>0.5</v>
      </c>
      <c r="I13" s="21" t="n">
        <v>-1</v>
      </c>
    </row>
    <row r="14" customFormat="false" ht="15" hidden="false" customHeight="false" outlineLevel="0" collapsed="false">
      <c r="B14" s="20" t="s">
        <v>296</v>
      </c>
      <c r="C14" s="21" t="n">
        <v>1</v>
      </c>
      <c r="D14" s="21" t="n">
        <v>0</v>
      </c>
    </row>
    <row r="15" customFormat="false" ht="15" hidden="false" customHeight="false" outlineLevel="0" collapsed="false">
      <c r="B15" s="20" t="s">
        <v>297</v>
      </c>
      <c r="C15" s="21" t="n">
        <v>0</v>
      </c>
      <c r="D15" s="21" t="n">
        <v>2</v>
      </c>
    </row>
    <row r="17" customFormat="false" ht="17.25" hidden="false" customHeight="true" outlineLevel="0" collapsed="false">
      <c r="B17" s="33" t="s">
        <v>300</v>
      </c>
      <c r="C17" s="33"/>
      <c r="D17" s="33"/>
    </row>
    <row r="18" customFormat="false" ht="15" hidden="false" customHeight="false" outlineLevel="0" collapsed="false">
      <c r="B18" s="15"/>
      <c r="C18" s="34" t="s">
        <v>212</v>
      </c>
      <c r="D18" s="34" t="s">
        <v>213</v>
      </c>
    </row>
    <row r="19" customFormat="false" ht="15" hidden="false" customHeight="false" outlineLevel="0" collapsed="false">
      <c r="B19" s="20"/>
      <c r="C19" s="54" t="n">
        <f aca="false">C9*C13+D9*C14+E9*C15+H13</f>
        <v>3</v>
      </c>
      <c r="D19" s="54" t="n">
        <f aca="false">C9*D13+D9*D14+E9*D15+I13</f>
        <v>4</v>
      </c>
    </row>
    <row r="21" customFormat="false" ht="15.75" hidden="false" customHeight="true" outlineLevel="0" collapsed="false">
      <c r="B21" s="9" t="s">
        <v>212</v>
      </c>
      <c r="C21" s="28" t="str">
        <f aca="false">IF(ROUND(C9,3)&lt;0,"("&amp;ROUND(C9,3)&amp;")",ROUND(C9,3)&amp;"")&amp;"×"&amp;IF(ROUND(C13,3)&lt;0,"("&amp;ROUND(C13,3)&amp;")",ROUND(C13,3)&amp;"")&amp;" + "&amp;IF(ROUND(D9,3)&lt;0,"("&amp;ROUND(D9,3)&amp;")",ROUND(D9,3)&amp;"")&amp;"×"&amp;IF(ROUND(C14,3)&lt;0,"("&amp;ROUND(C14,3)&amp;")",ROUND(C14,3)&amp;"")&amp;" + "&amp;IF(ROUND(E9,3)&lt;0,"("&amp;ROUND(E9,3)&amp;")",ROUND(E9,3)&amp;"")&amp;"×"&amp;IF(ROUND(C15,3)&lt;0,"("&amp;ROUND(C15,3)&amp;")",ROUND(C15,3)&amp;"")&amp;" + "&amp;IF(ROUND(H13,3)&lt;0,"("&amp;ROUND(H13,3)&amp;")",ROUND(H13,3)&amp;"")&amp;"  =  "&amp;IF(ROUND(C19,3)&lt;0,"("&amp;ROUND(C19,3)&amp;")",ROUND(C19,3)&amp;"")</f>
        <v>1×0.5 + 2×1 + 3×0 + 0.5  =  3</v>
      </c>
      <c r="D21" s="28"/>
      <c r="E21" s="28"/>
      <c r="F21" s="28"/>
      <c r="G21" s="28"/>
      <c r="H21" s="28"/>
      <c r="I21" s="28"/>
      <c r="J21" s="28"/>
      <c r="K21" s="28"/>
      <c r="L21" s="28"/>
      <c r="M21" s="28"/>
      <c r="N21" s="28"/>
    </row>
    <row r="22" customFormat="false" ht="15.75" hidden="false" customHeight="true" outlineLevel="0" collapsed="false">
      <c r="B22" s="9" t="s">
        <v>213</v>
      </c>
      <c r="C22" s="28" t="str">
        <f aca="false">IF(ROUND(C9,3)&lt;0,"("&amp;ROUND(C9,3)&amp;")",ROUND(C9,3)&amp;"")&amp;"×"&amp;IF(ROUND(D13,3)&lt;0,"("&amp;ROUND(D13,3)&amp;")",ROUND(D13,3)&amp;"")&amp;" + "&amp;IF(ROUND(D9,3)&lt;0,"("&amp;ROUND(D9,3)&amp;")",ROUND(D9,3)&amp;"")&amp;"×"&amp;IF(ROUND(D14,3)&lt;0,"("&amp;ROUND(D14,3)&amp;")",ROUND(D14,3)&amp;"")&amp;" + "&amp;IF(ROUND(E9,3)&lt;0,"("&amp;ROUND(E9,3)&amp;")",ROUND(E9,3)&amp;"")&amp;"×"&amp;IF(ROUND(D15,3)&lt;0,"("&amp;ROUND(D15,3)&amp;")",ROUND(D15,3)&amp;"")&amp;" + "&amp;IF(ROUND(I13,3)&lt;0,"("&amp;ROUND(I13,3)&amp;")",ROUND(I13,3)&amp;"")&amp;"  =  "&amp;IF(ROUND(D19,3)&lt;0,"("&amp;ROUND(D19,3)&amp;")",ROUND(D19,3)&amp;"")</f>
        <v>1×(-1) + 2×0 + 3×2 + (-1)  =  4</v>
      </c>
      <c r="D22" s="28"/>
      <c r="E22" s="28"/>
      <c r="F22" s="28"/>
      <c r="G22" s="28"/>
      <c r="H22" s="28"/>
      <c r="I22" s="28"/>
      <c r="J22" s="28"/>
      <c r="K22" s="28"/>
      <c r="L22" s="28"/>
      <c r="M22" s="28"/>
      <c r="N22" s="28"/>
    </row>
    <row r="24" customFormat="false" ht="21.75" hidden="false" customHeight="true" outlineLevel="0" collapsed="false">
      <c r="B24" s="4" t="s">
        <v>301</v>
      </c>
      <c r="C24" s="4"/>
      <c r="D24" s="4"/>
      <c r="E24" s="4"/>
      <c r="F24" s="4"/>
      <c r="G24" s="4"/>
      <c r="H24" s="4"/>
      <c r="I24" s="4"/>
      <c r="J24" s="4"/>
      <c r="K24" s="4"/>
      <c r="L24" s="4"/>
      <c r="M24" s="4"/>
      <c r="N24" s="4"/>
    </row>
    <row r="25" customFormat="false" ht="31.5" hidden="false" customHeight="true" outlineLevel="0" collapsed="false">
      <c r="B25" s="5" t="s">
        <v>302</v>
      </c>
      <c r="C25" s="5"/>
      <c r="D25" s="5"/>
      <c r="E25" s="5"/>
      <c r="F25" s="5"/>
      <c r="G25" s="5"/>
      <c r="H25" s="5"/>
      <c r="I25" s="5"/>
      <c r="J25" s="5"/>
      <c r="K25" s="5"/>
      <c r="L25" s="5"/>
      <c r="M25" s="5"/>
      <c r="N25" s="5"/>
    </row>
    <row r="26" customFormat="false" ht="17.25" hidden="false" customHeight="true" outlineLevel="0" collapsed="false">
      <c r="B26" s="33" t="s">
        <v>303</v>
      </c>
      <c r="C26" s="33"/>
      <c r="D26" s="33"/>
      <c r="F26" s="33" t="s">
        <v>304</v>
      </c>
      <c r="G26" s="33"/>
      <c r="H26" s="33"/>
    </row>
    <row r="27" customFormat="false" ht="15" hidden="false" customHeight="false" outlineLevel="0" collapsed="false">
      <c r="B27" s="15"/>
      <c r="C27" s="34" t="s">
        <v>305</v>
      </c>
      <c r="D27" s="34" t="s">
        <v>306</v>
      </c>
      <c r="F27" s="15"/>
      <c r="G27" s="34" t="s">
        <v>305</v>
      </c>
      <c r="H27" s="34" t="s">
        <v>306</v>
      </c>
    </row>
    <row r="28" customFormat="false" ht="15" hidden="false" customHeight="false" outlineLevel="0" collapsed="false">
      <c r="B28" s="20" t="s">
        <v>212</v>
      </c>
      <c r="C28" s="21" t="n">
        <v>1</v>
      </c>
      <c r="D28" s="21" t="n">
        <v>2</v>
      </c>
      <c r="F28" s="20"/>
      <c r="G28" s="21" t="n">
        <v>0</v>
      </c>
      <c r="H28" s="21" t="n">
        <v>1</v>
      </c>
    </row>
    <row r="29" customFormat="false" ht="15" hidden="false" customHeight="false" outlineLevel="0" collapsed="false">
      <c r="B29" s="20" t="s">
        <v>213</v>
      </c>
      <c r="C29" s="21" t="n">
        <v>-1</v>
      </c>
      <c r="D29" s="21" t="n">
        <v>0.5</v>
      </c>
    </row>
    <row r="31" customFormat="false" ht="17.25" hidden="false" customHeight="true" outlineLevel="0" collapsed="false">
      <c r="B31" s="33" t="s">
        <v>307</v>
      </c>
      <c r="C31" s="33"/>
      <c r="D31" s="33"/>
    </row>
    <row r="32" customFormat="false" ht="15" hidden="false" customHeight="false" outlineLevel="0" collapsed="false">
      <c r="B32" s="15"/>
      <c r="C32" s="34" t="s">
        <v>305</v>
      </c>
      <c r="D32" s="34" t="s">
        <v>306</v>
      </c>
    </row>
    <row r="33" customFormat="false" ht="15" hidden="false" customHeight="false" outlineLevel="0" collapsed="false">
      <c r="B33" s="20"/>
      <c r="C33" s="55" t="n">
        <f aca="false">C19*C28+D19*C29+G28</f>
        <v>-1</v>
      </c>
      <c r="D33" s="55" t="n">
        <f aca="false">C19*D28+D19*D29+H28</f>
        <v>9</v>
      </c>
    </row>
    <row r="35" customFormat="false" ht="17.25" hidden="false" customHeight="true" outlineLevel="0" collapsed="false">
      <c r="B35" s="33" t="s">
        <v>308</v>
      </c>
      <c r="C35" s="33"/>
      <c r="D35" s="33"/>
      <c r="F35" s="33" t="s">
        <v>309</v>
      </c>
      <c r="G35" s="33"/>
      <c r="H35" s="33"/>
    </row>
    <row r="36" customFormat="false" ht="15" hidden="false" customHeight="false" outlineLevel="0" collapsed="false">
      <c r="B36" s="15"/>
      <c r="C36" s="34" t="s">
        <v>305</v>
      </c>
      <c r="D36" s="34" t="s">
        <v>306</v>
      </c>
      <c r="F36" s="15"/>
      <c r="G36" s="34" t="s">
        <v>305</v>
      </c>
      <c r="H36" s="34" t="s">
        <v>306</v>
      </c>
    </row>
    <row r="37" customFormat="false" ht="15" hidden="false" customHeight="false" outlineLevel="0" collapsed="false">
      <c r="B37" s="20" t="s">
        <v>295</v>
      </c>
      <c r="C37" s="55" t="n">
        <f aca="false">C13*C28+D13*C29</f>
        <v>1.5</v>
      </c>
      <c r="D37" s="55" t="n">
        <f aca="false">C13*D28+D13*D29</f>
        <v>0.5</v>
      </c>
      <c r="F37" s="20"/>
      <c r="G37" s="55" t="n">
        <f aca="false">H13*C28+I13*C29+G28</f>
        <v>1.5</v>
      </c>
      <c r="H37" s="55" t="n">
        <f aca="false">H13*D28+I13*D29+H28</f>
        <v>1.5</v>
      </c>
    </row>
    <row r="38" customFormat="false" ht="15" hidden="false" customHeight="false" outlineLevel="0" collapsed="false">
      <c r="B38" s="20" t="s">
        <v>296</v>
      </c>
      <c r="C38" s="55" t="n">
        <f aca="false">C14*C28+D14*C29</f>
        <v>1</v>
      </c>
      <c r="D38" s="55" t="n">
        <f aca="false">C14*D28+D14*D29</f>
        <v>2</v>
      </c>
    </row>
    <row r="39" customFormat="false" ht="15" hidden="false" customHeight="false" outlineLevel="0" collapsed="false">
      <c r="B39" s="20" t="s">
        <v>297</v>
      </c>
      <c r="C39" s="55" t="n">
        <f aca="false">C15*C28+D15*C29</f>
        <v>-2</v>
      </c>
      <c r="D39" s="55" t="n">
        <f aca="false">C15*D28+D15*D29</f>
        <v>1</v>
      </c>
    </row>
    <row r="41" customFormat="false" ht="17.25" hidden="false" customHeight="true" outlineLevel="0" collapsed="false">
      <c r="B41" s="33" t="s">
        <v>310</v>
      </c>
      <c r="C41" s="33"/>
      <c r="D41" s="33"/>
    </row>
    <row r="42" customFormat="false" ht="15" hidden="false" customHeight="false" outlineLevel="0" collapsed="false">
      <c r="B42" s="15"/>
      <c r="C42" s="34" t="s">
        <v>305</v>
      </c>
      <c r="D42" s="34" t="s">
        <v>306</v>
      </c>
    </row>
    <row r="43" customFormat="false" ht="15" hidden="false" customHeight="false" outlineLevel="0" collapsed="false">
      <c r="B43" s="20"/>
      <c r="C43" s="54" t="n">
        <f aca="false">C9*C37+D9*C38+E9*C39+G37</f>
        <v>-1</v>
      </c>
      <c r="D43" s="54" t="n">
        <f aca="false">C9*D37+D9*D38+E9*D39+H37</f>
        <v>9</v>
      </c>
    </row>
    <row r="45" customFormat="false" ht="15.75" hidden="false" customHeight="true" outlineLevel="0" collapsed="false">
      <c r="B45" s="20" t="s">
        <v>311</v>
      </c>
      <c r="C45" s="46" t="str">
        <f aca="false">IF(AND(ABS(C33-C43)&lt;0.000000001,ABS(D33-D43)&lt;0.000000001),"✔ yes — the two layers collapsed into one","✘")</f>
        <v>✔ yes — the two layers collapsed into one</v>
      </c>
    </row>
    <row r="46" customFormat="false" ht="21.75" hidden="false" customHeight="true" outlineLevel="0" collapsed="false">
      <c r="B46" s="4" t="s">
        <v>312</v>
      </c>
      <c r="C46" s="4"/>
      <c r="D46" s="4"/>
      <c r="E46" s="4"/>
      <c r="F46" s="4"/>
      <c r="G46" s="4"/>
      <c r="H46" s="4"/>
      <c r="I46" s="4"/>
      <c r="J46" s="4"/>
      <c r="K46" s="4"/>
      <c r="L46" s="4"/>
      <c r="M46" s="4"/>
      <c r="N46" s="4"/>
    </row>
    <row r="47" customFormat="false" ht="17.25" hidden="false" customHeight="true" outlineLevel="0" collapsed="false">
      <c r="B47" s="20" t="s">
        <v>313</v>
      </c>
      <c r="C47" s="56" t="n">
        <v>512</v>
      </c>
      <c r="D47" s="22" t="s">
        <v>314</v>
      </c>
      <c r="E47" s="22"/>
      <c r="F47" s="22"/>
      <c r="G47" s="22"/>
      <c r="H47" s="22"/>
      <c r="I47" s="22"/>
      <c r="J47" s="22"/>
      <c r="K47" s="22"/>
      <c r="L47" s="22"/>
      <c r="M47" s="22"/>
      <c r="N47" s="22"/>
    </row>
    <row r="48" customFormat="false" ht="17.25" hidden="false" customHeight="true" outlineLevel="0" collapsed="false">
      <c r="B48" s="20" t="s">
        <v>315</v>
      </c>
      <c r="C48" s="56" t="n">
        <v>2048</v>
      </c>
      <c r="D48" s="22" t="s">
        <v>316</v>
      </c>
      <c r="E48" s="22"/>
      <c r="F48" s="22"/>
      <c r="G48" s="22"/>
      <c r="H48" s="22"/>
      <c r="I48" s="22"/>
      <c r="J48" s="22"/>
      <c r="K48" s="22"/>
      <c r="L48" s="22"/>
      <c r="M48" s="22"/>
      <c r="N48" s="22"/>
    </row>
    <row r="49" customFormat="false" ht="17.25" hidden="false" customHeight="true" outlineLevel="0" collapsed="false">
      <c r="B49" s="20" t="s">
        <v>317</v>
      </c>
      <c r="C49" s="26" t="n">
        <f aca="false">C47*C48</f>
        <v>1048576</v>
      </c>
      <c r="D49" s="22" t="s">
        <v>318</v>
      </c>
      <c r="E49" s="22"/>
      <c r="F49" s="22"/>
      <c r="G49" s="22"/>
      <c r="H49" s="22"/>
      <c r="I49" s="22"/>
      <c r="J49" s="22"/>
      <c r="K49" s="22"/>
      <c r="L49" s="22"/>
      <c r="M49" s="22"/>
      <c r="N49" s="22"/>
    </row>
    <row r="50" customFormat="false" ht="17.25" hidden="false" customHeight="true" outlineLevel="0" collapsed="false">
      <c r="B50" s="20" t="s">
        <v>319</v>
      </c>
      <c r="C50" s="26" t="n">
        <f aca="false">C48</f>
        <v>2048</v>
      </c>
      <c r="D50" s="22" t="s">
        <v>320</v>
      </c>
      <c r="E50" s="22"/>
      <c r="F50" s="22"/>
      <c r="G50" s="22"/>
      <c r="H50" s="22"/>
      <c r="I50" s="22"/>
      <c r="J50" s="22"/>
      <c r="K50" s="22"/>
      <c r="L50" s="22"/>
      <c r="M50" s="22"/>
      <c r="N50" s="22"/>
    </row>
    <row r="51" customFormat="false" ht="17.25" hidden="false" customHeight="true" outlineLevel="0" collapsed="false">
      <c r="B51" s="20" t="s">
        <v>321</v>
      </c>
      <c r="C51" s="27" t="n">
        <f aca="false">C47*C48+C48</f>
        <v>1050624</v>
      </c>
      <c r="D51" s="22" t="s">
        <v>322</v>
      </c>
      <c r="E51" s="22"/>
      <c r="F51" s="22"/>
      <c r="G51" s="22"/>
      <c r="H51" s="22"/>
      <c r="I51" s="22"/>
      <c r="J51" s="22"/>
      <c r="K51" s="22"/>
      <c r="L51" s="22"/>
      <c r="M51" s="22"/>
      <c r="N51" s="22"/>
    </row>
    <row r="52" customFormat="false" ht="18.75" hidden="false" customHeight="true" outlineLevel="0" collapsed="false">
      <c r="B52" s="29" t="s">
        <v>119</v>
      </c>
      <c r="C52" s="29"/>
      <c r="D52" s="29"/>
      <c r="E52" s="29"/>
      <c r="F52" s="29"/>
      <c r="G52" s="29"/>
      <c r="H52" s="29"/>
      <c r="I52" s="29"/>
      <c r="J52" s="29"/>
      <c r="K52" s="29"/>
      <c r="L52" s="29"/>
      <c r="M52" s="29"/>
      <c r="N52" s="29"/>
    </row>
    <row r="53" customFormat="false" ht="17.25" hidden="false" customHeight="true" outlineLevel="0" collapsed="false">
      <c r="B53" s="30" t="s">
        <v>323</v>
      </c>
      <c r="C53" s="30"/>
      <c r="D53" s="30"/>
      <c r="E53" s="30"/>
      <c r="F53" s="30"/>
      <c r="G53" s="30"/>
      <c r="H53" s="30"/>
      <c r="I53" s="30"/>
      <c r="J53" s="30"/>
      <c r="K53" s="30"/>
      <c r="L53" s="30"/>
      <c r="M53" s="30"/>
      <c r="N53" s="30"/>
    </row>
    <row r="54" customFormat="false" ht="17.25" hidden="false" customHeight="true" outlineLevel="0" collapsed="false">
      <c r="B54" s="31" t="s">
        <v>324</v>
      </c>
      <c r="C54" s="31"/>
      <c r="D54" s="31"/>
      <c r="E54" s="31"/>
      <c r="F54" s="31"/>
      <c r="G54" s="31"/>
      <c r="H54" s="31"/>
      <c r="I54" s="31"/>
      <c r="J54" s="31"/>
      <c r="K54" s="31"/>
      <c r="L54" s="31"/>
      <c r="M54" s="31"/>
      <c r="N54" s="31"/>
    </row>
    <row r="55" customFormat="false" ht="17.25" hidden="false" customHeight="true" outlineLevel="0" collapsed="false">
      <c r="B55" s="30" t="s">
        <v>325</v>
      </c>
      <c r="C55" s="30"/>
      <c r="D55" s="30"/>
      <c r="E55" s="30"/>
      <c r="F55" s="30"/>
      <c r="G55" s="30"/>
      <c r="H55" s="30"/>
      <c r="I55" s="30"/>
      <c r="J55" s="30"/>
      <c r="K55" s="30"/>
      <c r="L55" s="30"/>
      <c r="M55" s="30"/>
      <c r="N55" s="30"/>
    </row>
    <row r="56" customFormat="false" ht="17.25" hidden="false" customHeight="true" outlineLevel="0" collapsed="false">
      <c r="B56" s="31" t="s">
        <v>326</v>
      </c>
      <c r="C56" s="31"/>
      <c r="D56" s="31"/>
      <c r="E56" s="31"/>
      <c r="F56" s="31"/>
      <c r="G56" s="31"/>
      <c r="H56" s="31"/>
      <c r="I56" s="31"/>
      <c r="J56" s="31"/>
      <c r="K56" s="31"/>
      <c r="L56" s="31"/>
      <c r="M56" s="31"/>
      <c r="N56" s="31"/>
    </row>
  </sheetData>
  <mergeCells count="30">
    <mergeCell ref="B1:N1"/>
    <mergeCell ref="B2:N2"/>
    <mergeCell ref="B4:N4"/>
    <mergeCell ref="B5:N5"/>
    <mergeCell ref="B6:N6"/>
    <mergeCell ref="B7:E7"/>
    <mergeCell ref="B11:D11"/>
    <mergeCell ref="G11:I11"/>
    <mergeCell ref="B17:D17"/>
    <mergeCell ref="C21:N21"/>
    <mergeCell ref="C22:N22"/>
    <mergeCell ref="B24:N24"/>
    <mergeCell ref="B25:N25"/>
    <mergeCell ref="B26:D26"/>
    <mergeCell ref="F26:H26"/>
    <mergeCell ref="B31:D31"/>
    <mergeCell ref="B35:D35"/>
    <mergeCell ref="F35:H35"/>
    <mergeCell ref="B41:D41"/>
    <mergeCell ref="B46:N46"/>
    <mergeCell ref="D47:N47"/>
    <mergeCell ref="D48:N48"/>
    <mergeCell ref="D49:N49"/>
    <mergeCell ref="D50:N50"/>
    <mergeCell ref="D51:N51"/>
    <mergeCell ref="B52:N52"/>
    <mergeCell ref="B53:N53"/>
    <mergeCell ref="B54:N54"/>
    <mergeCell ref="B55:N55"/>
    <mergeCell ref="B56:N5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327</v>
      </c>
      <c r="C1" s="1"/>
      <c r="D1" s="1"/>
      <c r="E1" s="1"/>
      <c r="F1" s="1"/>
      <c r="G1" s="1"/>
      <c r="H1" s="1"/>
      <c r="I1" s="1"/>
      <c r="J1" s="1"/>
      <c r="K1" s="1"/>
      <c r="L1" s="1"/>
      <c r="M1" s="1"/>
      <c r="N1" s="1"/>
    </row>
    <row r="2" customFormat="false" ht="17.25" hidden="false" customHeight="true" outlineLevel="0" collapsed="false">
      <c r="B2" s="2" t="s">
        <v>328</v>
      </c>
      <c r="C2" s="2"/>
      <c r="D2" s="2"/>
      <c r="E2" s="2"/>
      <c r="F2" s="2"/>
      <c r="G2" s="2"/>
      <c r="H2" s="2"/>
      <c r="I2" s="2"/>
      <c r="J2" s="2"/>
      <c r="K2" s="2"/>
      <c r="L2" s="2"/>
      <c r="M2" s="2"/>
      <c r="N2" s="2"/>
    </row>
    <row r="4" customFormat="false" ht="34.5" hidden="false" customHeight="true" outlineLevel="0" collapsed="false">
      <c r="B4" s="3" t="s">
        <v>329</v>
      </c>
      <c r="C4" s="3"/>
      <c r="D4" s="3"/>
      <c r="E4" s="3"/>
      <c r="F4" s="3"/>
      <c r="G4" s="3"/>
      <c r="H4" s="3"/>
      <c r="I4" s="3"/>
      <c r="J4" s="3"/>
      <c r="K4" s="3"/>
      <c r="L4" s="3"/>
      <c r="M4" s="3"/>
      <c r="N4" s="3"/>
    </row>
    <row r="5" customFormat="false" ht="17.25" hidden="false" customHeight="true" outlineLevel="0" collapsed="false">
      <c r="B5" s="10" t="s">
        <v>330</v>
      </c>
      <c r="C5" s="10" t="s">
        <v>331</v>
      </c>
      <c r="D5" s="10"/>
      <c r="E5" s="10"/>
      <c r="F5" s="10"/>
      <c r="G5" s="10"/>
      <c r="H5" s="10" t="s">
        <v>332</v>
      </c>
      <c r="I5" s="10"/>
      <c r="J5" s="10" t="s">
        <v>333</v>
      </c>
      <c r="K5" s="10"/>
      <c r="L5" s="10"/>
      <c r="M5" s="10"/>
      <c r="N5" s="10"/>
    </row>
    <row r="6" customFormat="false" ht="17.25" hidden="false" customHeight="true" outlineLevel="0" collapsed="false">
      <c r="B6" s="18" t="s">
        <v>334</v>
      </c>
      <c r="C6" s="12" t="s">
        <v>335</v>
      </c>
      <c r="D6" s="12"/>
      <c r="E6" s="12"/>
      <c r="F6" s="12"/>
      <c r="G6" s="12"/>
      <c r="H6" s="12" t="s">
        <v>336</v>
      </c>
      <c r="I6" s="12"/>
      <c r="J6" s="12" t="s">
        <v>337</v>
      </c>
      <c r="K6" s="12"/>
      <c r="L6" s="12"/>
      <c r="M6" s="12"/>
      <c r="N6" s="12"/>
    </row>
    <row r="7" customFormat="false" ht="17.25" hidden="false" customHeight="true" outlineLevel="0" collapsed="false">
      <c r="B7" s="9" t="s">
        <v>338</v>
      </c>
      <c r="C7" s="15" t="s">
        <v>339</v>
      </c>
      <c r="D7" s="15"/>
      <c r="E7" s="15"/>
      <c r="F7" s="15"/>
      <c r="G7" s="15"/>
      <c r="H7" s="15" t="s">
        <v>340</v>
      </c>
      <c r="I7" s="15"/>
      <c r="J7" s="15" t="s">
        <v>341</v>
      </c>
      <c r="K7" s="15"/>
      <c r="L7" s="15"/>
      <c r="M7" s="15"/>
      <c r="N7" s="15"/>
    </row>
    <row r="8" customFormat="false" ht="17.25" hidden="false" customHeight="true" outlineLevel="0" collapsed="false">
      <c r="B8" s="18" t="s">
        <v>342</v>
      </c>
      <c r="C8" s="12" t="s">
        <v>343</v>
      </c>
      <c r="D8" s="12"/>
      <c r="E8" s="12"/>
      <c r="F8" s="12"/>
      <c r="G8" s="12"/>
      <c r="H8" s="12" t="s">
        <v>344</v>
      </c>
      <c r="I8" s="12"/>
      <c r="J8" s="12" t="s">
        <v>345</v>
      </c>
      <c r="K8" s="12"/>
      <c r="L8" s="12"/>
      <c r="M8" s="12"/>
      <c r="N8" s="12"/>
    </row>
    <row r="9" customFormat="false" ht="17.25" hidden="false" customHeight="true" outlineLevel="0" collapsed="false">
      <c r="B9" s="9" t="s">
        <v>346</v>
      </c>
      <c r="C9" s="15" t="s">
        <v>347</v>
      </c>
      <c r="D9" s="15"/>
      <c r="E9" s="15"/>
      <c r="F9" s="15"/>
      <c r="G9" s="15"/>
      <c r="H9" s="15" t="s">
        <v>348</v>
      </c>
      <c r="I9" s="15"/>
      <c r="J9" s="15" t="s">
        <v>349</v>
      </c>
      <c r="K9" s="15"/>
      <c r="L9" s="15"/>
      <c r="M9" s="15"/>
      <c r="N9" s="15"/>
    </row>
    <row r="10" customFormat="false" ht="17.25" hidden="false" customHeight="true" outlineLevel="0" collapsed="false">
      <c r="B10" s="18" t="s">
        <v>350</v>
      </c>
      <c r="C10" s="12" t="s">
        <v>351</v>
      </c>
      <c r="D10" s="12"/>
      <c r="E10" s="12"/>
      <c r="F10" s="12"/>
      <c r="G10" s="12"/>
      <c r="H10" s="12" t="s">
        <v>352</v>
      </c>
      <c r="I10" s="12"/>
      <c r="J10" s="12" t="s">
        <v>353</v>
      </c>
      <c r="K10" s="12"/>
      <c r="L10" s="12"/>
      <c r="M10" s="12"/>
      <c r="N10" s="12"/>
    </row>
    <row r="11" customFormat="false" ht="21.75" hidden="false" customHeight="true" outlineLevel="0" collapsed="false">
      <c r="B11" s="4" t="s">
        <v>354</v>
      </c>
      <c r="C11" s="4"/>
      <c r="D11" s="4"/>
      <c r="E11" s="4"/>
      <c r="F11" s="4"/>
      <c r="G11" s="4"/>
      <c r="H11" s="4"/>
      <c r="I11" s="4"/>
      <c r="J11" s="4"/>
      <c r="K11" s="4"/>
      <c r="L11" s="4"/>
      <c r="M11" s="4"/>
      <c r="N11" s="4"/>
    </row>
    <row r="12" customFormat="false" ht="17.25" hidden="false" customHeight="true" outlineLevel="0" collapsed="false">
      <c r="B12" s="33" t="s">
        <v>355</v>
      </c>
      <c r="C12" s="33"/>
      <c r="D12" s="33"/>
      <c r="E12" s="33"/>
    </row>
    <row r="13" customFormat="false" ht="15" hidden="false" customHeight="false" outlineLevel="0" collapsed="false">
      <c r="B13" s="15"/>
      <c r="C13" s="34" t="s">
        <v>356</v>
      </c>
      <c r="D13" s="34" t="s">
        <v>357</v>
      </c>
      <c r="E13" s="34" t="s">
        <v>358</v>
      </c>
    </row>
    <row r="14" customFormat="false" ht="15" hidden="false" customHeight="false" outlineLevel="0" collapsed="false">
      <c r="B14" s="20"/>
      <c r="C14" s="21" t="n">
        <v>-2</v>
      </c>
      <c r="D14" s="21" t="n">
        <v>0</v>
      </c>
      <c r="E14" s="21" t="n">
        <v>3</v>
      </c>
    </row>
    <row r="16" customFormat="false" ht="17.25" hidden="false" customHeight="true" outlineLevel="0" collapsed="false">
      <c r="B16" s="10" t="s">
        <v>359</v>
      </c>
      <c r="C16" s="10"/>
      <c r="D16" s="10" t="s">
        <v>360</v>
      </c>
      <c r="E16" s="10"/>
      <c r="F16" s="10"/>
      <c r="G16" s="10" t="s">
        <v>361</v>
      </c>
      <c r="H16" s="10"/>
      <c r="I16" s="10"/>
      <c r="J16" s="10" t="s">
        <v>362</v>
      </c>
      <c r="K16" s="10"/>
      <c r="L16" s="10"/>
    </row>
    <row r="17" customFormat="false" ht="17.25" hidden="false" customHeight="true" outlineLevel="0" collapsed="false">
      <c r="B17" s="18" t="s">
        <v>334</v>
      </c>
      <c r="C17" s="18"/>
      <c r="D17" s="57" t="n">
        <f aca="false">IF(C14&gt;0,1,0)</f>
        <v>0</v>
      </c>
      <c r="E17" s="57"/>
      <c r="F17" s="57"/>
      <c r="G17" s="57" t="n">
        <f aca="false">IF(D14&gt;0,1,0)</f>
        <v>0</v>
      </c>
      <c r="H17" s="57"/>
      <c r="I17" s="57"/>
      <c r="J17" s="57" t="n">
        <f aca="false">IF(E14&gt;0,1,0)</f>
        <v>1</v>
      </c>
      <c r="K17" s="57"/>
      <c r="L17" s="57"/>
    </row>
    <row r="18" customFormat="false" ht="17.25" hidden="false" customHeight="true" outlineLevel="0" collapsed="false">
      <c r="B18" s="9" t="s">
        <v>338</v>
      </c>
      <c r="C18" s="9"/>
      <c r="D18" s="58" t="n">
        <f aca="false">1/(1+EXP(-(C14)))</f>
        <v>0.119202922022118</v>
      </c>
      <c r="E18" s="58"/>
      <c r="F18" s="58"/>
      <c r="G18" s="58" t="n">
        <f aca="false">1/(1+EXP(-(D14)))</f>
        <v>0.5</v>
      </c>
      <c r="H18" s="58"/>
      <c r="I18" s="58"/>
      <c r="J18" s="58" t="n">
        <f aca="false">1/(1+EXP(-(E14)))</f>
        <v>0.952574126822433</v>
      </c>
      <c r="K18" s="58"/>
      <c r="L18" s="58"/>
    </row>
    <row r="19" customFormat="false" ht="17.25" hidden="false" customHeight="true" outlineLevel="0" collapsed="false">
      <c r="B19" s="18" t="s">
        <v>342</v>
      </c>
      <c r="C19" s="18"/>
      <c r="D19" s="57" t="n">
        <f aca="false">TANH(C14)</f>
        <v>-0.964027580075817</v>
      </c>
      <c r="E19" s="57"/>
      <c r="F19" s="57"/>
      <c r="G19" s="57" t="n">
        <f aca="false">TANH(D14)</f>
        <v>0</v>
      </c>
      <c r="H19" s="57"/>
      <c r="I19" s="57"/>
      <c r="J19" s="57" t="n">
        <f aca="false">TANH(E14)</f>
        <v>0.995054753686731</v>
      </c>
      <c r="K19" s="57"/>
      <c r="L19" s="57"/>
    </row>
    <row r="20" customFormat="false" ht="17.25" hidden="false" customHeight="true" outlineLevel="0" collapsed="false">
      <c r="B20" s="9" t="s">
        <v>346</v>
      </c>
      <c r="C20" s="9"/>
      <c r="D20" s="58" t="n">
        <f aca="false">MAX(0,C14)</f>
        <v>0</v>
      </c>
      <c r="E20" s="58"/>
      <c r="F20" s="58"/>
      <c r="G20" s="58" t="n">
        <f aca="false">MAX(0,D14)</f>
        <v>0</v>
      </c>
      <c r="H20" s="58"/>
      <c r="I20" s="58"/>
      <c r="J20" s="58" t="n">
        <f aca="false">MAX(0,E14)</f>
        <v>3</v>
      </c>
      <c r="K20" s="58"/>
      <c r="L20" s="58"/>
    </row>
    <row r="21" customFormat="false" ht="17.25" hidden="false" customHeight="true" outlineLevel="0" collapsed="false">
      <c r="B21" s="18" t="s">
        <v>350</v>
      </c>
      <c r="C21" s="18"/>
      <c r="D21" s="57" t="n">
        <f aca="false">0.5*(C14)*(1+TANH(SQRT(2/PI())*((C14)+0.044715*(C14)^3)))</f>
        <v>-0.0454023059122249</v>
      </c>
      <c r="E21" s="57"/>
      <c r="F21" s="57"/>
      <c r="G21" s="57" t="n">
        <f aca="false">0.5*(D14)*(1+TANH(SQRT(2/PI())*((D14)+0.044715*(D14)^3)))</f>
        <v>0</v>
      </c>
      <c r="H21" s="57"/>
      <c r="I21" s="57"/>
      <c r="J21" s="57" t="n">
        <f aca="false">0.5*(E14)*(1+TANH(SQRT(2/PI())*((E14)+0.044715*(E14)^3)))</f>
        <v>2.99636260791823</v>
      </c>
      <c r="K21" s="57"/>
      <c r="L21" s="57"/>
    </row>
    <row r="22" customFormat="false" ht="15.75" hidden="false" customHeight="true" outlineLevel="0" collapsed="false">
      <c r="B22" s="9" t="s">
        <v>363</v>
      </c>
      <c r="C22" s="28" t="str">
        <f aca="false">"1 ÷ (1 + e^2) = 1 ÷ (1 + "&amp;IF(ROUND(EXP(-C14),3)&lt;0,"("&amp;ROUND(EXP(-C14),3)&amp;")",ROUND(EXP(-C14),3)&amp;"")&amp;") = "&amp;IF(ROUND(1/(1+EXP(-C14)),3)&lt;0,"("&amp;ROUND(1/(1+EXP(-C14)),3)&amp;")",ROUND(1/(1+EXP(-C14)),3)&amp;"")</f>
        <v>1 ÷ (1 + e^2) = 1 ÷ (1 + 7.389) = 0.119</v>
      </c>
      <c r="D22" s="28"/>
      <c r="E22" s="28"/>
      <c r="F22" s="28"/>
      <c r="G22" s="28"/>
      <c r="H22" s="28"/>
      <c r="I22" s="28"/>
      <c r="J22" s="28"/>
      <c r="K22" s="28"/>
      <c r="L22" s="28"/>
      <c r="M22" s="28"/>
      <c r="N22" s="28"/>
    </row>
    <row r="23" customFormat="false" ht="15.75" hidden="false" customHeight="true" outlineLevel="0" collapsed="false">
      <c r="B23" s="9" t="s">
        <v>364</v>
      </c>
      <c r="C23" s="28" t="str">
        <f aca="false">"(e^3 − e^−3) ÷ (e^3 + e^−3) = "&amp;IF(ROUND(TANH(E14),3)&lt;0,"("&amp;ROUND(TANH(E14),3)&amp;")",ROUND(TANH(E14),3)&amp;"")</f>
        <v>(e^3 − e^−3) ÷ (e^3 + e^−3) = 0.995</v>
      </c>
      <c r="D23" s="28"/>
      <c r="E23" s="28"/>
      <c r="F23" s="28"/>
      <c r="G23" s="28"/>
      <c r="H23" s="28"/>
      <c r="I23" s="28"/>
      <c r="J23" s="28"/>
      <c r="K23" s="28"/>
      <c r="L23" s="28"/>
      <c r="M23" s="28"/>
      <c r="N23" s="28"/>
    </row>
    <row r="24" customFormat="false" ht="15.75" hidden="false" customHeight="true" outlineLevel="0" collapsed="false">
      <c r="B24" s="9" t="s">
        <v>365</v>
      </c>
      <c r="C24" s="28" t="str">
        <f aca="false">"max(0, −2) = 0  — negatives are switched off"</f>
        <v>max(0, −2) = 0  — negatives are switched off</v>
      </c>
      <c r="D24" s="28"/>
      <c r="E24" s="28"/>
      <c r="F24" s="28"/>
      <c r="G24" s="28"/>
      <c r="H24" s="28"/>
      <c r="I24" s="28"/>
      <c r="J24" s="28"/>
      <c r="K24" s="28"/>
      <c r="L24" s="28"/>
      <c r="M24" s="28"/>
      <c r="N24" s="28"/>
    </row>
    <row r="26" customFormat="false" ht="21.75" hidden="false" customHeight="true" outlineLevel="0" collapsed="false">
      <c r="B26" s="4" t="s">
        <v>366</v>
      </c>
      <c r="C26" s="4"/>
      <c r="D26" s="4"/>
      <c r="E26" s="4"/>
      <c r="F26" s="4"/>
      <c r="G26" s="4"/>
      <c r="H26" s="4"/>
      <c r="I26" s="4"/>
      <c r="J26" s="4"/>
      <c r="K26" s="4"/>
      <c r="L26" s="4"/>
      <c r="M26" s="4"/>
      <c r="N26" s="4"/>
    </row>
    <row r="27" customFormat="false" ht="31.5" hidden="false" customHeight="true" outlineLevel="0" collapsed="false">
      <c r="B27" s="5" t="s">
        <v>367</v>
      </c>
      <c r="C27" s="5"/>
      <c r="D27" s="5"/>
      <c r="E27" s="5"/>
      <c r="F27" s="5"/>
      <c r="G27" s="5"/>
      <c r="H27" s="5"/>
      <c r="I27" s="5"/>
      <c r="J27" s="5"/>
      <c r="K27" s="5"/>
      <c r="L27" s="5"/>
      <c r="M27" s="5"/>
      <c r="N27" s="5"/>
    </row>
    <row r="28" customFormat="false" ht="20.25" hidden="false" customHeight="true" outlineLevel="0" collapsed="false">
      <c r="B28" s="32" t="s">
        <v>368</v>
      </c>
      <c r="C28" s="32"/>
      <c r="D28" s="32"/>
      <c r="E28" s="32"/>
      <c r="F28" s="32"/>
      <c r="G28" s="32"/>
      <c r="H28" s="32"/>
      <c r="I28" s="32"/>
      <c r="J28" s="32"/>
      <c r="K28" s="32"/>
      <c r="L28" s="32"/>
      <c r="M28" s="32"/>
      <c r="N28" s="32"/>
    </row>
    <row r="29" customFormat="false" ht="15" hidden="false" customHeight="false" outlineLevel="0" collapsed="false">
      <c r="B29" s="34" t="s">
        <v>247</v>
      </c>
      <c r="C29" s="34" t="s">
        <v>334</v>
      </c>
      <c r="D29" s="34" t="s">
        <v>338</v>
      </c>
      <c r="E29" s="34" t="s">
        <v>342</v>
      </c>
      <c r="F29" s="34" t="s">
        <v>346</v>
      </c>
      <c r="G29" s="34" t="s">
        <v>350</v>
      </c>
      <c r="H29" s="34" t="s">
        <v>369</v>
      </c>
      <c r="I29" s="34" t="s">
        <v>370</v>
      </c>
      <c r="J29" s="34" t="s">
        <v>371</v>
      </c>
    </row>
    <row r="30" customFormat="false" ht="15" hidden="false" customHeight="false" outlineLevel="0" collapsed="false">
      <c r="B30" s="6" t="n">
        <v>-4</v>
      </c>
      <c r="C30" s="57" t="n">
        <f aca="false">IF(B30&gt;0,1,0)</f>
        <v>0</v>
      </c>
      <c r="D30" s="57" t="n">
        <f aca="false">1/(1+EXP(-(B30)))</f>
        <v>0.0179862099620916</v>
      </c>
      <c r="E30" s="57" t="n">
        <f aca="false">TANH(B30)</f>
        <v>-0.999329299739067</v>
      </c>
      <c r="F30" s="57" t="n">
        <f aca="false">MAX(0,B30)</f>
        <v>0</v>
      </c>
      <c r="G30" s="57" t="n">
        <f aca="false">0.5*(B30)*(1+TANH(SQRT(2/PI())*((B30)+0.044715*(B30)^3)))</f>
        <v>-7.02459481922713E-005</v>
      </c>
      <c r="H30" s="57" t="n">
        <f aca="false">D30*(1-D30)</f>
        <v>0.0176627062132911</v>
      </c>
      <c r="I30" s="57" t="n">
        <f aca="false">1-E30^2</f>
        <v>0.00134095068302587</v>
      </c>
      <c r="J30" s="38" t="n">
        <f aca="false">IF(B30&gt;0,1,0)</f>
        <v>0</v>
      </c>
    </row>
    <row r="31" customFormat="false" ht="15" hidden="false" customHeight="false" outlineLevel="0" collapsed="false">
      <c r="B31" s="6" t="n">
        <v>-3.5</v>
      </c>
      <c r="C31" s="57" t="n">
        <f aca="false">IF(B31&gt;0,1,0)</f>
        <v>0</v>
      </c>
      <c r="D31" s="57" t="n">
        <f aca="false">1/(1+EXP(-(B31)))</f>
        <v>0.0293122307513563</v>
      </c>
      <c r="E31" s="57" t="n">
        <f aca="false">TANH(B31)</f>
        <v>-0.998177897611199</v>
      </c>
      <c r="F31" s="57" t="n">
        <f aca="false">MAX(0,B31)</f>
        <v>0</v>
      </c>
      <c r="G31" s="57" t="n">
        <f aca="false">0.5*(B31)*(1+TANH(SQRT(2/PI())*((B31)+0.044715*(B31)^3)))</f>
        <v>-0.00061619765537374</v>
      </c>
      <c r="H31" s="57" t="n">
        <f aca="false">D31*(1-D31)</f>
        <v>0.0284530238797356</v>
      </c>
      <c r="I31" s="57" t="n">
        <f aca="false">1-E31^2</f>
        <v>0.0036408847204874</v>
      </c>
      <c r="J31" s="38" t="n">
        <f aca="false">IF(B31&gt;0,1,0)</f>
        <v>0</v>
      </c>
    </row>
    <row r="32" customFormat="false" ht="15" hidden="false" customHeight="false" outlineLevel="0" collapsed="false">
      <c r="B32" s="6" t="n">
        <v>-3</v>
      </c>
      <c r="C32" s="57" t="n">
        <f aca="false">IF(B32&gt;0,1,0)</f>
        <v>0</v>
      </c>
      <c r="D32" s="57" t="n">
        <f aca="false">1/(1+EXP(-(B32)))</f>
        <v>0.0474258731775668</v>
      </c>
      <c r="E32" s="57" t="n">
        <f aca="false">TANH(B32)</f>
        <v>-0.995054753686731</v>
      </c>
      <c r="F32" s="57" t="n">
        <f aca="false">MAX(0,B32)</f>
        <v>0</v>
      </c>
      <c r="G32" s="57" t="n">
        <f aca="false">0.5*(B32)*(1+TANH(SQRT(2/PI())*((B32)+0.044715*(B32)^3)))</f>
        <v>-0.00363739208177299</v>
      </c>
      <c r="H32" s="57" t="n">
        <f aca="false">D32*(1-D32)</f>
        <v>0.0451766597309121</v>
      </c>
      <c r="I32" s="57" t="n">
        <f aca="false">1-E32^2</f>
        <v>0.00986603716544021</v>
      </c>
      <c r="J32" s="38" t="n">
        <f aca="false">IF(B32&gt;0,1,0)</f>
        <v>0</v>
      </c>
    </row>
    <row r="33" customFormat="false" ht="15" hidden="false" customHeight="false" outlineLevel="0" collapsed="false">
      <c r="B33" s="6" t="n">
        <v>-2.5</v>
      </c>
      <c r="C33" s="57" t="n">
        <f aca="false">IF(B33&gt;0,1,0)</f>
        <v>0</v>
      </c>
      <c r="D33" s="57" t="n">
        <f aca="false">1/(1+EXP(-(B33)))</f>
        <v>0.0758581800212436</v>
      </c>
      <c r="E33" s="57" t="n">
        <f aca="false">TANH(B33)</f>
        <v>-0.98661429815143</v>
      </c>
      <c r="F33" s="57" t="n">
        <f aca="false">MAX(0,B33)</f>
        <v>0</v>
      </c>
      <c r="G33" s="57" t="n">
        <f aca="false">0.5*(B33)*(1+TANH(SQRT(2/PI())*((B33)+0.044715*(B33)^3)))</f>
        <v>-0.0150842660899986</v>
      </c>
      <c r="H33" s="57" t="n">
        <f aca="false">D33*(1-D33)</f>
        <v>0.0701037165451082</v>
      </c>
      <c r="I33" s="57" t="n">
        <f aca="false">1-E33^2</f>
        <v>0.0265922266831605</v>
      </c>
      <c r="J33" s="38" t="n">
        <f aca="false">IF(B33&gt;0,1,0)</f>
        <v>0</v>
      </c>
    </row>
    <row r="34" customFormat="false" ht="15" hidden="false" customHeight="false" outlineLevel="0" collapsed="false">
      <c r="B34" s="6" t="n">
        <v>-2</v>
      </c>
      <c r="C34" s="57" t="n">
        <f aca="false">IF(B34&gt;0,1,0)</f>
        <v>0</v>
      </c>
      <c r="D34" s="57" t="n">
        <f aca="false">1/(1+EXP(-(B34)))</f>
        <v>0.119202922022118</v>
      </c>
      <c r="E34" s="57" t="n">
        <f aca="false">TANH(B34)</f>
        <v>-0.964027580075817</v>
      </c>
      <c r="F34" s="57" t="n">
        <f aca="false">MAX(0,B34)</f>
        <v>0</v>
      </c>
      <c r="G34" s="57" t="n">
        <f aca="false">0.5*(B34)*(1+TANH(SQRT(2/PI())*((B34)+0.044715*(B34)^3)))</f>
        <v>-0.0454023059122249</v>
      </c>
      <c r="H34" s="57" t="n">
        <f aca="false">D34*(1-D34)</f>
        <v>0.104993585403507</v>
      </c>
      <c r="I34" s="57" t="n">
        <f aca="false">1-E34^2</f>
        <v>0.0706508248531644</v>
      </c>
      <c r="J34" s="38" t="n">
        <f aca="false">IF(B34&gt;0,1,0)</f>
        <v>0</v>
      </c>
    </row>
    <row r="35" customFormat="false" ht="15" hidden="false" customHeight="false" outlineLevel="0" collapsed="false">
      <c r="B35" s="6" t="n">
        <v>-1.5</v>
      </c>
      <c r="C35" s="57" t="n">
        <f aca="false">IF(B35&gt;0,1,0)</f>
        <v>0</v>
      </c>
      <c r="D35" s="57" t="n">
        <f aca="false">1/(1+EXP(-(B35)))</f>
        <v>0.182425523806356</v>
      </c>
      <c r="E35" s="57" t="n">
        <f aca="false">TANH(B35)</f>
        <v>-0.905148253644866</v>
      </c>
      <c r="F35" s="57" t="n">
        <f aca="false">MAX(0,B35)</f>
        <v>0</v>
      </c>
      <c r="G35" s="57" t="n">
        <f aca="false">0.5*(B35)*(1+TANH(SQRT(2/PI())*((B35)+0.044715*(B35)^3)))</f>
        <v>-0.100428423019767</v>
      </c>
      <c r="H35" s="57" t="n">
        <f aca="false">D35*(1-D35)</f>
        <v>0.149146452070333</v>
      </c>
      <c r="I35" s="57" t="n">
        <f aca="false">1-E35^2</f>
        <v>0.180706638923649</v>
      </c>
      <c r="J35" s="38" t="n">
        <f aca="false">IF(B35&gt;0,1,0)</f>
        <v>0</v>
      </c>
    </row>
    <row r="36" customFormat="false" ht="15" hidden="false" customHeight="false" outlineLevel="0" collapsed="false">
      <c r="B36" s="6" t="n">
        <v>-1</v>
      </c>
      <c r="C36" s="57" t="n">
        <f aca="false">IF(B36&gt;0,1,0)</f>
        <v>0</v>
      </c>
      <c r="D36" s="57" t="n">
        <f aca="false">1/(1+EXP(-(B36)))</f>
        <v>0.268941421369995</v>
      </c>
      <c r="E36" s="57" t="n">
        <f aca="false">TANH(B36)</f>
        <v>-0.761594155955765</v>
      </c>
      <c r="F36" s="57" t="n">
        <f aca="false">MAX(0,B36)</f>
        <v>0</v>
      </c>
      <c r="G36" s="57" t="n">
        <f aca="false">0.5*(B36)*(1+TANH(SQRT(2/PI())*((B36)+0.044715*(B36)^3)))</f>
        <v>-0.158808009391723</v>
      </c>
      <c r="H36" s="57" t="n">
        <f aca="false">D36*(1-D36)</f>
        <v>0.196611933241482</v>
      </c>
      <c r="I36" s="57" t="n">
        <f aca="false">1-E36^2</f>
        <v>0.419974341614026</v>
      </c>
      <c r="J36" s="38" t="n">
        <f aca="false">IF(B36&gt;0,1,0)</f>
        <v>0</v>
      </c>
    </row>
    <row r="37" customFormat="false" ht="15" hidden="false" customHeight="false" outlineLevel="0" collapsed="false">
      <c r="B37" s="6" t="n">
        <v>-0.5</v>
      </c>
      <c r="C37" s="57" t="n">
        <f aca="false">IF(B37&gt;0,1,0)</f>
        <v>0</v>
      </c>
      <c r="D37" s="57" t="n">
        <f aca="false">1/(1+EXP(-(B37)))</f>
        <v>0.377540668798145</v>
      </c>
      <c r="E37" s="57" t="n">
        <f aca="false">TANH(B37)</f>
        <v>-0.46211715726001</v>
      </c>
      <c r="F37" s="57" t="n">
        <f aca="false">MAX(0,B37)</f>
        <v>0</v>
      </c>
      <c r="G37" s="57" t="n">
        <f aca="false">0.5*(B37)*(1+TANH(SQRT(2/PI())*((B37)+0.044715*(B37)^3)))</f>
        <v>-0.154285990174856</v>
      </c>
      <c r="H37" s="57" t="n">
        <f aca="false">D37*(1-D37)</f>
        <v>0.235003712201595</v>
      </c>
      <c r="I37" s="57" t="n">
        <f aca="false">1-E37^2</f>
        <v>0.786447732965927</v>
      </c>
      <c r="J37" s="38" t="n">
        <f aca="false">IF(B37&gt;0,1,0)</f>
        <v>0</v>
      </c>
    </row>
    <row r="38" customFormat="false" ht="15" hidden="false" customHeight="false" outlineLevel="0" collapsed="false">
      <c r="B38" s="6" t="n">
        <v>0</v>
      </c>
      <c r="C38" s="57" t="n">
        <f aca="false">IF(B38&gt;0,1,0)</f>
        <v>0</v>
      </c>
      <c r="D38" s="57" t="n">
        <f aca="false">1/(1+EXP(-(B38)))</f>
        <v>0.5</v>
      </c>
      <c r="E38" s="57" t="n">
        <f aca="false">TANH(B38)</f>
        <v>0</v>
      </c>
      <c r="F38" s="57" t="n">
        <f aca="false">MAX(0,B38)</f>
        <v>0</v>
      </c>
      <c r="G38" s="57" t="n">
        <f aca="false">0.5*(B38)*(1+TANH(SQRT(2/PI())*((B38)+0.044715*(B38)^3)))</f>
        <v>0</v>
      </c>
      <c r="H38" s="57" t="n">
        <f aca="false">D38*(1-D38)</f>
        <v>0.25</v>
      </c>
      <c r="I38" s="57" t="n">
        <f aca="false">1-E38^2</f>
        <v>1</v>
      </c>
      <c r="J38" s="38" t="n">
        <f aca="false">IF(B38&gt;0,1,0)</f>
        <v>0</v>
      </c>
    </row>
    <row r="39" customFormat="false" ht="15" hidden="false" customHeight="false" outlineLevel="0" collapsed="false">
      <c r="B39" s="6" t="n">
        <v>0.5</v>
      </c>
      <c r="C39" s="57" t="n">
        <f aca="false">IF(B39&gt;0,1,0)</f>
        <v>1</v>
      </c>
      <c r="D39" s="57" t="n">
        <f aca="false">1/(1+EXP(-(B39)))</f>
        <v>0.622459331201855</v>
      </c>
      <c r="E39" s="57" t="n">
        <f aca="false">TANH(B39)</f>
        <v>0.46211715726001</v>
      </c>
      <c r="F39" s="57" t="n">
        <f aca="false">MAX(0,B39)</f>
        <v>0.5</v>
      </c>
      <c r="G39" s="57" t="n">
        <f aca="false">0.5*(B39)*(1+TANH(SQRT(2/PI())*((B39)+0.044715*(B39)^3)))</f>
        <v>0.345714009825144</v>
      </c>
      <c r="H39" s="57" t="n">
        <f aca="false">D39*(1-D39)</f>
        <v>0.235003712201595</v>
      </c>
      <c r="I39" s="57" t="n">
        <f aca="false">1-E39^2</f>
        <v>0.786447732965927</v>
      </c>
      <c r="J39" s="38" t="n">
        <f aca="false">IF(B39&gt;0,1,0)</f>
        <v>1</v>
      </c>
    </row>
    <row r="40" customFormat="false" ht="15" hidden="false" customHeight="false" outlineLevel="0" collapsed="false">
      <c r="B40" s="6" t="n">
        <v>1</v>
      </c>
      <c r="C40" s="57" t="n">
        <f aca="false">IF(B40&gt;0,1,0)</f>
        <v>1</v>
      </c>
      <c r="D40" s="57" t="n">
        <f aca="false">1/(1+EXP(-(B40)))</f>
        <v>0.731058578630005</v>
      </c>
      <c r="E40" s="57" t="n">
        <f aca="false">TANH(B40)</f>
        <v>0.761594155955765</v>
      </c>
      <c r="F40" s="57" t="n">
        <f aca="false">MAX(0,B40)</f>
        <v>1</v>
      </c>
      <c r="G40" s="57" t="n">
        <f aca="false">0.5*(B40)*(1+TANH(SQRT(2/PI())*((B40)+0.044715*(B40)^3)))</f>
        <v>0.841191990608277</v>
      </c>
      <c r="H40" s="57" t="n">
        <f aca="false">D40*(1-D40)</f>
        <v>0.196611933241482</v>
      </c>
      <c r="I40" s="57" t="n">
        <f aca="false">1-E40^2</f>
        <v>0.419974341614026</v>
      </c>
      <c r="J40" s="38" t="n">
        <f aca="false">IF(B40&gt;0,1,0)</f>
        <v>1</v>
      </c>
    </row>
    <row r="41" customFormat="false" ht="15" hidden="false" customHeight="false" outlineLevel="0" collapsed="false">
      <c r="B41" s="6" t="n">
        <v>1.5</v>
      </c>
      <c r="C41" s="57" t="n">
        <f aca="false">IF(B41&gt;0,1,0)</f>
        <v>1</v>
      </c>
      <c r="D41" s="57" t="n">
        <f aca="false">1/(1+EXP(-(B41)))</f>
        <v>0.817574476193644</v>
      </c>
      <c r="E41" s="57" t="n">
        <f aca="false">TANH(B41)</f>
        <v>0.905148253644866</v>
      </c>
      <c r="F41" s="57" t="n">
        <f aca="false">MAX(0,B41)</f>
        <v>1.5</v>
      </c>
      <c r="G41" s="57" t="n">
        <f aca="false">0.5*(B41)*(1+TANH(SQRT(2/PI())*((B41)+0.044715*(B41)^3)))</f>
        <v>1.39957157698023</v>
      </c>
      <c r="H41" s="57" t="n">
        <f aca="false">D41*(1-D41)</f>
        <v>0.149146452070333</v>
      </c>
      <c r="I41" s="57" t="n">
        <f aca="false">1-E41^2</f>
        <v>0.180706638923649</v>
      </c>
      <c r="J41" s="38" t="n">
        <f aca="false">IF(B41&gt;0,1,0)</f>
        <v>1</v>
      </c>
    </row>
    <row r="42" customFormat="false" ht="15" hidden="false" customHeight="false" outlineLevel="0" collapsed="false">
      <c r="B42" s="6" t="n">
        <v>2</v>
      </c>
      <c r="C42" s="57" t="n">
        <f aca="false">IF(B42&gt;0,1,0)</f>
        <v>1</v>
      </c>
      <c r="D42" s="57" t="n">
        <f aca="false">1/(1+EXP(-(B42)))</f>
        <v>0.880797077977882</v>
      </c>
      <c r="E42" s="57" t="n">
        <f aca="false">TANH(B42)</f>
        <v>0.964027580075817</v>
      </c>
      <c r="F42" s="57" t="n">
        <f aca="false">MAX(0,B42)</f>
        <v>2</v>
      </c>
      <c r="G42" s="57" t="n">
        <f aca="false">0.5*(B42)*(1+TANH(SQRT(2/PI())*((B42)+0.044715*(B42)^3)))</f>
        <v>1.95459769408778</v>
      </c>
      <c r="H42" s="57" t="n">
        <f aca="false">D42*(1-D42)</f>
        <v>0.104993585403507</v>
      </c>
      <c r="I42" s="57" t="n">
        <f aca="false">1-E42^2</f>
        <v>0.0706508248531644</v>
      </c>
      <c r="J42" s="38" t="n">
        <f aca="false">IF(B42&gt;0,1,0)</f>
        <v>1</v>
      </c>
    </row>
    <row r="43" customFormat="false" ht="15" hidden="false" customHeight="false" outlineLevel="0" collapsed="false">
      <c r="B43" s="6" t="n">
        <v>2.5</v>
      </c>
      <c r="C43" s="57" t="n">
        <f aca="false">IF(B43&gt;0,1,0)</f>
        <v>1</v>
      </c>
      <c r="D43" s="57" t="n">
        <f aca="false">1/(1+EXP(-(B43)))</f>
        <v>0.924141819978757</v>
      </c>
      <c r="E43" s="57" t="n">
        <f aca="false">TANH(B43)</f>
        <v>0.98661429815143</v>
      </c>
      <c r="F43" s="57" t="n">
        <f aca="false">MAX(0,B43)</f>
        <v>2.5</v>
      </c>
      <c r="G43" s="57" t="n">
        <f aca="false">0.5*(B43)*(1+TANH(SQRT(2/PI())*((B43)+0.044715*(B43)^3)))</f>
        <v>2.48491573391</v>
      </c>
      <c r="H43" s="57" t="n">
        <f aca="false">D43*(1-D43)</f>
        <v>0.0701037165451081</v>
      </c>
      <c r="I43" s="57" t="n">
        <f aca="false">1-E43^2</f>
        <v>0.0265922266831605</v>
      </c>
      <c r="J43" s="38" t="n">
        <f aca="false">IF(B43&gt;0,1,0)</f>
        <v>1</v>
      </c>
    </row>
    <row r="44" customFormat="false" ht="15" hidden="false" customHeight="false" outlineLevel="0" collapsed="false">
      <c r="B44" s="6" t="n">
        <v>3</v>
      </c>
      <c r="C44" s="57" t="n">
        <f aca="false">IF(B44&gt;0,1,0)</f>
        <v>1</v>
      </c>
      <c r="D44" s="57" t="n">
        <f aca="false">1/(1+EXP(-(B44)))</f>
        <v>0.952574126822433</v>
      </c>
      <c r="E44" s="57" t="n">
        <f aca="false">TANH(B44)</f>
        <v>0.995054753686731</v>
      </c>
      <c r="F44" s="57" t="n">
        <f aca="false">MAX(0,B44)</f>
        <v>3</v>
      </c>
      <c r="G44" s="57" t="n">
        <f aca="false">0.5*(B44)*(1+TANH(SQRT(2/PI())*((B44)+0.044715*(B44)^3)))</f>
        <v>2.99636260791823</v>
      </c>
      <c r="H44" s="57" t="n">
        <f aca="false">D44*(1-D44)</f>
        <v>0.045176659730912</v>
      </c>
      <c r="I44" s="57" t="n">
        <f aca="false">1-E44^2</f>
        <v>0.00986603716544021</v>
      </c>
      <c r="J44" s="38" t="n">
        <f aca="false">IF(B44&gt;0,1,0)</f>
        <v>1</v>
      </c>
    </row>
    <row r="45" customFormat="false" ht="15" hidden="false" customHeight="false" outlineLevel="0" collapsed="false">
      <c r="B45" s="6" t="n">
        <v>3.5</v>
      </c>
      <c r="C45" s="57" t="n">
        <f aca="false">IF(B45&gt;0,1,0)</f>
        <v>1</v>
      </c>
      <c r="D45" s="57" t="n">
        <f aca="false">1/(1+EXP(-(B45)))</f>
        <v>0.970687769248644</v>
      </c>
      <c r="E45" s="57" t="n">
        <f aca="false">TANH(B45)</f>
        <v>0.998177897611199</v>
      </c>
      <c r="F45" s="57" t="n">
        <f aca="false">MAX(0,B45)</f>
        <v>3.5</v>
      </c>
      <c r="G45" s="57" t="n">
        <f aca="false">0.5*(B45)*(1+TANH(SQRT(2/PI())*((B45)+0.044715*(B45)^3)))</f>
        <v>3.49938380234463</v>
      </c>
      <c r="H45" s="57" t="n">
        <f aca="false">D45*(1-D45)</f>
        <v>0.0284530238797356</v>
      </c>
      <c r="I45" s="57" t="n">
        <f aca="false">1-E45^2</f>
        <v>0.0036408847204874</v>
      </c>
      <c r="J45" s="38" t="n">
        <f aca="false">IF(B45&gt;0,1,0)</f>
        <v>1</v>
      </c>
    </row>
    <row r="46" customFormat="false" ht="15" hidden="false" customHeight="false" outlineLevel="0" collapsed="false">
      <c r="B46" s="6" t="n">
        <v>4</v>
      </c>
      <c r="C46" s="57" t="n">
        <f aca="false">IF(B46&gt;0,1,0)</f>
        <v>1</v>
      </c>
      <c r="D46" s="57" t="n">
        <f aca="false">1/(1+EXP(-(B46)))</f>
        <v>0.982013790037909</v>
      </c>
      <c r="E46" s="57" t="n">
        <f aca="false">TANH(B46)</f>
        <v>0.999329299739067</v>
      </c>
      <c r="F46" s="57" t="n">
        <f aca="false">MAX(0,B46)</f>
        <v>4</v>
      </c>
      <c r="G46" s="57" t="n">
        <f aca="false">0.5*(B46)*(1+TANH(SQRT(2/PI())*((B46)+0.044715*(B46)^3)))</f>
        <v>3.99992975405181</v>
      </c>
      <c r="H46" s="57" t="n">
        <f aca="false">D46*(1-D46)</f>
        <v>0.0176627062132911</v>
      </c>
      <c r="I46" s="57" t="n">
        <f aca="false">1-E46^2</f>
        <v>0.00134095068302587</v>
      </c>
      <c r="J46" s="38" t="n">
        <f aca="false">IF(B46&gt;0,1,0)</f>
        <v>1</v>
      </c>
    </row>
    <row r="65" customFormat="false" ht="31.5" hidden="false" customHeight="true" outlineLevel="0" collapsed="false">
      <c r="B65" s="5" t="s">
        <v>372</v>
      </c>
      <c r="C65" s="5"/>
      <c r="D65" s="5"/>
      <c r="E65" s="5"/>
      <c r="F65" s="5"/>
      <c r="G65" s="5"/>
      <c r="H65" s="5"/>
      <c r="I65" s="5"/>
      <c r="J65" s="5"/>
      <c r="K65" s="5"/>
      <c r="L65" s="5"/>
      <c r="M65" s="5"/>
      <c r="N65" s="5"/>
    </row>
    <row r="66" customFormat="false" ht="18.75" hidden="false" customHeight="true" outlineLevel="0" collapsed="false">
      <c r="B66" s="29" t="s">
        <v>119</v>
      </c>
      <c r="C66" s="29"/>
      <c r="D66" s="29"/>
      <c r="E66" s="29"/>
      <c r="F66" s="29"/>
      <c r="G66" s="29"/>
      <c r="H66" s="29"/>
      <c r="I66" s="29"/>
      <c r="J66" s="29"/>
      <c r="K66" s="29"/>
      <c r="L66" s="29"/>
      <c r="M66" s="29"/>
      <c r="N66" s="29"/>
    </row>
    <row r="67" customFormat="false" ht="17.25" hidden="false" customHeight="true" outlineLevel="0" collapsed="false">
      <c r="B67" s="30" t="s">
        <v>373</v>
      </c>
      <c r="C67" s="30"/>
      <c r="D67" s="30"/>
      <c r="E67" s="30"/>
      <c r="F67" s="30"/>
      <c r="G67" s="30"/>
      <c r="H67" s="30"/>
      <c r="I67" s="30"/>
      <c r="J67" s="30"/>
      <c r="K67" s="30"/>
      <c r="L67" s="30"/>
      <c r="M67" s="30"/>
      <c r="N67" s="30"/>
    </row>
    <row r="68" customFormat="false" ht="17.25" hidden="false" customHeight="true" outlineLevel="0" collapsed="false">
      <c r="B68" s="31" t="s">
        <v>374</v>
      </c>
      <c r="C68" s="31"/>
      <c r="D68" s="31"/>
      <c r="E68" s="31"/>
      <c r="F68" s="31"/>
      <c r="G68" s="31"/>
      <c r="H68" s="31"/>
      <c r="I68" s="31"/>
      <c r="J68" s="31"/>
      <c r="K68" s="31"/>
      <c r="L68" s="31"/>
      <c r="M68" s="31"/>
      <c r="N68" s="31"/>
    </row>
    <row r="69" customFormat="false" ht="17.25" hidden="false" customHeight="true" outlineLevel="0" collapsed="false">
      <c r="B69" s="30" t="s">
        <v>375</v>
      </c>
      <c r="C69" s="30"/>
      <c r="D69" s="30"/>
      <c r="E69" s="30"/>
      <c r="F69" s="30"/>
      <c r="G69" s="30"/>
      <c r="H69" s="30"/>
      <c r="I69" s="30"/>
      <c r="J69" s="30"/>
      <c r="K69" s="30"/>
      <c r="L69" s="30"/>
      <c r="M69" s="30"/>
      <c r="N69" s="30"/>
    </row>
    <row r="70" customFormat="false" ht="17.25" hidden="false" customHeight="true" outlineLevel="0" collapsed="false">
      <c r="B70" s="31" t="s">
        <v>376</v>
      </c>
      <c r="C70" s="31"/>
      <c r="D70" s="31"/>
      <c r="E70" s="31"/>
      <c r="F70" s="31"/>
      <c r="G70" s="31"/>
      <c r="H70" s="31"/>
      <c r="I70" s="31"/>
      <c r="J70" s="31"/>
      <c r="K70" s="31"/>
      <c r="L70" s="31"/>
      <c r="M70" s="31"/>
      <c r="N70" s="31"/>
    </row>
    <row r="71" customFormat="false" ht="17.25" hidden="false" customHeight="true" outlineLevel="0" collapsed="false">
      <c r="B71" s="30" t="s">
        <v>377</v>
      </c>
      <c r="C71" s="30"/>
      <c r="D71" s="30"/>
      <c r="E71" s="30"/>
      <c r="F71" s="30"/>
      <c r="G71" s="30"/>
      <c r="H71" s="30"/>
      <c r="I71" s="30"/>
      <c r="J71" s="30"/>
      <c r="K71" s="30"/>
      <c r="L71" s="30"/>
      <c r="M71" s="30"/>
      <c r="N71" s="30"/>
    </row>
    <row r="72" customFormat="false" ht="17.25" hidden="false" customHeight="true" outlineLevel="0" collapsed="false">
      <c r="B72" s="31" t="s">
        <v>378</v>
      </c>
      <c r="C72" s="31"/>
      <c r="D72" s="31"/>
      <c r="E72" s="31"/>
      <c r="F72" s="31"/>
      <c r="G72" s="31"/>
      <c r="H72" s="31"/>
      <c r="I72" s="31"/>
      <c r="J72" s="31"/>
      <c r="K72" s="31"/>
      <c r="L72" s="31"/>
      <c r="M72" s="31"/>
      <c r="N72" s="31"/>
    </row>
  </sheetData>
  <mergeCells count="61">
    <mergeCell ref="B1:N1"/>
    <mergeCell ref="B2:N2"/>
    <mergeCell ref="B4:N4"/>
    <mergeCell ref="C5:G5"/>
    <mergeCell ref="H5:I5"/>
    <mergeCell ref="J5:N5"/>
    <mergeCell ref="C6:G6"/>
    <mergeCell ref="H6:I6"/>
    <mergeCell ref="J6:N6"/>
    <mergeCell ref="C7:G7"/>
    <mergeCell ref="H7:I7"/>
    <mergeCell ref="J7:N7"/>
    <mergeCell ref="C8:G8"/>
    <mergeCell ref="H8:I8"/>
    <mergeCell ref="J8:N8"/>
    <mergeCell ref="C9:G9"/>
    <mergeCell ref="H9:I9"/>
    <mergeCell ref="J9:N9"/>
    <mergeCell ref="C10:G10"/>
    <mergeCell ref="H10:I10"/>
    <mergeCell ref="J10:N10"/>
    <mergeCell ref="B11:N11"/>
    <mergeCell ref="B12:E12"/>
    <mergeCell ref="B16:C16"/>
    <mergeCell ref="D16:F16"/>
    <mergeCell ref="G16:I16"/>
    <mergeCell ref="J16:L16"/>
    <mergeCell ref="B17:C17"/>
    <mergeCell ref="D17:F17"/>
    <mergeCell ref="G17:I17"/>
    <mergeCell ref="J17:L17"/>
    <mergeCell ref="B18:C18"/>
    <mergeCell ref="D18:F18"/>
    <mergeCell ref="G18:I18"/>
    <mergeCell ref="J18:L18"/>
    <mergeCell ref="B19:C19"/>
    <mergeCell ref="D19:F19"/>
    <mergeCell ref="G19:I19"/>
    <mergeCell ref="J19:L19"/>
    <mergeCell ref="B20:C20"/>
    <mergeCell ref="D20:F20"/>
    <mergeCell ref="G20:I20"/>
    <mergeCell ref="J20:L20"/>
    <mergeCell ref="B21:C21"/>
    <mergeCell ref="D21:F21"/>
    <mergeCell ref="G21:I21"/>
    <mergeCell ref="J21:L21"/>
    <mergeCell ref="C22:N22"/>
    <mergeCell ref="C23:N23"/>
    <mergeCell ref="C24:N24"/>
    <mergeCell ref="B26:N26"/>
    <mergeCell ref="B27:N27"/>
    <mergeCell ref="B28:N28"/>
    <mergeCell ref="B65:N65"/>
    <mergeCell ref="B66:N66"/>
    <mergeCell ref="B67:N67"/>
    <mergeCell ref="B68:N68"/>
    <mergeCell ref="B69:N69"/>
    <mergeCell ref="B70:N70"/>
    <mergeCell ref="B71:N71"/>
    <mergeCell ref="B72:N72"/>
  </mergeCells>
  <conditionalFormatting sqref="H30:J46">
    <cfRule type="colorScale" priority="2">
      <colorScale>
        <cfvo type="num" val="0"/>
        <cfvo type="num" val="1"/>
        <color rgb="FFF8696B"/>
        <color rgb="FFFFFFFF"/>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379</v>
      </c>
      <c r="C1" s="1"/>
      <c r="D1" s="1"/>
      <c r="E1" s="1"/>
      <c r="F1" s="1"/>
      <c r="G1" s="1"/>
      <c r="H1" s="1"/>
      <c r="I1" s="1"/>
      <c r="J1" s="1"/>
      <c r="K1" s="1"/>
      <c r="L1" s="1"/>
      <c r="M1" s="1"/>
      <c r="N1" s="1"/>
    </row>
    <row r="2" customFormat="false" ht="17.25" hidden="false" customHeight="true" outlineLevel="0" collapsed="false">
      <c r="B2" s="2" t="s">
        <v>380</v>
      </c>
      <c r="C2" s="2"/>
      <c r="D2" s="2"/>
      <c r="E2" s="2"/>
      <c r="F2" s="2"/>
      <c r="G2" s="2"/>
      <c r="H2" s="2"/>
      <c r="I2" s="2"/>
      <c r="J2" s="2"/>
      <c r="K2" s="2"/>
      <c r="L2" s="2"/>
      <c r="M2" s="2"/>
      <c r="N2" s="2"/>
    </row>
    <row r="4" customFormat="false" ht="20.25" hidden="false" customHeight="true" outlineLevel="0" collapsed="false">
      <c r="B4" s="32" t="s">
        <v>381</v>
      </c>
      <c r="C4" s="32"/>
      <c r="D4" s="32"/>
      <c r="E4" s="32"/>
      <c r="F4" s="32"/>
      <c r="G4" s="32"/>
      <c r="H4" s="32"/>
      <c r="I4" s="32"/>
      <c r="J4" s="32"/>
      <c r="K4" s="32"/>
      <c r="L4" s="32"/>
      <c r="M4" s="32"/>
      <c r="N4" s="32"/>
    </row>
    <row r="5" customFormat="false" ht="34.5" hidden="false" customHeight="true" outlineLevel="0" collapsed="false">
      <c r="B5" s="3" t="s">
        <v>382</v>
      </c>
      <c r="C5" s="3"/>
      <c r="D5" s="3"/>
      <c r="E5" s="3"/>
      <c r="F5" s="3"/>
      <c r="G5" s="3"/>
      <c r="H5" s="3"/>
      <c r="I5" s="3"/>
      <c r="J5" s="3"/>
      <c r="K5" s="3"/>
      <c r="L5" s="3"/>
      <c r="M5" s="3"/>
      <c r="N5" s="3"/>
    </row>
    <row r="6" customFormat="false" ht="21.75" hidden="false" customHeight="true" outlineLevel="0" collapsed="false">
      <c r="B6" s="4" t="s">
        <v>383</v>
      </c>
      <c r="C6" s="4"/>
      <c r="D6" s="4"/>
      <c r="E6" s="4"/>
      <c r="F6" s="4"/>
      <c r="G6" s="4"/>
      <c r="H6" s="4"/>
      <c r="I6" s="4"/>
      <c r="J6" s="4"/>
      <c r="K6" s="4"/>
      <c r="L6" s="4"/>
      <c r="M6" s="4"/>
      <c r="N6" s="4"/>
    </row>
    <row r="7" customFormat="false" ht="17.25" hidden="false" customHeight="true" outlineLevel="0" collapsed="false">
      <c r="B7" s="33" t="s">
        <v>384</v>
      </c>
      <c r="C7" s="33"/>
      <c r="D7" s="33"/>
      <c r="E7" s="33"/>
    </row>
    <row r="8" customFormat="false" ht="15" hidden="false" customHeight="false" outlineLevel="0" collapsed="false">
      <c r="B8" s="15"/>
      <c r="C8" s="34" t="s">
        <v>385</v>
      </c>
      <c r="D8" s="34" t="s">
        <v>386</v>
      </c>
      <c r="E8" s="34" t="s">
        <v>387</v>
      </c>
    </row>
    <row r="9" customFormat="false" ht="15" hidden="false" customHeight="false" outlineLevel="0" collapsed="false">
      <c r="B9" s="20"/>
      <c r="C9" s="21" t="n">
        <v>2</v>
      </c>
      <c r="D9" s="21" t="n">
        <v>1</v>
      </c>
      <c r="E9" s="21" t="n">
        <v>0.1</v>
      </c>
    </row>
    <row r="10" customFormat="false" ht="17.25" hidden="false" customHeight="true" outlineLevel="0" collapsed="false">
      <c r="B10" s="33" t="s">
        <v>388</v>
      </c>
      <c r="C10" s="33"/>
      <c r="D10" s="33"/>
      <c r="E10" s="33"/>
    </row>
    <row r="11" customFormat="false" ht="15" hidden="false" customHeight="false" outlineLevel="0" collapsed="false">
      <c r="B11" s="15"/>
      <c r="C11" s="34" t="s">
        <v>385</v>
      </c>
      <c r="D11" s="34" t="s">
        <v>386</v>
      </c>
      <c r="E11" s="34" t="s">
        <v>387</v>
      </c>
    </row>
    <row r="12" customFormat="false" ht="15" hidden="false" customHeight="false" outlineLevel="0" collapsed="false">
      <c r="B12" s="20"/>
      <c r="C12" s="55" t="n">
        <f aca="false">EXP(C9)</f>
        <v>7.38905609893065</v>
      </c>
      <c r="D12" s="55" t="n">
        <f aca="false">EXP(D9)</f>
        <v>2.71828182845905</v>
      </c>
      <c r="E12" s="55" t="n">
        <f aca="false">EXP(E9)</f>
        <v>1.10517091807565</v>
      </c>
    </row>
    <row r="13" customFormat="false" ht="15.75" hidden="false" customHeight="true" outlineLevel="0" collapsed="false">
      <c r="B13" s="20" t="s">
        <v>389</v>
      </c>
      <c r="C13" s="59" t="n">
        <f aca="false">SUM(C12:E12)</f>
        <v>11.2125088454653</v>
      </c>
    </row>
    <row r="14" customFormat="false" ht="17.25" hidden="false" customHeight="true" outlineLevel="0" collapsed="false">
      <c r="B14" s="33" t="s">
        <v>390</v>
      </c>
      <c r="C14" s="33"/>
      <c r="D14" s="33"/>
      <c r="E14" s="33"/>
    </row>
    <row r="15" customFormat="false" ht="15" hidden="false" customHeight="false" outlineLevel="0" collapsed="false">
      <c r="B15" s="15"/>
      <c r="C15" s="34" t="s">
        <v>385</v>
      </c>
      <c r="D15" s="34" t="s">
        <v>386</v>
      </c>
      <c r="E15" s="34" t="s">
        <v>387</v>
      </c>
    </row>
    <row r="16" customFormat="false" ht="15" hidden="false" customHeight="false" outlineLevel="0" collapsed="false">
      <c r="B16" s="20"/>
      <c r="C16" s="50" t="n">
        <f aca="false">C12/C13</f>
        <v>0.659001138885968</v>
      </c>
      <c r="D16" s="50" t="n">
        <f aca="false">D12/C13</f>
        <v>0.242432970704714</v>
      </c>
      <c r="E16" s="50" t="n">
        <f aca="false">E12/C13</f>
        <v>0.0985658904093182</v>
      </c>
    </row>
    <row r="18" customFormat="false" ht="15.75" hidden="false" customHeight="true" outlineLevel="0" collapsed="false">
      <c r="B18" s="9" t="s">
        <v>385</v>
      </c>
      <c r="C18" s="28" t="str">
        <f aca="false">"e^"&amp;IF(ROUND(C9,3)&lt;0,"("&amp;ROUND(C9,3)&amp;")",ROUND(C9,3)&amp;"")&amp;" ÷ "&amp;IF(ROUND(C13,3)&lt;0,"("&amp;ROUND(C13,3)&amp;")",ROUND(C13,3)&amp;"")&amp;" = "&amp;IF(ROUND(C12,3)&lt;0,"("&amp;ROUND(C12,3)&amp;")",ROUND(C12,3)&amp;"")&amp;" ÷ "&amp;IF(ROUND(C13,3)&lt;0,"("&amp;ROUND(C13,3)&amp;")",ROUND(C13,3)&amp;"")&amp;" = "&amp;IF(ROUND(C16,3)&lt;0,"("&amp;ROUND(C16,3)&amp;")",ROUND(C16,3)&amp;"")</f>
        <v>e^2 ÷ 11.213 = 7.389 ÷ 11.213 = 0.659</v>
      </c>
      <c r="D18" s="28"/>
      <c r="E18" s="28"/>
      <c r="F18" s="28"/>
      <c r="G18" s="28"/>
      <c r="H18" s="28"/>
      <c r="I18" s="28"/>
      <c r="J18" s="28"/>
      <c r="K18" s="28"/>
      <c r="L18" s="28"/>
      <c r="M18" s="28"/>
      <c r="N18" s="28"/>
    </row>
    <row r="19" customFormat="false" ht="15.75" hidden="false" customHeight="true" outlineLevel="0" collapsed="false">
      <c r="B19" s="9" t="s">
        <v>386</v>
      </c>
      <c r="C19" s="28" t="str">
        <f aca="false">"e^"&amp;IF(ROUND(D9,3)&lt;0,"("&amp;ROUND(D9,3)&amp;")",ROUND(D9,3)&amp;"")&amp;" ÷ "&amp;IF(ROUND(C13,3)&lt;0,"("&amp;ROUND(C13,3)&amp;")",ROUND(C13,3)&amp;"")&amp;" = "&amp;IF(ROUND(D12,3)&lt;0,"("&amp;ROUND(D12,3)&amp;")",ROUND(D12,3)&amp;"")&amp;" ÷ "&amp;IF(ROUND(C13,3)&lt;0,"("&amp;ROUND(C13,3)&amp;")",ROUND(C13,3)&amp;"")&amp;" = "&amp;IF(ROUND(D16,3)&lt;0,"("&amp;ROUND(D16,3)&amp;")",ROUND(D16,3)&amp;"")</f>
        <v>e^1 ÷ 11.213 = 2.718 ÷ 11.213 = 0.242</v>
      </c>
      <c r="D19" s="28"/>
      <c r="E19" s="28"/>
      <c r="F19" s="28"/>
      <c r="G19" s="28"/>
      <c r="H19" s="28"/>
      <c r="I19" s="28"/>
      <c r="J19" s="28"/>
      <c r="K19" s="28"/>
      <c r="L19" s="28"/>
      <c r="M19" s="28"/>
      <c r="N19" s="28"/>
    </row>
    <row r="20" customFormat="false" ht="15.75" hidden="false" customHeight="true" outlineLevel="0" collapsed="false">
      <c r="B20" s="9" t="s">
        <v>387</v>
      </c>
      <c r="C20" s="28" t="str">
        <f aca="false">"e^"&amp;IF(ROUND(E9,3)&lt;0,"("&amp;ROUND(E9,3)&amp;")",ROUND(E9,3)&amp;"")&amp;" ÷ "&amp;IF(ROUND(C13,3)&lt;0,"("&amp;ROUND(C13,3)&amp;")",ROUND(C13,3)&amp;"")&amp;" = "&amp;IF(ROUND(E12,3)&lt;0,"("&amp;ROUND(E12,3)&amp;")",ROUND(E12,3)&amp;"")&amp;" ÷ "&amp;IF(ROUND(C13,3)&lt;0,"("&amp;ROUND(C13,3)&amp;")",ROUND(C13,3)&amp;"")&amp;" = "&amp;IF(ROUND(E16,3)&lt;0,"("&amp;ROUND(E16,3)&amp;")",ROUND(E16,3)&amp;"")</f>
        <v>e^0.1 ÷ 11.213 = 1.105 ÷ 11.213 = 0.099</v>
      </c>
      <c r="D20" s="28"/>
      <c r="E20" s="28"/>
      <c r="F20" s="28"/>
      <c r="G20" s="28"/>
      <c r="H20" s="28"/>
      <c r="I20" s="28"/>
      <c r="J20" s="28"/>
      <c r="K20" s="28"/>
      <c r="L20" s="28"/>
      <c r="M20" s="28"/>
      <c r="N20" s="28"/>
    </row>
    <row r="21" customFormat="false" ht="17.25" hidden="false" customHeight="true" outlineLevel="0" collapsed="false">
      <c r="B21" s="20" t="s">
        <v>391</v>
      </c>
      <c r="C21" s="46" t="str">
        <f aca="false">INDEX(C8:E8,MATCH(MAX(C16:E16),C16:E16,0))</f>
        <v>cat</v>
      </c>
      <c r="D21" s="22" t="s">
        <v>392</v>
      </c>
      <c r="E21" s="22"/>
      <c r="F21" s="22"/>
      <c r="G21" s="22"/>
      <c r="H21" s="22"/>
      <c r="I21" s="22"/>
      <c r="J21" s="22"/>
      <c r="K21" s="22"/>
      <c r="L21" s="22"/>
      <c r="M21" s="22"/>
      <c r="N21" s="22"/>
    </row>
    <row r="23" customFormat="false" ht="21.75" hidden="false" customHeight="true" outlineLevel="0" collapsed="false">
      <c r="B23" s="4" t="s">
        <v>393</v>
      </c>
      <c r="C23" s="4"/>
      <c r="D23" s="4"/>
      <c r="E23" s="4"/>
      <c r="F23" s="4"/>
      <c r="G23" s="4"/>
      <c r="H23" s="4"/>
      <c r="I23" s="4"/>
      <c r="J23" s="4"/>
      <c r="K23" s="4"/>
      <c r="L23" s="4"/>
      <c r="M23" s="4"/>
      <c r="N23" s="4"/>
    </row>
    <row r="24" customFormat="false" ht="18.75" hidden="false" customHeight="true" outlineLevel="0" collapsed="false">
      <c r="B24" s="29" t="s">
        <v>394</v>
      </c>
      <c r="C24" s="29"/>
      <c r="D24" s="29"/>
      <c r="E24" s="29"/>
      <c r="F24" s="29"/>
      <c r="G24" s="29"/>
      <c r="H24" s="29"/>
      <c r="I24" s="29"/>
      <c r="J24" s="29"/>
      <c r="K24" s="29"/>
      <c r="L24" s="29"/>
      <c r="M24" s="29"/>
      <c r="N24" s="29"/>
    </row>
    <row r="25" customFormat="false" ht="31.5" hidden="false" customHeight="true" outlineLevel="0" collapsed="false">
      <c r="B25" s="5" t="s">
        <v>395</v>
      </c>
      <c r="C25" s="5"/>
      <c r="D25" s="5"/>
      <c r="E25" s="5"/>
      <c r="F25" s="5"/>
      <c r="G25" s="5"/>
      <c r="H25" s="5"/>
      <c r="I25" s="5"/>
      <c r="J25" s="5"/>
      <c r="K25" s="5"/>
      <c r="L25" s="5"/>
      <c r="M25" s="5"/>
      <c r="N25" s="5"/>
    </row>
    <row r="26" customFormat="false" ht="17.25" hidden="false" customHeight="true" outlineLevel="0" collapsed="false">
      <c r="B26" s="33" t="s">
        <v>396</v>
      </c>
      <c r="C26" s="33"/>
      <c r="D26" s="33"/>
      <c r="E26" s="33"/>
    </row>
    <row r="27" customFormat="false" ht="15" hidden="false" customHeight="false" outlineLevel="0" collapsed="false">
      <c r="B27" s="15"/>
      <c r="C27" s="34" t="s">
        <v>385</v>
      </c>
      <c r="D27" s="34" t="s">
        <v>386</v>
      </c>
      <c r="E27" s="34" t="s">
        <v>387</v>
      </c>
    </row>
    <row r="28" customFormat="false" ht="15" hidden="false" customHeight="false" outlineLevel="0" collapsed="false">
      <c r="B28" s="20"/>
      <c r="C28" s="25" t="n">
        <v>1000</v>
      </c>
      <c r="D28" s="25" t="n">
        <v>999</v>
      </c>
      <c r="E28" s="25" t="n">
        <v>998</v>
      </c>
    </row>
    <row r="30" customFormat="false" ht="17.25" hidden="false" customHeight="true" outlineLevel="0" collapsed="false">
      <c r="B30" s="10" t="s">
        <v>397</v>
      </c>
      <c r="C30" s="10"/>
      <c r="D30" s="10"/>
      <c r="E30" s="10"/>
      <c r="F30" s="10" t="s">
        <v>385</v>
      </c>
      <c r="G30" s="10"/>
      <c r="H30" s="10"/>
      <c r="I30" s="10" t="s">
        <v>386</v>
      </c>
      <c r="J30" s="10"/>
      <c r="K30" s="10"/>
      <c r="L30" s="10" t="s">
        <v>387</v>
      </c>
      <c r="M30" s="10"/>
      <c r="N30" s="10"/>
    </row>
    <row r="31" customFormat="false" ht="17.25" hidden="false" customHeight="true" outlineLevel="0" collapsed="false">
      <c r="B31" s="12" t="s">
        <v>398</v>
      </c>
      <c r="C31" s="12"/>
      <c r="D31" s="12"/>
      <c r="E31" s="12"/>
      <c r="F31" s="60" t="str">
        <f aca="false">IFERROR(EXP(C28)/(EXP(C28)+EXP(D28)+EXP(E28)),"overflow!")</f>
        <v>overflow!</v>
      </c>
      <c r="G31" s="60"/>
      <c r="H31" s="60"/>
      <c r="I31" s="60" t="str">
        <f aca="false">IFERROR(EXP(D28)/(EXP(C28)+EXP(D28)+EXP(E28)),"overflow!")</f>
        <v>overflow!</v>
      </c>
      <c r="J31" s="60"/>
      <c r="K31" s="60"/>
      <c r="L31" s="60" t="str">
        <f aca="false">IFERROR(EXP(E28)/(EXP(C28)+EXP(D28)+EXP(E28)),"overflow!")</f>
        <v>overflow!</v>
      </c>
      <c r="M31" s="60"/>
      <c r="N31" s="60"/>
    </row>
    <row r="32" customFormat="false" ht="17.25" hidden="false" customHeight="true" outlineLevel="0" collapsed="false">
      <c r="B32" s="15" t="s">
        <v>399</v>
      </c>
      <c r="C32" s="15"/>
      <c r="D32" s="15"/>
      <c r="E32" s="15"/>
      <c r="F32" s="61" t="n">
        <f aca="false">EXP(C28-MAX(C28:E28))/(EXP(C28-MAX(C28:E28))+EXP(D28-MAX(C28:E28))+EXP(E28-MAX(C28:E28)))</f>
        <v>0.665240955774822</v>
      </c>
      <c r="G32" s="61"/>
      <c r="H32" s="61"/>
      <c r="I32" s="61" t="n">
        <f aca="false">EXP(D28-MAX(C28:E28))/(EXP(C28-MAX(C28:E28))+EXP(D28-MAX(C28:E28))+EXP(E28-MAX(C28:E28)))</f>
        <v>0.244728471054798</v>
      </c>
      <c r="J32" s="61"/>
      <c r="K32" s="61"/>
      <c r="L32" s="61" t="n">
        <f aca="false">EXP(E28-MAX(C28:E28))/(EXP(C28-MAX(C28:E28))+EXP(D28-MAX(C28:E28))+EXP(E28-MAX(C28:E28)))</f>
        <v>0.0900305731703805</v>
      </c>
      <c r="M32" s="61"/>
      <c r="N32" s="61"/>
    </row>
    <row r="33" customFormat="false" ht="18.75" hidden="false" customHeight="true" outlineLevel="0" collapsed="false">
      <c r="B33" s="29" t="s">
        <v>400</v>
      </c>
      <c r="C33" s="29"/>
      <c r="D33" s="29"/>
      <c r="E33" s="29"/>
      <c r="F33" s="29"/>
      <c r="G33" s="29"/>
      <c r="H33" s="29"/>
      <c r="I33" s="29"/>
      <c r="J33" s="29"/>
      <c r="K33" s="29"/>
      <c r="L33" s="29"/>
      <c r="M33" s="29"/>
      <c r="N33" s="29"/>
    </row>
    <row r="34" customFormat="false" ht="17.25" hidden="false" customHeight="true" outlineLevel="0" collapsed="false">
      <c r="B34" s="10" t="s">
        <v>401</v>
      </c>
      <c r="C34" s="10"/>
      <c r="D34" s="10"/>
      <c r="E34" s="10"/>
      <c r="F34" s="10" t="s">
        <v>385</v>
      </c>
      <c r="G34" s="10"/>
      <c r="H34" s="10"/>
      <c r="I34" s="10" t="s">
        <v>386</v>
      </c>
      <c r="J34" s="10"/>
      <c r="K34" s="10"/>
      <c r="L34" s="10" t="s">
        <v>387</v>
      </c>
      <c r="M34" s="10"/>
      <c r="N34" s="10"/>
    </row>
    <row r="35" customFormat="false" ht="17.25" hidden="false" customHeight="true" outlineLevel="0" collapsed="false">
      <c r="B35" s="23" t="n">
        <v>0.5</v>
      </c>
      <c r="C35" s="23"/>
      <c r="D35" s="23"/>
      <c r="E35" s="23"/>
      <c r="F35" s="60" t="n">
        <f aca="false">EXP(C9/B35)/(EXP(C9/B35)+EXP(D9/B35)+EXP(E9/B35))</f>
        <v>0.863777118208007</v>
      </c>
      <c r="G35" s="60"/>
      <c r="H35" s="60"/>
      <c r="I35" s="60" t="n">
        <f aca="false">EXP(D9/B35)/(EXP(C9/B35)+EXP(D9/B35)+EXP(E9/B35))</f>
        <v>0.116899520945986</v>
      </c>
      <c r="J35" s="60"/>
      <c r="K35" s="60"/>
      <c r="L35" s="60" t="n">
        <f aca="false">EXP(E9/B35)/(EXP(C9/B35)+EXP(D9/B35)+EXP(E9/B35))</f>
        <v>0.0193233608460075</v>
      </c>
      <c r="M35" s="60"/>
      <c r="N35" s="60"/>
    </row>
    <row r="36" customFormat="false" ht="17.25" hidden="false" customHeight="true" outlineLevel="0" collapsed="false">
      <c r="B36" s="23" t="n">
        <v>1</v>
      </c>
      <c r="C36" s="23"/>
      <c r="D36" s="23"/>
      <c r="E36" s="23"/>
      <c r="F36" s="61" t="n">
        <f aca="false">EXP(C9/B36)/(EXP(C9/B36)+EXP(D9/B36)+EXP(E9/B36))</f>
        <v>0.659001138885968</v>
      </c>
      <c r="G36" s="61"/>
      <c r="H36" s="61"/>
      <c r="I36" s="61" t="n">
        <f aca="false">EXP(D9/B36)/(EXP(C9/B36)+EXP(D9/B36)+EXP(E9/B36))</f>
        <v>0.242432970704714</v>
      </c>
      <c r="J36" s="61"/>
      <c r="K36" s="61"/>
      <c r="L36" s="61" t="n">
        <f aca="false">EXP(E9/B36)/(EXP(C9/B36)+EXP(D9/B36)+EXP(E9/B36))</f>
        <v>0.0985658904093182</v>
      </c>
      <c r="M36" s="61"/>
      <c r="N36" s="61"/>
    </row>
    <row r="37" customFormat="false" ht="17.25" hidden="false" customHeight="true" outlineLevel="0" collapsed="false">
      <c r="B37" s="23" t="n">
        <v>2</v>
      </c>
      <c r="C37" s="23"/>
      <c r="D37" s="23"/>
      <c r="E37" s="23"/>
      <c r="F37" s="60" t="n">
        <f aca="false">EXP(C9/B37)/(EXP(C9/B37)+EXP(D9/B37)+EXP(E9/B37))</f>
        <v>0.501687757090437</v>
      </c>
      <c r="G37" s="60"/>
      <c r="H37" s="60"/>
      <c r="I37" s="60" t="n">
        <f aca="false">EXP(D9/B37)/(EXP(C9/B37)+EXP(D9/B37)+EXP(E9/B37))</f>
        <v>0.304289006277814</v>
      </c>
      <c r="J37" s="60"/>
      <c r="K37" s="60"/>
      <c r="L37" s="60" t="n">
        <f aca="false">EXP(E9/B37)/(EXP(C9/B37)+EXP(D9/B37)+EXP(E9/B37))</f>
        <v>0.194023236631749</v>
      </c>
      <c r="M37" s="60"/>
      <c r="N37" s="60"/>
    </row>
    <row r="38" customFormat="false" ht="17.25" hidden="false" customHeight="true" outlineLevel="0" collapsed="false">
      <c r="B38" s="23" t="n">
        <v>10</v>
      </c>
      <c r="C38" s="23"/>
      <c r="D38" s="23"/>
      <c r="E38" s="23"/>
      <c r="F38" s="61" t="n">
        <f aca="false">EXP(C9/B38)/(EXP(C9/B38)+EXP(D9/B38)+EXP(E9/B38))</f>
        <v>0.366059470744793</v>
      </c>
      <c r="G38" s="61"/>
      <c r="H38" s="61"/>
      <c r="I38" s="61" t="n">
        <f aca="false">EXP(D9/B38)/(EXP(C9/B38)+EXP(D9/B38)+EXP(E9/B38))</f>
        <v>0.331224306356328</v>
      </c>
      <c r="J38" s="61"/>
      <c r="K38" s="61"/>
      <c r="L38" s="61" t="n">
        <f aca="false">EXP(E9/B38)/(EXP(C9/B38)+EXP(D9/B38)+EXP(E9/B38))</f>
        <v>0.302716222898879</v>
      </c>
      <c r="M38" s="61"/>
      <c r="N38" s="61"/>
    </row>
    <row r="39" customFormat="false" ht="17.25" hidden="false" customHeight="true" outlineLevel="0" collapsed="false">
      <c r="B39" s="5" t="s">
        <v>402</v>
      </c>
      <c r="C39" s="5"/>
      <c r="D39" s="5"/>
      <c r="E39" s="5"/>
      <c r="F39" s="5"/>
      <c r="G39" s="5"/>
      <c r="H39" s="5"/>
      <c r="I39" s="5"/>
      <c r="J39" s="5"/>
      <c r="K39" s="5"/>
      <c r="L39" s="5"/>
      <c r="M39" s="5"/>
      <c r="N39" s="5"/>
    </row>
    <row r="40" customFormat="false" ht="18.75" hidden="false" customHeight="true" outlineLevel="0" collapsed="false">
      <c r="B40" s="29" t="s">
        <v>403</v>
      </c>
      <c r="C40" s="29"/>
      <c r="D40" s="29"/>
      <c r="E40" s="29"/>
      <c r="F40" s="29"/>
      <c r="G40" s="29"/>
      <c r="H40" s="29"/>
      <c r="I40" s="29"/>
      <c r="J40" s="29"/>
      <c r="K40" s="29"/>
      <c r="L40" s="29"/>
      <c r="M40" s="29"/>
      <c r="N40" s="29"/>
    </row>
    <row r="41" customFormat="false" ht="15.75" hidden="false" customHeight="true" outlineLevel="0" collapsed="false">
      <c r="B41" s="20" t="s">
        <v>404</v>
      </c>
      <c r="C41" s="21" t="n">
        <v>2</v>
      </c>
    </row>
    <row r="42" customFormat="false" ht="15.75" hidden="false" customHeight="true" outlineLevel="0" collapsed="false">
      <c r="B42" s="20" t="s">
        <v>405</v>
      </c>
      <c r="C42" s="21" t="n">
        <v>0.5</v>
      </c>
    </row>
    <row r="43" customFormat="false" ht="15.75" hidden="false" customHeight="true" outlineLevel="0" collapsed="false">
      <c r="B43" s="20" t="s">
        <v>406</v>
      </c>
      <c r="C43" s="62" t="n">
        <f aca="false">EXP(C41)/(EXP(C41)+EXP(C42))</f>
        <v>0.817574476193644</v>
      </c>
    </row>
    <row r="44" customFormat="false" ht="17.25" hidden="false" customHeight="true" outlineLevel="0" collapsed="false">
      <c r="B44" s="20" t="s">
        <v>407</v>
      </c>
      <c r="C44" s="63" t="n">
        <f aca="false">1/(1+EXP(-(C41-C42)))</f>
        <v>0.817574476193644</v>
      </c>
      <c r="D44" s="22" t="s">
        <v>408</v>
      </c>
      <c r="E44" s="22"/>
      <c r="F44" s="22"/>
      <c r="G44" s="22"/>
      <c r="H44" s="22"/>
      <c r="I44" s="22"/>
      <c r="J44" s="22"/>
      <c r="K44" s="22"/>
      <c r="L44" s="22"/>
      <c r="M44" s="22"/>
      <c r="N44" s="22"/>
    </row>
    <row r="45" customFormat="false" ht="18.75" hidden="false" customHeight="true" outlineLevel="0" collapsed="false">
      <c r="B45" s="29" t="s">
        <v>119</v>
      </c>
      <c r="C45" s="29"/>
      <c r="D45" s="29"/>
      <c r="E45" s="29"/>
      <c r="F45" s="29"/>
      <c r="G45" s="29"/>
      <c r="H45" s="29"/>
      <c r="I45" s="29"/>
      <c r="J45" s="29"/>
      <c r="K45" s="29"/>
      <c r="L45" s="29"/>
      <c r="M45" s="29"/>
      <c r="N45" s="29"/>
    </row>
    <row r="46" customFormat="false" ht="17.25" hidden="false" customHeight="true" outlineLevel="0" collapsed="false">
      <c r="B46" s="30" t="s">
        <v>409</v>
      </c>
      <c r="C46" s="30"/>
      <c r="D46" s="30"/>
      <c r="E46" s="30"/>
      <c r="F46" s="30"/>
      <c r="G46" s="30"/>
      <c r="H46" s="30"/>
      <c r="I46" s="30"/>
      <c r="J46" s="30"/>
      <c r="K46" s="30"/>
      <c r="L46" s="30"/>
      <c r="M46" s="30"/>
      <c r="N46" s="30"/>
    </row>
    <row r="47" customFormat="false" ht="17.25" hidden="false" customHeight="true" outlineLevel="0" collapsed="false">
      <c r="B47" s="31" t="s">
        <v>410</v>
      </c>
      <c r="C47" s="31"/>
      <c r="D47" s="31"/>
      <c r="E47" s="31"/>
      <c r="F47" s="31"/>
      <c r="G47" s="31"/>
      <c r="H47" s="31"/>
      <c r="I47" s="31"/>
      <c r="J47" s="31"/>
      <c r="K47" s="31"/>
      <c r="L47" s="31"/>
      <c r="M47" s="31"/>
      <c r="N47" s="31"/>
    </row>
    <row r="48" customFormat="false" ht="17.25" hidden="false" customHeight="true" outlineLevel="0" collapsed="false">
      <c r="B48" s="30" t="s">
        <v>411</v>
      </c>
      <c r="C48" s="30"/>
      <c r="D48" s="30"/>
      <c r="E48" s="30"/>
      <c r="F48" s="30"/>
      <c r="G48" s="30"/>
      <c r="H48" s="30"/>
      <c r="I48" s="30"/>
      <c r="J48" s="30"/>
      <c r="K48" s="30"/>
      <c r="L48" s="30"/>
      <c r="M48" s="30"/>
      <c r="N48" s="30"/>
    </row>
    <row r="49" customFormat="false" ht="17.25" hidden="false" customHeight="true" outlineLevel="0" collapsed="false">
      <c r="B49" s="31" t="s">
        <v>412</v>
      </c>
      <c r="C49" s="31"/>
      <c r="D49" s="31"/>
      <c r="E49" s="31"/>
      <c r="F49" s="31"/>
      <c r="G49" s="31"/>
      <c r="H49" s="31"/>
      <c r="I49" s="31"/>
      <c r="J49" s="31"/>
      <c r="K49" s="31"/>
      <c r="L49" s="31"/>
      <c r="M49" s="31"/>
      <c r="N49" s="31"/>
    </row>
  </sheetData>
  <mergeCells count="57">
    <mergeCell ref="B1:N1"/>
    <mergeCell ref="B2:N2"/>
    <mergeCell ref="B4:N4"/>
    <mergeCell ref="B5:N5"/>
    <mergeCell ref="B6:N6"/>
    <mergeCell ref="B7:E7"/>
    <mergeCell ref="B10:E10"/>
    <mergeCell ref="B14:E14"/>
    <mergeCell ref="C18:N18"/>
    <mergeCell ref="C19:N19"/>
    <mergeCell ref="C20:N20"/>
    <mergeCell ref="D21:N21"/>
    <mergeCell ref="B23:N23"/>
    <mergeCell ref="B24:N24"/>
    <mergeCell ref="B25:N25"/>
    <mergeCell ref="B26:E26"/>
    <mergeCell ref="B30:E30"/>
    <mergeCell ref="F30:H30"/>
    <mergeCell ref="I30:K30"/>
    <mergeCell ref="L30:N30"/>
    <mergeCell ref="B31:E31"/>
    <mergeCell ref="F31:H31"/>
    <mergeCell ref="I31:K31"/>
    <mergeCell ref="L31:N31"/>
    <mergeCell ref="B32:E32"/>
    <mergeCell ref="F32:H32"/>
    <mergeCell ref="I32:K32"/>
    <mergeCell ref="L32:N32"/>
    <mergeCell ref="B33:N33"/>
    <mergeCell ref="B34:E34"/>
    <mergeCell ref="F34:H34"/>
    <mergeCell ref="I34:K34"/>
    <mergeCell ref="L34:N34"/>
    <mergeCell ref="B35:E35"/>
    <mergeCell ref="F35:H35"/>
    <mergeCell ref="I35:K35"/>
    <mergeCell ref="L35:N35"/>
    <mergeCell ref="B36:E36"/>
    <mergeCell ref="F36:H36"/>
    <mergeCell ref="I36:K36"/>
    <mergeCell ref="L36:N36"/>
    <mergeCell ref="B37:E37"/>
    <mergeCell ref="F37:H37"/>
    <mergeCell ref="I37:K37"/>
    <mergeCell ref="L37:N37"/>
    <mergeCell ref="B38:E38"/>
    <mergeCell ref="F38:H38"/>
    <mergeCell ref="I38:K38"/>
    <mergeCell ref="L38:N38"/>
    <mergeCell ref="B39:N39"/>
    <mergeCell ref="B40:N40"/>
    <mergeCell ref="D44:N44"/>
    <mergeCell ref="B45:N45"/>
    <mergeCell ref="B46:N46"/>
    <mergeCell ref="B47:N47"/>
    <mergeCell ref="B48:N48"/>
    <mergeCell ref="B49:N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413</v>
      </c>
      <c r="C1" s="1"/>
      <c r="D1" s="1"/>
      <c r="E1" s="1"/>
      <c r="F1" s="1"/>
      <c r="G1" s="1"/>
      <c r="H1" s="1"/>
      <c r="I1" s="1"/>
      <c r="J1" s="1"/>
      <c r="K1" s="1"/>
      <c r="L1" s="1"/>
      <c r="M1" s="1"/>
      <c r="N1" s="1"/>
    </row>
    <row r="2" customFormat="false" ht="17.25" hidden="false" customHeight="true" outlineLevel="0" collapsed="false">
      <c r="B2" s="2" t="s">
        <v>414</v>
      </c>
      <c r="C2" s="2"/>
      <c r="D2" s="2"/>
      <c r="E2" s="2"/>
      <c r="F2" s="2"/>
      <c r="G2" s="2"/>
      <c r="H2" s="2"/>
      <c r="I2" s="2"/>
      <c r="J2" s="2"/>
      <c r="K2" s="2"/>
      <c r="L2" s="2"/>
      <c r="M2" s="2"/>
      <c r="N2" s="2"/>
    </row>
    <row r="4" customFormat="false" ht="34.5" hidden="false" customHeight="true" outlineLevel="0" collapsed="false">
      <c r="B4" s="3" t="s">
        <v>415</v>
      </c>
      <c r="C4" s="3"/>
      <c r="D4" s="3"/>
      <c r="E4" s="3"/>
      <c r="F4" s="3"/>
      <c r="G4" s="3"/>
      <c r="H4" s="3"/>
      <c r="I4" s="3"/>
      <c r="J4" s="3"/>
      <c r="K4" s="3"/>
      <c r="L4" s="3"/>
      <c r="M4" s="3"/>
      <c r="N4" s="3"/>
    </row>
    <row r="5" customFormat="false" ht="21.75" hidden="false" customHeight="true" outlineLevel="0" collapsed="false">
      <c r="B5" s="4" t="s">
        <v>416</v>
      </c>
      <c r="C5" s="4"/>
      <c r="D5" s="4"/>
      <c r="E5" s="4"/>
      <c r="F5" s="4"/>
      <c r="G5" s="4"/>
      <c r="H5" s="4"/>
      <c r="I5" s="4"/>
      <c r="J5" s="4"/>
      <c r="K5" s="4"/>
      <c r="L5" s="4"/>
      <c r="M5" s="4"/>
      <c r="N5" s="4"/>
    </row>
    <row r="6" customFormat="false" ht="31.5" hidden="false" customHeight="true" outlineLevel="0" collapsed="false">
      <c r="B6" s="5" t="s">
        <v>417</v>
      </c>
      <c r="C6" s="5"/>
      <c r="D6" s="5"/>
      <c r="E6" s="5"/>
      <c r="F6" s="5"/>
      <c r="G6" s="5"/>
      <c r="H6" s="5"/>
      <c r="I6" s="5"/>
      <c r="J6" s="5"/>
      <c r="K6" s="5"/>
      <c r="L6" s="5"/>
      <c r="M6" s="5"/>
      <c r="N6" s="5"/>
    </row>
    <row r="7" customFormat="false" ht="15.75" hidden="false" customHeight="true" outlineLevel="0" collapsed="false">
      <c r="B7" s="20" t="s">
        <v>418</v>
      </c>
      <c r="C7" s="21" t="n">
        <v>1</v>
      </c>
    </row>
    <row r="8" customFormat="false" ht="15.75" hidden="false" customHeight="true" outlineLevel="0" collapsed="false">
      <c r="B8" s="20" t="s">
        <v>419</v>
      </c>
      <c r="C8" s="21" t="n">
        <v>1</v>
      </c>
    </row>
    <row r="9" customFormat="false" ht="15.75" hidden="false" customHeight="true" outlineLevel="0" collapsed="false">
      <c r="B9" s="20" t="s">
        <v>245</v>
      </c>
      <c r="C9" s="21" t="n">
        <v>-0.5</v>
      </c>
    </row>
    <row r="10" customFormat="false" ht="17.25" hidden="false" customHeight="true" outlineLevel="0" collapsed="false">
      <c r="B10" s="10" t="s">
        <v>274</v>
      </c>
      <c r="C10" s="10" t="s">
        <v>275</v>
      </c>
      <c r="D10" s="10" t="s">
        <v>420</v>
      </c>
      <c r="E10" s="10"/>
      <c r="F10" s="10" t="s">
        <v>421</v>
      </c>
      <c r="G10" s="10"/>
      <c r="H10" s="10"/>
      <c r="I10" s="10" t="s">
        <v>422</v>
      </c>
      <c r="J10" s="10"/>
      <c r="K10" s="10" t="s">
        <v>423</v>
      </c>
      <c r="L10" s="10"/>
    </row>
    <row r="11" customFormat="false" ht="17.25" hidden="false" customHeight="true" outlineLevel="0" collapsed="false">
      <c r="B11" s="12" t="n">
        <v>0</v>
      </c>
      <c r="C11" s="12" t="n">
        <v>0</v>
      </c>
      <c r="D11" s="64" t="n">
        <v>0</v>
      </c>
      <c r="E11" s="64"/>
      <c r="F11" s="37" t="n">
        <f aca="false">C7*B11+C8*C11+C9</f>
        <v>-0.5</v>
      </c>
      <c r="G11" s="37"/>
      <c r="H11" s="37"/>
      <c r="I11" s="13" t="n">
        <f aca="false">IF(F11&gt;0,1,0)</f>
        <v>0</v>
      </c>
      <c r="J11" s="13"/>
      <c r="K11" s="13" t="str">
        <f aca="false">IF(I11=D11,"✔","✘")</f>
        <v>✔</v>
      </c>
      <c r="L11" s="13"/>
    </row>
    <row r="12" customFormat="false" ht="17.25" hidden="false" customHeight="true" outlineLevel="0" collapsed="false">
      <c r="B12" s="15" t="n">
        <v>0</v>
      </c>
      <c r="C12" s="15" t="n">
        <v>1</v>
      </c>
      <c r="D12" s="34" t="n">
        <v>1</v>
      </c>
      <c r="E12" s="34"/>
      <c r="F12" s="40" t="n">
        <f aca="false">C7*B12+C8*C12+C9</f>
        <v>0.5</v>
      </c>
      <c r="G12" s="40"/>
      <c r="H12" s="40"/>
      <c r="I12" s="16" t="n">
        <f aca="false">IF(F12&gt;0,1,0)</f>
        <v>1</v>
      </c>
      <c r="J12" s="16"/>
      <c r="K12" s="16" t="str">
        <f aca="false">IF(I12=D12,"✔","✘")</f>
        <v>✔</v>
      </c>
      <c r="L12" s="16"/>
    </row>
    <row r="13" customFormat="false" ht="17.25" hidden="false" customHeight="true" outlineLevel="0" collapsed="false">
      <c r="B13" s="12" t="n">
        <v>1</v>
      </c>
      <c r="C13" s="12" t="n">
        <v>0</v>
      </c>
      <c r="D13" s="64" t="n">
        <v>1</v>
      </c>
      <c r="E13" s="64"/>
      <c r="F13" s="37" t="n">
        <f aca="false">C7*B13+C8*C13+C9</f>
        <v>0.5</v>
      </c>
      <c r="G13" s="37"/>
      <c r="H13" s="37"/>
      <c r="I13" s="13" t="n">
        <f aca="false">IF(F13&gt;0,1,0)</f>
        <v>1</v>
      </c>
      <c r="J13" s="13"/>
      <c r="K13" s="13" t="str">
        <f aca="false">IF(I13=D13,"✔","✘")</f>
        <v>✔</v>
      </c>
      <c r="L13" s="13"/>
    </row>
    <row r="14" customFormat="false" ht="17.25" hidden="false" customHeight="true" outlineLevel="0" collapsed="false">
      <c r="B14" s="15" t="n">
        <v>1</v>
      </c>
      <c r="C14" s="15" t="n">
        <v>1</v>
      </c>
      <c r="D14" s="34" t="n">
        <v>0</v>
      </c>
      <c r="E14" s="34"/>
      <c r="F14" s="40" t="n">
        <f aca="false">C7*B14+C8*C14+C9</f>
        <v>1.5</v>
      </c>
      <c r="G14" s="40"/>
      <c r="H14" s="40"/>
      <c r="I14" s="16" t="n">
        <f aca="false">IF(F14&gt;0,1,0)</f>
        <v>1</v>
      </c>
      <c r="J14" s="16"/>
      <c r="K14" s="16" t="str">
        <f aca="false">IF(I14=D14,"✔","✘")</f>
        <v>✘</v>
      </c>
      <c r="L14" s="16"/>
    </row>
    <row r="15" customFormat="false" ht="17.25" hidden="false" customHeight="true" outlineLevel="0" collapsed="false">
      <c r="B15" s="20" t="s">
        <v>424</v>
      </c>
      <c r="C15" s="46" t="str">
        <f aca="false">COUNTIF(K11:K14,"✔")&amp;" / 4"</f>
        <v>3 / 4</v>
      </c>
      <c r="D15" s="22" t="s">
        <v>425</v>
      </c>
      <c r="E15" s="22"/>
      <c r="F15" s="22"/>
      <c r="G15" s="22"/>
      <c r="H15" s="22"/>
      <c r="I15" s="22"/>
      <c r="J15" s="22"/>
      <c r="K15" s="22"/>
      <c r="L15" s="22"/>
      <c r="M15" s="22"/>
      <c r="N15" s="22"/>
    </row>
    <row r="17" customFormat="false" ht="21.75" hidden="false" customHeight="true" outlineLevel="0" collapsed="false">
      <c r="B17" s="4" t="s">
        <v>426</v>
      </c>
      <c r="C17" s="4"/>
      <c r="D17" s="4"/>
      <c r="E17" s="4"/>
      <c r="F17" s="4"/>
      <c r="G17" s="4"/>
      <c r="H17" s="4"/>
      <c r="I17" s="4"/>
      <c r="J17" s="4"/>
      <c r="K17" s="4"/>
      <c r="L17" s="4"/>
      <c r="M17" s="4"/>
      <c r="N17" s="4"/>
    </row>
    <row r="18" customFormat="false" ht="20.25" hidden="false" customHeight="true" outlineLevel="0" collapsed="false">
      <c r="B18" s="32" t="s">
        <v>427</v>
      </c>
      <c r="C18" s="32"/>
      <c r="D18" s="32"/>
      <c r="E18" s="32"/>
      <c r="F18" s="32"/>
      <c r="G18" s="32"/>
      <c r="H18" s="32"/>
      <c r="I18" s="32"/>
      <c r="J18" s="32"/>
      <c r="K18" s="32"/>
      <c r="L18" s="32"/>
      <c r="M18" s="32"/>
      <c r="N18" s="32"/>
    </row>
    <row r="19" customFormat="false" ht="31.5" hidden="false" customHeight="true" outlineLevel="0" collapsed="false">
      <c r="B19" s="5" t="s">
        <v>428</v>
      </c>
      <c r="C19" s="5"/>
      <c r="D19" s="5"/>
      <c r="E19" s="5"/>
      <c r="F19" s="5"/>
      <c r="G19" s="5"/>
      <c r="H19" s="5"/>
      <c r="I19" s="5"/>
      <c r="J19" s="5"/>
      <c r="K19" s="5"/>
      <c r="L19" s="5"/>
      <c r="M19" s="5"/>
      <c r="N19" s="5"/>
    </row>
    <row r="20" customFormat="false" ht="17.25" hidden="false" customHeight="true" outlineLevel="0" collapsed="false">
      <c r="B20" s="33" t="s">
        <v>429</v>
      </c>
      <c r="C20" s="33"/>
      <c r="D20" s="33"/>
      <c r="F20" s="33" t="s">
        <v>430</v>
      </c>
      <c r="G20" s="33"/>
      <c r="H20" s="33"/>
      <c r="J20" s="33" t="s">
        <v>431</v>
      </c>
      <c r="K20" s="33"/>
    </row>
    <row r="21" customFormat="false" ht="15" hidden="false" customHeight="false" outlineLevel="0" collapsed="false">
      <c r="B21" s="15"/>
      <c r="C21" s="34" t="s">
        <v>432</v>
      </c>
      <c r="D21" s="34" t="s">
        <v>433</v>
      </c>
      <c r="F21" s="15"/>
      <c r="G21" s="34" t="s">
        <v>432</v>
      </c>
      <c r="H21" s="34" t="s">
        <v>433</v>
      </c>
      <c r="J21" s="15"/>
      <c r="K21" s="34" t="s">
        <v>147</v>
      </c>
    </row>
    <row r="22" customFormat="false" ht="15" hidden="false" customHeight="false" outlineLevel="0" collapsed="false">
      <c r="B22" s="20" t="s">
        <v>274</v>
      </c>
      <c r="C22" s="21" t="n">
        <v>1</v>
      </c>
      <c r="D22" s="21" t="n">
        <v>1</v>
      </c>
      <c r="F22" s="20"/>
      <c r="G22" s="21" t="n">
        <v>0</v>
      </c>
      <c r="H22" s="21" t="n">
        <v>-1</v>
      </c>
      <c r="J22" s="20" t="s">
        <v>432</v>
      </c>
      <c r="K22" s="21" t="n">
        <v>1</v>
      </c>
    </row>
    <row r="23" customFormat="false" ht="15" hidden="false" customHeight="false" outlineLevel="0" collapsed="false">
      <c r="B23" s="20" t="s">
        <v>275</v>
      </c>
      <c r="C23" s="21" t="n">
        <v>1</v>
      </c>
      <c r="D23" s="21" t="n">
        <v>1</v>
      </c>
      <c r="J23" s="20" t="s">
        <v>433</v>
      </c>
      <c r="K23" s="21" t="n">
        <v>-2</v>
      </c>
    </row>
    <row r="25" customFormat="false" ht="17.25" hidden="false" customHeight="true" outlineLevel="0" collapsed="false">
      <c r="B25" s="10" t="s">
        <v>274</v>
      </c>
      <c r="C25" s="10" t="s">
        <v>275</v>
      </c>
      <c r="D25" s="10" t="s">
        <v>434</v>
      </c>
      <c r="E25" s="10"/>
      <c r="F25" s="10" t="s">
        <v>435</v>
      </c>
      <c r="G25" s="10" t="s">
        <v>436</v>
      </c>
      <c r="H25" s="10"/>
      <c r="I25" s="10" t="s">
        <v>437</v>
      </c>
      <c r="J25" s="10" t="s">
        <v>438</v>
      </c>
      <c r="K25" s="10"/>
      <c r="L25" s="10"/>
      <c r="M25" s="10" t="s">
        <v>439</v>
      </c>
      <c r="N25" s="10"/>
    </row>
    <row r="26" customFormat="false" ht="17.25" hidden="false" customHeight="true" outlineLevel="0" collapsed="false">
      <c r="B26" s="65" t="n">
        <v>0</v>
      </c>
      <c r="C26" s="65" t="n">
        <v>0</v>
      </c>
      <c r="D26" s="65" t="n">
        <f aca="false">B26*C22+C26*C23+G22</f>
        <v>0</v>
      </c>
      <c r="E26" s="65"/>
      <c r="F26" s="65" t="n">
        <f aca="false">MAX(0,D26)</f>
        <v>0</v>
      </c>
      <c r="G26" s="65" t="n">
        <f aca="false">B26*D22+C26*D23+H22</f>
        <v>-1</v>
      </c>
      <c r="H26" s="65"/>
      <c r="I26" s="65" t="n">
        <f aca="false">MAX(0,G26)</f>
        <v>0</v>
      </c>
      <c r="J26" s="51" t="n">
        <f aca="false">F26*K22+I26*K23</f>
        <v>0</v>
      </c>
      <c r="K26" s="51"/>
      <c r="L26" s="51"/>
      <c r="M26" s="65" t="n">
        <v>0</v>
      </c>
      <c r="N26" s="65"/>
    </row>
    <row r="27" customFormat="false" ht="17.25" hidden="false" customHeight="true" outlineLevel="0" collapsed="false">
      <c r="B27" s="66" t="n">
        <v>0</v>
      </c>
      <c r="C27" s="66" t="n">
        <v>1</v>
      </c>
      <c r="D27" s="66" t="n">
        <f aca="false">B27*C22+C27*C23+G22</f>
        <v>1</v>
      </c>
      <c r="E27" s="66"/>
      <c r="F27" s="66" t="n">
        <f aca="false">MAX(0,D27)</f>
        <v>1</v>
      </c>
      <c r="G27" s="66" t="n">
        <f aca="false">B27*D22+C27*D23+H22</f>
        <v>0</v>
      </c>
      <c r="H27" s="66"/>
      <c r="I27" s="66" t="n">
        <f aca="false">MAX(0,G27)</f>
        <v>0</v>
      </c>
      <c r="J27" s="51" t="n">
        <f aca="false">F27*K22+I27*K23</f>
        <v>1</v>
      </c>
      <c r="K27" s="51"/>
      <c r="L27" s="51"/>
      <c r="M27" s="66" t="n">
        <v>1</v>
      </c>
      <c r="N27" s="66"/>
    </row>
    <row r="28" customFormat="false" ht="17.25" hidden="false" customHeight="true" outlineLevel="0" collapsed="false">
      <c r="B28" s="65" t="n">
        <v>1</v>
      </c>
      <c r="C28" s="65" t="n">
        <v>0</v>
      </c>
      <c r="D28" s="65" t="n">
        <f aca="false">B28*C22+C28*C23+G22</f>
        <v>1</v>
      </c>
      <c r="E28" s="65"/>
      <c r="F28" s="65" t="n">
        <f aca="false">MAX(0,D28)</f>
        <v>1</v>
      </c>
      <c r="G28" s="65" t="n">
        <f aca="false">B28*D22+C28*D23+H22</f>
        <v>0</v>
      </c>
      <c r="H28" s="65"/>
      <c r="I28" s="65" t="n">
        <f aca="false">MAX(0,G28)</f>
        <v>0</v>
      </c>
      <c r="J28" s="51" t="n">
        <f aca="false">F28*K22+I28*K23</f>
        <v>1</v>
      </c>
      <c r="K28" s="51"/>
      <c r="L28" s="51"/>
      <c r="M28" s="65" t="n">
        <v>1</v>
      </c>
      <c r="N28" s="65"/>
    </row>
    <row r="29" customFormat="false" ht="17.25" hidden="false" customHeight="true" outlineLevel="0" collapsed="false">
      <c r="B29" s="66" t="n">
        <v>1</v>
      </c>
      <c r="C29" s="66" t="n">
        <v>1</v>
      </c>
      <c r="D29" s="66" t="n">
        <f aca="false">B29*C22+C29*C23+G22</f>
        <v>2</v>
      </c>
      <c r="E29" s="66"/>
      <c r="F29" s="66" t="n">
        <f aca="false">MAX(0,D29)</f>
        <v>2</v>
      </c>
      <c r="G29" s="66" t="n">
        <f aca="false">B29*D22+C29*D23+H22</f>
        <v>1</v>
      </c>
      <c r="H29" s="66"/>
      <c r="I29" s="66" t="n">
        <f aca="false">MAX(0,G29)</f>
        <v>1</v>
      </c>
      <c r="J29" s="51" t="n">
        <f aca="false">F29*K22+I29*K23</f>
        <v>0</v>
      </c>
      <c r="K29" s="51"/>
      <c r="L29" s="51"/>
      <c r="M29" s="66" t="n">
        <v>0</v>
      </c>
      <c r="N29" s="66"/>
    </row>
    <row r="30" customFormat="false" ht="15.75" hidden="false" customHeight="true" outlineLevel="0" collapsed="false">
      <c r="B30" s="9" t="s">
        <v>440</v>
      </c>
      <c r="C30" s="28" t="str">
        <f aca="false">"z₁ = 1+1+0 = "&amp;D29&amp;" → h₁ = "&amp;F29&amp;";  z₂ = 1+1−1 = "&amp;G29&amp;" → h₂ = "&amp;I29&amp;";  y = "&amp;F29&amp;" − 2×"&amp;I29&amp;" = "&amp;J29</f>
        <v>z₁ = 1+1+0 = 2 → h₁ = 2;  z₂ = 1+1−1 = 1 → h₂ = 1;  y = 2 − 2×1 = 0</v>
      </c>
      <c r="D30" s="28"/>
      <c r="E30" s="28"/>
      <c r="F30" s="28"/>
      <c r="G30" s="28"/>
      <c r="H30" s="28"/>
      <c r="I30" s="28"/>
      <c r="J30" s="28"/>
      <c r="K30" s="28"/>
      <c r="L30" s="28"/>
      <c r="M30" s="28"/>
      <c r="N30" s="28"/>
    </row>
    <row r="31" customFormat="false" ht="15.75" hidden="false" customHeight="true" outlineLevel="0" collapsed="false">
      <c r="B31" s="9" t="s">
        <v>441</v>
      </c>
      <c r="C31" s="28" t="str">
        <f aca="false">"z₁ = 0+1+0 = "&amp;D27&amp;" → h₁ = "&amp;F27&amp;";  z₂ = 0+1−1 = "&amp;G27&amp;" → h₂ = "&amp;I27&amp;";  y = "&amp;J27</f>
        <v>z₁ = 0+1+0 = 1 → h₁ = 1;  z₂ = 0+1−1 = 0 → h₂ = 0;  y = 1</v>
      </c>
      <c r="D31" s="28"/>
      <c r="E31" s="28"/>
      <c r="F31" s="28"/>
      <c r="G31" s="28"/>
      <c r="H31" s="28"/>
      <c r="I31" s="28"/>
      <c r="J31" s="28"/>
      <c r="K31" s="28"/>
      <c r="L31" s="28"/>
      <c r="M31" s="28"/>
      <c r="N31" s="28"/>
    </row>
    <row r="32" customFormat="false" ht="15.75" hidden="false" customHeight="true" outlineLevel="0" collapsed="false">
      <c r="B32" s="20" t="s">
        <v>442</v>
      </c>
      <c r="C32" s="46" t="str">
        <f aca="false">IF(AND(J26=M26,J27=M27,J28=M28,J29=M29),"✔ 4 / 4 — XOR solved","✘")</f>
        <v>✔ 4 / 4 — XOR solved</v>
      </c>
    </row>
    <row r="33" customFormat="false" ht="31.5" hidden="false" customHeight="true" outlineLevel="0" collapsed="false">
      <c r="B33" s="30" t="s">
        <v>443</v>
      </c>
      <c r="C33" s="30"/>
      <c r="D33" s="30"/>
      <c r="E33" s="30"/>
      <c r="F33" s="30"/>
      <c r="G33" s="30"/>
      <c r="H33" s="30"/>
      <c r="I33" s="30"/>
      <c r="J33" s="30"/>
      <c r="K33" s="30"/>
      <c r="L33" s="30"/>
      <c r="M33" s="30"/>
      <c r="N33" s="30"/>
    </row>
    <row r="34" customFormat="false" ht="18.75" hidden="false" customHeight="true" outlineLevel="0" collapsed="false">
      <c r="B34" s="29" t="s">
        <v>119</v>
      </c>
      <c r="C34" s="29"/>
      <c r="D34" s="29"/>
      <c r="E34" s="29"/>
      <c r="F34" s="29"/>
      <c r="G34" s="29"/>
      <c r="H34" s="29"/>
      <c r="I34" s="29"/>
      <c r="J34" s="29"/>
      <c r="K34" s="29"/>
      <c r="L34" s="29"/>
      <c r="M34" s="29"/>
      <c r="N34" s="29"/>
    </row>
    <row r="35" customFormat="false" ht="17.25" hidden="false" customHeight="true" outlineLevel="0" collapsed="false">
      <c r="B35" s="30" t="s">
        <v>444</v>
      </c>
      <c r="C35" s="30"/>
      <c r="D35" s="30"/>
      <c r="E35" s="30"/>
      <c r="F35" s="30"/>
      <c r="G35" s="30"/>
      <c r="H35" s="30"/>
      <c r="I35" s="30"/>
      <c r="J35" s="30"/>
      <c r="K35" s="30"/>
      <c r="L35" s="30"/>
      <c r="M35" s="30"/>
      <c r="N35" s="30"/>
    </row>
    <row r="36" customFormat="false" ht="17.25" hidden="false" customHeight="true" outlineLevel="0" collapsed="false">
      <c r="B36" s="31" t="s">
        <v>445</v>
      </c>
      <c r="C36" s="31"/>
      <c r="D36" s="31"/>
      <c r="E36" s="31"/>
      <c r="F36" s="31"/>
      <c r="G36" s="31"/>
      <c r="H36" s="31"/>
      <c r="I36" s="31"/>
      <c r="J36" s="31"/>
      <c r="K36" s="31"/>
      <c r="L36" s="31"/>
      <c r="M36" s="31"/>
      <c r="N36" s="31"/>
    </row>
    <row r="37" customFormat="false" ht="17.25" hidden="false" customHeight="true" outlineLevel="0" collapsed="false">
      <c r="B37" s="30" t="s">
        <v>446</v>
      </c>
      <c r="C37" s="30"/>
      <c r="D37" s="30"/>
      <c r="E37" s="30"/>
      <c r="F37" s="30"/>
      <c r="G37" s="30"/>
      <c r="H37" s="30"/>
      <c r="I37" s="30"/>
      <c r="J37" s="30"/>
      <c r="K37" s="30"/>
      <c r="L37" s="30"/>
      <c r="M37" s="30"/>
      <c r="N37" s="30"/>
    </row>
    <row r="38" customFormat="false" ht="17.25" hidden="false" customHeight="true" outlineLevel="0" collapsed="false">
      <c r="B38" s="31" t="s">
        <v>447</v>
      </c>
      <c r="C38" s="31"/>
      <c r="D38" s="31"/>
      <c r="E38" s="31"/>
      <c r="F38" s="31"/>
      <c r="G38" s="31"/>
      <c r="H38" s="31"/>
      <c r="I38" s="31"/>
      <c r="J38" s="31"/>
      <c r="K38" s="31"/>
      <c r="L38" s="31"/>
      <c r="M38" s="31"/>
      <c r="N38" s="31"/>
    </row>
  </sheetData>
  <mergeCells count="60">
    <mergeCell ref="B1:N1"/>
    <mergeCell ref="B2:N2"/>
    <mergeCell ref="B4:N4"/>
    <mergeCell ref="B5:N5"/>
    <mergeCell ref="B6:N6"/>
    <mergeCell ref="D10:E10"/>
    <mergeCell ref="F10:H10"/>
    <mergeCell ref="I10:J10"/>
    <mergeCell ref="K10:L10"/>
    <mergeCell ref="D11:E11"/>
    <mergeCell ref="F11:H11"/>
    <mergeCell ref="I11:J11"/>
    <mergeCell ref="K11:L11"/>
    <mergeCell ref="D12:E12"/>
    <mergeCell ref="F12:H12"/>
    <mergeCell ref="I12:J12"/>
    <mergeCell ref="K12:L12"/>
    <mergeCell ref="D13:E13"/>
    <mergeCell ref="F13:H13"/>
    <mergeCell ref="I13:J13"/>
    <mergeCell ref="K13:L13"/>
    <mergeCell ref="D14:E14"/>
    <mergeCell ref="F14:H14"/>
    <mergeCell ref="I14:J14"/>
    <mergeCell ref="K14:L14"/>
    <mergeCell ref="D15:N15"/>
    <mergeCell ref="B17:N17"/>
    <mergeCell ref="B18:N18"/>
    <mergeCell ref="B19:N19"/>
    <mergeCell ref="B20:D20"/>
    <mergeCell ref="F20:H20"/>
    <mergeCell ref="J20:K20"/>
    <mergeCell ref="D25:E25"/>
    <mergeCell ref="G25:H25"/>
    <mergeCell ref="J25:L25"/>
    <mergeCell ref="M25:N25"/>
    <mergeCell ref="D26:E26"/>
    <mergeCell ref="G26:H26"/>
    <mergeCell ref="J26:L26"/>
    <mergeCell ref="M26:N26"/>
    <mergeCell ref="D27:E27"/>
    <mergeCell ref="G27:H27"/>
    <mergeCell ref="J27:L27"/>
    <mergeCell ref="M27:N27"/>
    <mergeCell ref="D28:E28"/>
    <mergeCell ref="G28:H28"/>
    <mergeCell ref="J28:L28"/>
    <mergeCell ref="M28:N28"/>
    <mergeCell ref="D29:E29"/>
    <mergeCell ref="G29:H29"/>
    <mergeCell ref="J29:L29"/>
    <mergeCell ref="M29:N29"/>
    <mergeCell ref="C30:N30"/>
    <mergeCell ref="C31:N31"/>
    <mergeCell ref="B33:N33"/>
    <mergeCell ref="B34:N34"/>
    <mergeCell ref="B35:N35"/>
    <mergeCell ref="B36:N36"/>
    <mergeCell ref="B37:N37"/>
    <mergeCell ref="B38:N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448</v>
      </c>
      <c r="C1" s="1"/>
      <c r="D1" s="1"/>
      <c r="E1" s="1"/>
      <c r="F1" s="1"/>
      <c r="G1" s="1"/>
      <c r="H1" s="1"/>
      <c r="I1" s="1"/>
      <c r="J1" s="1"/>
      <c r="K1" s="1"/>
      <c r="L1" s="1"/>
      <c r="M1" s="1"/>
      <c r="N1" s="1"/>
    </row>
    <row r="2" customFormat="false" ht="17.25" hidden="false" customHeight="true" outlineLevel="0" collapsed="false">
      <c r="B2" s="2" t="s">
        <v>449</v>
      </c>
      <c r="C2" s="2"/>
      <c r="D2" s="2"/>
      <c r="E2" s="2"/>
      <c r="F2" s="2"/>
      <c r="G2" s="2"/>
      <c r="H2" s="2"/>
      <c r="I2" s="2"/>
      <c r="J2" s="2"/>
      <c r="K2" s="2"/>
      <c r="L2" s="2"/>
      <c r="M2" s="2"/>
      <c r="N2" s="2"/>
    </row>
    <row r="4" customFormat="false" ht="34.5" hidden="false" customHeight="true" outlineLevel="0" collapsed="false">
      <c r="B4" s="3" t="s">
        <v>450</v>
      </c>
      <c r="C4" s="3"/>
      <c r="D4" s="3"/>
      <c r="E4" s="3"/>
      <c r="F4" s="3"/>
      <c r="G4" s="3"/>
      <c r="H4" s="3"/>
      <c r="I4" s="3"/>
      <c r="J4" s="3"/>
      <c r="K4" s="3"/>
      <c r="L4" s="3"/>
      <c r="M4" s="3"/>
      <c r="N4" s="3"/>
    </row>
    <row r="5" customFormat="false" ht="17.25" hidden="false" customHeight="true" outlineLevel="0" collapsed="false">
      <c r="B5" s="67" t="s">
        <v>451</v>
      </c>
      <c r="C5" s="67"/>
      <c r="D5" s="67"/>
      <c r="E5" s="67"/>
      <c r="F5" s="67"/>
      <c r="G5" s="67"/>
      <c r="H5" s="67"/>
      <c r="I5" s="67"/>
      <c r="J5" s="67"/>
      <c r="K5" s="67"/>
      <c r="L5" s="67"/>
      <c r="M5" s="67"/>
      <c r="N5" s="67"/>
    </row>
    <row r="6" customFormat="false" ht="21.75" hidden="false" customHeight="true" outlineLevel="0" collapsed="false">
      <c r="B6" s="4" t="s">
        <v>452</v>
      </c>
      <c r="C6" s="4"/>
      <c r="D6" s="4"/>
      <c r="E6" s="4"/>
      <c r="F6" s="4"/>
      <c r="G6" s="4"/>
      <c r="H6" s="4"/>
      <c r="I6" s="4"/>
      <c r="J6" s="4"/>
      <c r="K6" s="4"/>
      <c r="L6" s="4"/>
      <c r="M6" s="4"/>
      <c r="N6" s="4"/>
    </row>
    <row r="7" customFormat="false" ht="31.5" hidden="false" customHeight="true" outlineLevel="0" collapsed="false">
      <c r="B7" s="5" t="s">
        <v>453</v>
      </c>
      <c r="C7" s="5"/>
      <c r="D7" s="5"/>
      <c r="E7" s="5"/>
      <c r="F7" s="5"/>
      <c r="G7" s="5"/>
      <c r="H7" s="5"/>
      <c r="I7" s="5"/>
      <c r="J7" s="5"/>
      <c r="K7" s="5"/>
      <c r="L7" s="5"/>
      <c r="M7" s="5"/>
      <c r="N7" s="5"/>
    </row>
    <row r="8" customFormat="false" ht="17.25" hidden="false" customHeight="true" outlineLevel="0" collapsed="false">
      <c r="B8" s="33" t="s">
        <v>454</v>
      </c>
      <c r="C8" s="33"/>
      <c r="D8" s="33"/>
      <c r="E8" s="33"/>
      <c r="G8" s="33" t="s">
        <v>430</v>
      </c>
      <c r="H8" s="33"/>
      <c r="I8" s="33"/>
      <c r="J8" s="33"/>
    </row>
    <row r="9" customFormat="false" ht="15" hidden="false" customHeight="false" outlineLevel="0" collapsed="false">
      <c r="B9" s="15"/>
      <c r="C9" s="34" t="s">
        <v>455</v>
      </c>
      <c r="D9" s="34" t="s">
        <v>456</v>
      </c>
      <c r="E9" s="34" t="s">
        <v>457</v>
      </c>
      <c r="G9" s="15"/>
      <c r="H9" s="34" t="s">
        <v>455</v>
      </c>
      <c r="I9" s="34" t="s">
        <v>456</v>
      </c>
      <c r="J9" s="34" t="s">
        <v>457</v>
      </c>
    </row>
    <row r="10" customFormat="false" ht="15" hidden="false" customHeight="false" outlineLevel="0" collapsed="false">
      <c r="B10" s="20" t="s">
        <v>458</v>
      </c>
      <c r="C10" s="21" t="n">
        <v>1</v>
      </c>
      <c r="D10" s="21" t="n">
        <v>1</v>
      </c>
      <c r="E10" s="21" t="n">
        <v>-1</v>
      </c>
      <c r="G10" s="20"/>
      <c r="H10" s="21" t="n">
        <v>-0.5</v>
      </c>
      <c r="I10" s="21" t="n">
        <v>-0.5</v>
      </c>
      <c r="J10" s="21" t="n">
        <v>-0.5</v>
      </c>
    </row>
    <row r="11" customFormat="false" ht="15" hidden="false" customHeight="false" outlineLevel="0" collapsed="false">
      <c r="B11" s="20" t="s">
        <v>459</v>
      </c>
      <c r="C11" s="21" t="n">
        <v>1</v>
      </c>
      <c r="D11" s="21" t="n">
        <v>-1</v>
      </c>
      <c r="E11" s="21" t="n">
        <v>1</v>
      </c>
    </row>
    <row r="12" customFormat="false" ht="15" hidden="false" customHeight="false" outlineLevel="0" collapsed="false">
      <c r="B12" s="20" t="s">
        <v>460</v>
      </c>
      <c r="C12" s="21" t="n">
        <v>-1</v>
      </c>
      <c r="D12" s="21" t="n">
        <v>1</v>
      </c>
      <c r="E12" s="21" t="n">
        <v>1</v>
      </c>
    </row>
    <row r="14" customFormat="false" ht="17.25" hidden="false" customHeight="true" outlineLevel="0" collapsed="false">
      <c r="B14" s="33" t="s">
        <v>461</v>
      </c>
      <c r="C14" s="33"/>
      <c r="D14" s="33"/>
      <c r="E14" s="33"/>
      <c r="G14" s="33" t="s">
        <v>304</v>
      </c>
      <c r="H14" s="33"/>
      <c r="I14" s="33"/>
      <c r="J14" s="33"/>
    </row>
    <row r="15" customFormat="false" ht="15" hidden="false" customHeight="false" outlineLevel="0" collapsed="false">
      <c r="B15" s="15"/>
      <c r="C15" s="34" t="s">
        <v>462</v>
      </c>
      <c r="D15" s="34" t="s">
        <v>463</v>
      </c>
      <c r="E15" s="34" t="s">
        <v>464</v>
      </c>
      <c r="G15" s="15"/>
      <c r="H15" s="34" t="s">
        <v>462</v>
      </c>
      <c r="I15" s="34" t="s">
        <v>463</v>
      </c>
      <c r="J15" s="34" t="s">
        <v>464</v>
      </c>
    </row>
    <row r="16" customFormat="false" ht="15" hidden="false" customHeight="false" outlineLevel="0" collapsed="false">
      <c r="B16" s="20" t="s">
        <v>455</v>
      </c>
      <c r="C16" s="21" t="n">
        <v>3</v>
      </c>
      <c r="D16" s="21" t="n">
        <v>-1</v>
      </c>
      <c r="E16" s="21" t="n">
        <v>-1</v>
      </c>
      <c r="G16" s="20"/>
      <c r="H16" s="21" t="n">
        <v>0</v>
      </c>
      <c r="I16" s="21" t="n">
        <v>0</v>
      </c>
      <c r="J16" s="21" t="n">
        <v>0</v>
      </c>
    </row>
    <row r="17" customFormat="false" ht="15" hidden="false" customHeight="false" outlineLevel="0" collapsed="false">
      <c r="B17" s="20" t="s">
        <v>456</v>
      </c>
      <c r="C17" s="21" t="n">
        <v>-1</v>
      </c>
      <c r="D17" s="21" t="n">
        <v>3</v>
      </c>
      <c r="E17" s="21" t="n">
        <v>-1</v>
      </c>
    </row>
    <row r="18" customFormat="false" ht="15" hidden="false" customHeight="false" outlineLevel="0" collapsed="false">
      <c r="B18" s="20" t="s">
        <v>457</v>
      </c>
      <c r="C18" s="21" t="n">
        <v>-1</v>
      </c>
      <c r="D18" s="21" t="n">
        <v>-1</v>
      </c>
      <c r="E18" s="21" t="n">
        <v>3</v>
      </c>
    </row>
    <row r="20" customFormat="false" ht="17.25" hidden="false" customHeight="true" outlineLevel="0" collapsed="false">
      <c r="B20" s="20" t="s">
        <v>465</v>
      </c>
      <c r="C20" s="68" t="n">
        <f aca="false">3*3+3+3*3+3</f>
        <v>24</v>
      </c>
      <c r="D20" s="22" t="s">
        <v>466</v>
      </c>
      <c r="E20" s="22"/>
      <c r="F20" s="22"/>
      <c r="G20" s="22"/>
      <c r="H20" s="22"/>
      <c r="I20" s="22"/>
      <c r="J20" s="22"/>
      <c r="K20" s="22"/>
      <c r="L20" s="22"/>
      <c r="M20" s="22"/>
      <c r="N20" s="22"/>
    </row>
    <row r="21" customFormat="false" ht="21.75" hidden="false" customHeight="true" outlineLevel="0" collapsed="false">
      <c r="B21" s="4" t="s">
        <v>467</v>
      </c>
      <c r="C21" s="4"/>
      <c r="D21" s="4"/>
      <c r="E21" s="4"/>
      <c r="F21" s="4"/>
      <c r="G21" s="4"/>
      <c r="H21" s="4"/>
      <c r="I21" s="4"/>
      <c r="J21" s="4"/>
      <c r="K21" s="4"/>
      <c r="L21" s="4"/>
      <c r="M21" s="4"/>
      <c r="N21" s="4"/>
    </row>
    <row r="22" customFormat="false" ht="17.25" hidden="false" customHeight="true" outlineLevel="0" collapsed="false">
      <c r="B22" s="33" t="s">
        <v>468</v>
      </c>
      <c r="C22" s="33"/>
      <c r="D22" s="33"/>
      <c r="E22" s="33"/>
    </row>
    <row r="23" customFormat="false" ht="15" hidden="false" customHeight="false" outlineLevel="0" collapsed="false">
      <c r="B23" s="15"/>
      <c r="C23" s="34" t="s">
        <v>458</v>
      </c>
      <c r="D23" s="34" t="s">
        <v>459</v>
      </c>
      <c r="E23" s="34" t="s">
        <v>460</v>
      </c>
    </row>
    <row r="24" customFormat="false" ht="15" hidden="false" customHeight="false" outlineLevel="0" collapsed="false">
      <c r="B24" s="20"/>
      <c r="C24" s="42" t="n">
        <v>0.8</v>
      </c>
      <c r="D24" s="42" t="n">
        <v>0.7</v>
      </c>
      <c r="E24" s="42" t="n">
        <v>0.2</v>
      </c>
    </row>
    <row r="26" customFormat="false" ht="17.25" hidden="false" customHeight="true" outlineLevel="0" collapsed="false">
      <c r="B26" s="69" t="s">
        <v>469</v>
      </c>
      <c r="C26" s="5" t="s">
        <v>470</v>
      </c>
      <c r="D26" s="5"/>
      <c r="E26" s="5"/>
      <c r="F26" s="5"/>
      <c r="G26" s="5"/>
      <c r="H26" s="5"/>
      <c r="I26" s="5"/>
      <c r="J26" s="5"/>
      <c r="K26" s="5"/>
      <c r="L26" s="5"/>
      <c r="M26" s="5"/>
      <c r="N26" s="5"/>
    </row>
    <row r="27" customFormat="false" ht="17.25" hidden="false" customHeight="true" outlineLevel="0" collapsed="false">
      <c r="B27" s="33" t="s">
        <v>471</v>
      </c>
      <c r="C27" s="33"/>
      <c r="D27" s="33"/>
      <c r="E27" s="33"/>
    </row>
    <row r="28" customFormat="false" ht="15" hidden="false" customHeight="false" outlineLevel="0" collapsed="false">
      <c r="B28" s="15"/>
      <c r="C28" s="34" t="s">
        <v>455</v>
      </c>
      <c r="D28" s="34" t="s">
        <v>456</v>
      </c>
      <c r="E28" s="34" t="s">
        <v>457</v>
      </c>
    </row>
    <row r="29" customFormat="false" ht="15" hidden="false" customHeight="false" outlineLevel="0" collapsed="false">
      <c r="B29" s="20"/>
      <c r="C29" s="55" t="n">
        <f aca="false">C24*C10+D24*C11+E24*C12+H10</f>
        <v>0.8</v>
      </c>
      <c r="D29" s="55" t="n">
        <f aca="false">C24*D10+D24*D11+E24*D12+I10</f>
        <v>-0.2</v>
      </c>
      <c r="E29" s="55" t="n">
        <f aca="false">C24*E10+D24*E11+E24*E12+J10</f>
        <v>-0.4</v>
      </c>
    </row>
    <row r="31" customFormat="false" ht="15.75" hidden="false" customHeight="true" outlineLevel="0" collapsed="false">
      <c r="B31" s="9" t="s">
        <v>455</v>
      </c>
      <c r="C31" s="28" t="str">
        <f aca="false">IF(ROUND(C24,3)&lt;0,"("&amp;ROUND(C24,3)&amp;")",ROUND(C24,3)&amp;"")&amp;"×"&amp;IF(ROUND(C10,3)&lt;0,"("&amp;ROUND(C10,3)&amp;")",ROUND(C10,3)&amp;"")&amp;" + "&amp;IF(ROUND(D24,3)&lt;0,"("&amp;ROUND(D24,3)&amp;")",ROUND(D24,3)&amp;"")&amp;"×"&amp;IF(ROUND(C11,3)&lt;0,"("&amp;ROUND(C11,3)&amp;")",ROUND(C11,3)&amp;"")&amp;" + "&amp;IF(ROUND(E24,3)&lt;0,"("&amp;ROUND(E24,3)&amp;")",ROUND(E24,3)&amp;"")&amp;"×"&amp;IF(ROUND(C12,3)&lt;0,"("&amp;ROUND(C12,3)&amp;")",ROUND(C12,3)&amp;"")&amp;" + "&amp;IF(ROUND(H10,3)&lt;0,"("&amp;ROUND(H10,3)&amp;")",ROUND(H10,3)&amp;"")&amp;"  =  "&amp;IF(ROUND(C29,3)&lt;0,"("&amp;ROUND(C29,3)&amp;")",ROUND(C29,3)&amp;"")</f>
        <v>0.8×1 + 0.7×1 + 0.2×(-1) + (-0.5)  =  0.8</v>
      </c>
      <c r="D31" s="28"/>
      <c r="E31" s="28"/>
      <c r="F31" s="28"/>
      <c r="G31" s="28"/>
      <c r="H31" s="28"/>
      <c r="I31" s="28"/>
      <c r="J31" s="28"/>
      <c r="K31" s="28"/>
      <c r="L31" s="28"/>
      <c r="M31" s="28"/>
      <c r="N31" s="28"/>
    </row>
    <row r="32" customFormat="false" ht="15.75" hidden="false" customHeight="true" outlineLevel="0" collapsed="false">
      <c r="B32" s="9" t="s">
        <v>456</v>
      </c>
      <c r="C32" s="28" t="str">
        <f aca="false">IF(ROUND(C24,3)&lt;0,"("&amp;ROUND(C24,3)&amp;")",ROUND(C24,3)&amp;"")&amp;"×"&amp;IF(ROUND(D10,3)&lt;0,"("&amp;ROUND(D10,3)&amp;")",ROUND(D10,3)&amp;"")&amp;" + "&amp;IF(ROUND(D24,3)&lt;0,"("&amp;ROUND(D24,3)&amp;")",ROUND(D24,3)&amp;"")&amp;"×"&amp;IF(ROUND(D11,3)&lt;0,"("&amp;ROUND(D11,3)&amp;")",ROUND(D11,3)&amp;"")&amp;" + "&amp;IF(ROUND(E24,3)&lt;0,"("&amp;ROUND(E24,3)&amp;")",ROUND(E24,3)&amp;"")&amp;"×"&amp;IF(ROUND(D12,3)&lt;0,"("&amp;ROUND(D12,3)&amp;")",ROUND(D12,3)&amp;"")&amp;" + "&amp;IF(ROUND(I10,3)&lt;0,"("&amp;ROUND(I10,3)&amp;")",ROUND(I10,3)&amp;"")&amp;"  =  "&amp;IF(ROUND(D29,3)&lt;0,"("&amp;ROUND(D29,3)&amp;")",ROUND(D29,3)&amp;"")</f>
        <v>0.8×1 + 0.7×(-1) + 0.2×1 + (-0.5)  =  (-0.2)</v>
      </c>
      <c r="D32" s="28"/>
      <c r="E32" s="28"/>
      <c r="F32" s="28"/>
      <c r="G32" s="28"/>
      <c r="H32" s="28"/>
      <c r="I32" s="28"/>
      <c r="J32" s="28"/>
      <c r="K32" s="28"/>
      <c r="L32" s="28"/>
      <c r="M32" s="28"/>
      <c r="N32" s="28"/>
    </row>
    <row r="33" customFormat="false" ht="15.75" hidden="false" customHeight="true" outlineLevel="0" collapsed="false">
      <c r="B33" s="9" t="s">
        <v>457</v>
      </c>
      <c r="C33" s="28" t="str">
        <f aca="false">IF(ROUND(C24,3)&lt;0,"("&amp;ROUND(C24,3)&amp;")",ROUND(C24,3)&amp;"")&amp;"×"&amp;IF(ROUND(E10,3)&lt;0,"("&amp;ROUND(E10,3)&amp;")",ROUND(E10,3)&amp;"")&amp;" + "&amp;IF(ROUND(D24,3)&lt;0,"("&amp;ROUND(D24,3)&amp;")",ROUND(D24,3)&amp;"")&amp;"×"&amp;IF(ROUND(E11,3)&lt;0,"("&amp;ROUND(E11,3)&amp;")",ROUND(E11,3)&amp;"")&amp;" + "&amp;IF(ROUND(E24,3)&lt;0,"("&amp;ROUND(E24,3)&amp;")",ROUND(E24,3)&amp;"")&amp;"×"&amp;IF(ROUND(E12,3)&lt;0,"("&amp;ROUND(E12,3)&amp;")",ROUND(E12,3)&amp;"")&amp;" + "&amp;IF(ROUND(J10,3)&lt;0,"("&amp;ROUND(J10,3)&amp;")",ROUND(J10,3)&amp;"")&amp;"  =  "&amp;IF(ROUND(E29,3)&lt;0,"("&amp;ROUND(E29,3)&amp;")",ROUND(E29,3)&amp;"")</f>
        <v>0.8×(-1) + 0.7×1 + 0.2×1 + (-0.5)  =  (-0.4)</v>
      </c>
      <c r="D33" s="28"/>
      <c r="E33" s="28"/>
      <c r="F33" s="28"/>
      <c r="G33" s="28"/>
      <c r="H33" s="28"/>
      <c r="I33" s="28"/>
      <c r="J33" s="28"/>
      <c r="K33" s="28"/>
      <c r="L33" s="28"/>
      <c r="M33" s="28"/>
      <c r="N33" s="28"/>
    </row>
    <row r="34" customFormat="false" ht="17.25" hidden="false" customHeight="true" outlineLevel="0" collapsed="false">
      <c r="B34" s="69" t="s">
        <v>472</v>
      </c>
      <c r="C34" s="5" t="s">
        <v>473</v>
      </c>
      <c r="D34" s="5"/>
      <c r="E34" s="5"/>
      <c r="F34" s="5"/>
      <c r="G34" s="5"/>
      <c r="H34" s="5"/>
      <c r="I34" s="5"/>
      <c r="J34" s="5"/>
      <c r="K34" s="5"/>
      <c r="L34" s="5"/>
      <c r="M34" s="5"/>
      <c r="N34" s="5"/>
    </row>
    <row r="35" customFormat="false" ht="17.25" hidden="false" customHeight="true" outlineLevel="0" collapsed="false">
      <c r="B35" s="33" t="s">
        <v>474</v>
      </c>
      <c r="C35" s="33"/>
      <c r="D35" s="33"/>
      <c r="E35" s="33"/>
    </row>
    <row r="36" customFormat="false" ht="15" hidden="false" customHeight="false" outlineLevel="0" collapsed="false">
      <c r="B36" s="15"/>
      <c r="C36" s="34" t="s">
        <v>455</v>
      </c>
      <c r="D36" s="34" t="s">
        <v>456</v>
      </c>
      <c r="E36" s="34" t="s">
        <v>457</v>
      </c>
    </row>
    <row r="37" customFormat="false" ht="15" hidden="false" customHeight="false" outlineLevel="0" collapsed="false">
      <c r="B37" s="20"/>
      <c r="C37" s="55" t="n">
        <f aca="false">MAX(0,C29)</f>
        <v>0.8</v>
      </c>
      <c r="D37" s="55" t="n">
        <f aca="false">MAX(0,D29)</f>
        <v>0</v>
      </c>
      <c r="E37" s="55" t="n">
        <f aca="false">MAX(0,E29)</f>
        <v>0</v>
      </c>
    </row>
    <row r="39" customFormat="false" ht="15.75" hidden="false" customHeight="true" outlineLevel="0" collapsed="false">
      <c r="B39" s="9" t="s">
        <v>346</v>
      </c>
      <c r="C39" s="28" t="str">
        <f aca="false">"max(0, "&amp;IF(ROUND(C29,3)&lt;0,"("&amp;ROUND(C29,3)&amp;")",ROUND(C29,3)&amp;"")&amp;") = "&amp;IF(ROUND(C37,3)&lt;0,"("&amp;ROUND(C37,3)&amp;")",ROUND(C37,3)&amp;"")&amp;";   max(0, "&amp;IF(ROUND(D29,3)&lt;0,"("&amp;ROUND(D29,3)&amp;")",ROUND(D29,3)&amp;"")&amp;") = "&amp;IF(ROUND(D37,3)&lt;0,"("&amp;ROUND(D37,3)&amp;")",ROUND(D37,3)&amp;"")&amp;";   max(0, "&amp;IF(ROUND(E29,3)&lt;0,"("&amp;ROUND(E29,3)&amp;")",ROUND(E29,3)&amp;"")&amp;") = "&amp;IF(ROUND(E37,3)&lt;0,"("&amp;ROUND(E37,3)&amp;")",ROUND(E37,3)&amp;"")</f>
        <v>max(0, 0.8) = 0.8;   max(0, (-0.2)) = 0;   max(0, (-0.4)) = 0</v>
      </c>
      <c r="D39" s="28"/>
      <c r="E39" s="28"/>
      <c r="F39" s="28"/>
      <c r="G39" s="28"/>
      <c r="H39" s="28"/>
      <c r="I39" s="28"/>
      <c r="J39" s="28"/>
      <c r="K39" s="28"/>
      <c r="L39" s="28"/>
      <c r="M39" s="28"/>
      <c r="N39" s="28"/>
    </row>
    <row r="40" customFormat="false" ht="17.25" hidden="false" customHeight="true" outlineLevel="0" collapsed="false">
      <c r="B40" s="69" t="s">
        <v>475</v>
      </c>
      <c r="C40" s="5" t="s">
        <v>476</v>
      </c>
      <c r="D40" s="5"/>
      <c r="E40" s="5"/>
      <c r="F40" s="5"/>
      <c r="G40" s="5"/>
      <c r="H40" s="5"/>
      <c r="I40" s="5"/>
      <c r="J40" s="5"/>
      <c r="K40" s="5"/>
      <c r="L40" s="5"/>
      <c r="M40" s="5"/>
      <c r="N40" s="5"/>
    </row>
    <row r="41" customFormat="false" ht="17.25" hidden="false" customHeight="true" outlineLevel="0" collapsed="false">
      <c r="B41" s="33" t="s">
        <v>477</v>
      </c>
      <c r="C41" s="33"/>
      <c r="D41" s="33"/>
      <c r="E41" s="33"/>
    </row>
    <row r="42" customFormat="false" ht="15" hidden="false" customHeight="false" outlineLevel="0" collapsed="false">
      <c r="B42" s="15"/>
      <c r="C42" s="34" t="s">
        <v>462</v>
      </c>
      <c r="D42" s="34" t="s">
        <v>463</v>
      </c>
      <c r="E42" s="34" t="s">
        <v>464</v>
      </c>
    </row>
    <row r="43" customFormat="false" ht="15" hidden="false" customHeight="false" outlineLevel="0" collapsed="false">
      <c r="B43" s="20"/>
      <c r="C43" s="55" t="n">
        <f aca="false">C37*C16+D37*C17+E37*C18+H16</f>
        <v>2.4</v>
      </c>
      <c r="D43" s="55" t="n">
        <f aca="false">C37*D16+D37*D17+E37*D18+I16</f>
        <v>-0.8</v>
      </c>
      <c r="E43" s="55" t="n">
        <f aca="false">C37*E16+D37*E17+E37*E18+J16</f>
        <v>-0.8</v>
      </c>
    </row>
    <row r="45" customFormat="false" ht="15.75" hidden="false" customHeight="true" outlineLevel="0" collapsed="false">
      <c r="B45" s="9" t="s">
        <v>462</v>
      </c>
      <c r="C45" s="28" t="str">
        <f aca="false">IF(ROUND(C37,3)&lt;0,"("&amp;ROUND(C37,3)&amp;")",ROUND(C37,3)&amp;"")&amp;"×"&amp;IF(ROUND(C16,3)&lt;0,"("&amp;ROUND(C16,3)&amp;")",ROUND(C16,3)&amp;"")&amp;" + "&amp;IF(ROUND(D37,3)&lt;0,"("&amp;ROUND(D37,3)&amp;")",ROUND(D37,3)&amp;"")&amp;"×"&amp;IF(ROUND(C17,3)&lt;0,"("&amp;ROUND(C17,3)&amp;")",ROUND(C17,3)&amp;"")&amp;" + "&amp;IF(ROUND(E37,3)&lt;0,"("&amp;ROUND(E37,3)&amp;")",ROUND(E37,3)&amp;"")&amp;"×"&amp;IF(ROUND(C18,3)&lt;0,"("&amp;ROUND(C18,3)&amp;")",ROUND(C18,3)&amp;"")&amp;" + "&amp;IF(ROUND(H16,3)&lt;0,"("&amp;ROUND(H16,3)&amp;")",ROUND(H16,3)&amp;"")&amp;"  =  "&amp;IF(ROUND(C43,3)&lt;0,"("&amp;ROUND(C43,3)&amp;")",ROUND(C43,3)&amp;"")</f>
        <v>0.8×3 + 0×(-1) + 0×(-1) + 0  =  2.4</v>
      </c>
      <c r="D45" s="28"/>
      <c r="E45" s="28"/>
      <c r="F45" s="28"/>
      <c r="G45" s="28"/>
      <c r="H45" s="28"/>
      <c r="I45" s="28"/>
      <c r="J45" s="28"/>
      <c r="K45" s="28"/>
      <c r="L45" s="28"/>
      <c r="M45" s="28"/>
      <c r="N45" s="28"/>
    </row>
    <row r="46" customFormat="false" ht="15.75" hidden="false" customHeight="true" outlineLevel="0" collapsed="false">
      <c r="B46" s="9" t="s">
        <v>463</v>
      </c>
      <c r="C46" s="28" t="str">
        <f aca="false">IF(ROUND(C37,3)&lt;0,"("&amp;ROUND(C37,3)&amp;")",ROUND(C37,3)&amp;"")&amp;"×"&amp;IF(ROUND(D16,3)&lt;0,"("&amp;ROUND(D16,3)&amp;")",ROUND(D16,3)&amp;"")&amp;" + "&amp;IF(ROUND(D37,3)&lt;0,"("&amp;ROUND(D37,3)&amp;")",ROUND(D37,3)&amp;"")&amp;"×"&amp;IF(ROUND(D17,3)&lt;0,"("&amp;ROUND(D17,3)&amp;")",ROUND(D17,3)&amp;"")&amp;" + "&amp;IF(ROUND(E37,3)&lt;0,"("&amp;ROUND(E37,3)&amp;")",ROUND(E37,3)&amp;"")&amp;"×"&amp;IF(ROUND(D18,3)&lt;0,"("&amp;ROUND(D18,3)&amp;")",ROUND(D18,3)&amp;"")&amp;" + "&amp;IF(ROUND(I16,3)&lt;0,"("&amp;ROUND(I16,3)&amp;")",ROUND(I16,3)&amp;"")&amp;"  =  "&amp;IF(ROUND(D43,3)&lt;0,"("&amp;ROUND(D43,3)&amp;")",ROUND(D43,3)&amp;"")</f>
        <v>0.8×(-1) + 0×3 + 0×(-1) + 0  =  (-0.8)</v>
      </c>
      <c r="D46" s="28"/>
      <c r="E46" s="28"/>
      <c r="F46" s="28"/>
      <c r="G46" s="28"/>
      <c r="H46" s="28"/>
      <c r="I46" s="28"/>
      <c r="J46" s="28"/>
      <c r="K46" s="28"/>
      <c r="L46" s="28"/>
      <c r="M46" s="28"/>
      <c r="N46" s="28"/>
    </row>
    <row r="47" customFormat="false" ht="15.75" hidden="false" customHeight="true" outlineLevel="0" collapsed="false">
      <c r="B47" s="9" t="s">
        <v>464</v>
      </c>
      <c r="C47" s="28" t="str">
        <f aca="false">IF(ROUND(C37,3)&lt;0,"("&amp;ROUND(C37,3)&amp;")",ROUND(C37,3)&amp;"")&amp;"×"&amp;IF(ROUND(E16,3)&lt;0,"("&amp;ROUND(E16,3)&amp;")",ROUND(E16,3)&amp;"")&amp;" + "&amp;IF(ROUND(D37,3)&lt;0,"("&amp;ROUND(D37,3)&amp;")",ROUND(D37,3)&amp;"")&amp;"×"&amp;IF(ROUND(E17,3)&lt;0,"("&amp;ROUND(E17,3)&amp;")",ROUND(E17,3)&amp;"")&amp;" + "&amp;IF(ROUND(E37,3)&lt;0,"("&amp;ROUND(E37,3)&amp;")",ROUND(E37,3)&amp;"")&amp;"×"&amp;IF(ROUND(E18,3)&lt;0,"("&amp;ROUND(E18,3)&amp;")",ROUND(E18,3)&amp;"")&amp;" + "&amp;IF(ROUND(J16,3)&lt;0,"("&amp;ROUND(J16,3)&amp;")",ROUND(J16,3)&amp;"")&amp;"  =  "&amp;IF(ROUND(E43,3)&lt;0,"("&amp;ROUND(E43,3)&amp;")",ROUND(E43,3)&amp;"")</f>
        <v>0.8×(-1) + 0×(-1) + 0×3 + 0  =  (-0.8)</v>
      </c>
      <c r="D47" s="28"/>
      <c r="E47" s="28"/>
      <c r="F47" s="28"/>
      <c r="G47" s="28"/>
      <c r="H47" s="28"/>
      <c r="I47" s="28"/>
      <c r="J47" s="28"/>
      <c r="K47" s="28"/>
      <c r="L47" s="28"/>
      <c r="M47" s="28"/>
      <c r="N47" s="28"/>
    </row>
    <row r="48" customFormat="false" ht="17.25" hidden="false" customHeight="true" outlineLevel="0" collapsed="false">
      <c r="B48" s="69" t="s">
        <v>478</v>
      </c>
      <c r="C48" s="5" t="s">
        <v>479</v>
      </c>
      <c r="D48" s="5"/>
      <c r="E48" s="5"/>
      <c r="F48" s="5"/>
      <c r="G48" s="5"/>
      <c r="H48" s="5"/>
      <c r="I48" s="5"/>
      <c r="J48" s="5"/>
      <c r="K48" s="5"/>
      <c r="L48" s="5"/>
      <c r="M48" s="5"/>
      <c r="N48" s="5"/>
    </row>
    <row r="49" customFormat="false" ht="17.25" hidden="false" customHeight="true" outlineLevel="0" collapsed="false">
      <c r="B49" s="33" t="s">
        <v>480</v>
      </c>
      <c r="C49" s="33"/>
      <c r="D49" s="33"/>
      <c r="E49" s="33"/>
    </row>
    <row r="50" customFormat="false" ht="15" hidden="false" customHeight="false" outlineLevel="0" collapsed="false">
      <c r="B50" s="15"/>
      <c r="C50" s="34" t="s">
        <v>462</v>
      </c>
      <c r="D50" s="34" t="s">
        <v>463</v>
      </c>
      <c r="E50" s="34" t="s">
        <v>464</v>
      </c>
    </row>
    <row r="51" customFormat="false" ht="15" hidden="false" customHeight="false" outlineLevel="0" collapsed="false">
      <c r="B51" s="20"/>
      <c r="C51" s="55" t="n">
        <f aca="false">EXP(C43)</f>
        <v>11.0231763806416</v>
      </c>
      <c r="D51" s="55" t="n">
        <f aca="false">EXP(D43)</f>
        <v>0.449328964117222</v>
      </c>
      <c r="E51" s="55" t="n">
        <f aca="false">EXP(E43)</f>
        <v>0.449328964117222</v>
      </c>
    </row>
    <row r="53" customFormat="false" ht="15.75" hidden="false" customHeight="true" outlineLevel="0" collapsed="false">
      <c r="B53" s="20" t="s">
        <v>481</v>
      </c>
      <c r="C53" s="59" t="n">
        <f aca="false">SUM(C51:E51)</f>
        <v>11.921834308876</v>
      </c>
    </row>
    <row r="54" customFormat="false" ht="17.25" hidden="false" customHeight="true" outlineLevel="0" collapsed="false">
      <c r="B54" s="33" t="s">
        <v>482</v>
      </c>
      <c r="C54" s="33"/>
      <c r="D54" s="33"/>
      <c r="E54" s="33"/>
    </row>
    <row r="55" customFormat="false" ht="15" hidden="false" customHeight="false" outlineLevel="0" collapsed="false">
      <c r="B55" s="15"/>
      <c r="C55" s="34" t="s">
        <v>462</v>
      </c>
      <c r="D55" s="34" t="s">
        <v>463</v>
      </c>
      <c r="E55" s="34" t="s">
        <v>464</v>
      </c>
    </row>
    <row r="56" customFormat="false" ht="15" hidden="false" customHeight="false" outlineLevel="0" collapsed="false">
      <c r="B56" s="20"/>
      <c r="C56" s="50" t="n">
        <f aca="false">C51/C53</f>
        <v>0.924620833929442</v>
      </c>
      <c r="D56" s="50" t="n">
        <f aca="false">D51/C53</f>
        <v>0.037689583035279</v>
      </c>
      <c r="E56" s="50" t="n">
        <f aca="false">E51/C53</f>
        <v>0.037689583035279</v>
      </c>
    </row>
    <row r="58" customFormat="false" ht="15.75" hidden="false" customHeight="true" outlineLevel="0" collapsed="false">
      <c r="B58" s="9" t="s">
        <v>483</v>
      </c>
      <c r="C58" s="28" t="str">
        <f aca="false">"("&amp;IF(ROUND(C51,3)&lt;0,"("&amp;ROUND(C51,3)&amp;")",ROUND(C51,3)&amp;"")&amp;", "&amp;IF(ROUND(D51,3)&lt;0,"("&amp;ROUND(D51,3)&amp;")",ROUND(D51,3)&amp;"")&amp;", "&amp;IF(ROUND(E51,3)&lt;0,"("&amp;ROUND(E51,3)&amp;")",ROUND(E51,3)&amp;"")&amp;") ÷ "&amp;IF(ROUND(C53,3)&lt;0,"("&amp;ROUND(C53,3)&amp;")",ROUND(C53,3)&amp;"")&amp;" = ("&amp;IF(ROUND(C56,3)&lt;0,"("&amp;ROUND(C56,3)&amp;")",ROUND(C56,3)&amp;"")&amp;", "&amp;IF(ROUND(D56,3)&lt;0,"("&amp;ROUND(D56,3)&amp;")",ROUND(D56,3)&amp;"")&amp;", "&amp;IF(ROUND(E56,3)&lt;0,"("&amp;ROUND(E56,3)&amp;")",ROUND(E56,3)&amp;"")&amp;")"</f>
        <v>(11.023, 0.449, 0.449) ÷ 11.922 = (0.925, 0.038, 0.038)</v>
      </c>
      <c r="D58" s="28"/>
      <c r="E58" s="28"/>
      <c r="F58" s="28"/>
      <c r="G58" s="28"/>
      <c r="H58" s="28"/>
      <c r="I58" s="28"/>
      <c r="J58" s="28"/>
      <c r="K58" s="28"/>
      <c r="L58" s="28"/>
      <c r="M58" s="28"/>
      <c r="N58" s="28"/>
    </row>
    <row r="59" customFormat="false" ht="17.25" hidden="false" customHeight="true" outlineLevel="0" collapsed="false">
      <c r="B59" s="20" t="s">
        <v>484</v>
      </c>
      <c r="C59" s="46" t="str">
        <f aca="false">INDEX(C55:E55,MATCH(MAX(C56:E56),C56:E56,0))&amp;" ("&amp;TEXT(MAX(C56:E56),"0%")&amp;")"</f>
        <v>apple (92%)</v>
      </c>
      <c r="D59" s="22" t="s">
        <v>392</v>
      </c>
      <c r="E59" s="22"/>
      <c r="F59" s="22"/>
      <c r="G59" s="22"/>
      <c r="H59" s="22"/>
      <c r="I59" s="22"/>
      <c r="J59" s="22"/>
      <c r="K59" s="22"/>
      <c r="L59" s="22"/>
      <c r="M59" s="22"/>
      <c r="N59" s="22"/>
    </row>
    <row r="60" customFormat="false" ht="17.25" hidden="false" customHeight="true" outlineLevel="0" collapsed="false">
      <c r="B60" s="30" t="s">
        <v>485</v>
      </c>
      <c r="C60" s="30"/>
      <c r="D60" s="30"/>
      <c r="E60" s="30"/>
      <c r="F60" s="30"/>
      <c r="G60" s="30"/>
      <c r="H60" s="30"/>
      <c r="I60" s="30"/>
      <c r="J60" s="30"/>
      <c r="K60" s="30"/>
      <c r="L60" s="30"/>
      <c r="M60" s="30"/>
      <c r="N60" s="30"/>
    </row>
    <row r="61" customFormat="false" ht="17.25" hidden="false" customHeight="true" outlineLevel="0" collapsed="false">
      <c r="B61" s="10" t="s">
        <v>104</v>
      </c>
      <c r="C61" s="10"/>
      <c r="D61" s="10" t="s">
        <v>486</v>
      </c>
      <c r="E61" s="10"/>
      <c r="F61" s="10"/>
      <c r="G61" s="10"/>
      <c r="H61" s="10"/>
      <c r="I61" s="10" t="s">
        <v>487</v>
      </c>
      <c r="J61" s="10" t="s">
        <v>488</v>
      </c>
      <c r="K61" s="10"/>
      <c r="L61" s="10"/>
      <c r="M61" s="10"/>
      <c r="N61" s="10"/>
    </row>
    <row r="62" customFormat="false" ht="17.25" hidden="false" customHeight="true" outlineLevel="0" collapsed="false">
      <c r="B62" s="18" t="s">
        <v>489</v>
      </c>
      <c r="C62" s="18"/>
      <c r="D62" s="12" t="s">
        <v>490</v>
      </c>
      <c r="E62" s="12"/>
      <c r="F62" s="12"/>
      <c r="G62" s="12"/>
      <c r="H62" s="12"/>
      <c r="I62" s="44" t="s">
        <v>491</v>
      </c>
      <c r="J62" s="70" t="str">
        <f aca="false">"["&amp;IF(ROUND(C24,3)&lt;0,"("&amp;ROUND(C24,3)&amp;")",ROUND(C24,3)&amp;"")&amp;", "&amp;IF(ROUND(D24,3)&lt;0,"("&amp;ROUND(D24,3)&amp;")",ROUND(D24,3)&amp;"")&amp;", "&amp;IF(ROUND(E24,3)&lt;0,"("&amp;ROUND(E24,3)&amp;")",ROUND(E24,3)&amp;"")&amp;"]"</f>
        <v>[0.8, 0.7, 0.2]</v>
      </c>
      <c r="K62" s="70"/>
      <c r="L62" s="70"/>
      <c r="M62" s="70"/>
      <c r="N62" s="70"/>
    </row>
    <row r="63" customFormat="false" ht="17.25" hidden="false" customHeight="true" outlineLevel="0" collapsed="false">
      <c r="B63" s="9" t="s">
        <v>492</v>
      </c>
      <c r="C63" s="9"/>
      <c r="D63" s="15" t="s">
        <v>493</v>
      </c>
      <c r="E63" s="15"/>
      <c r="F63" s="15"/>
      <c r="G63" s="15"/>
      <c r="H63" s="15"/>
      <c r="I63" s="16" t="s">
        <v>491</v>
      </c>
      <c r="J63" s="20" t="str">
        <f aca="false">"["&amp;IF(ROUND(C29,3)&lt;0,"("&amp;ROUND(C29,3)&amp;")",ROUND(C29,3)&amp;"")&amp;", "&amp;IF(ROUND(D29,3)&lt;0,"("&amp;ROUND(D29,3)&amp;")",ROUND(D29,3)&amp;"")&amp;", "&amp;IF(ROUND(E29,3)&lt;0,"("&amp;ROUND(E29,3)&amp;")",ROUND(E29,3)&amp;"")&amp;"]"</f>
        <v>[0.8, (-0.2), (-0.4)]</v>
      </c>
      <c r="K63" s="20"/>
      <c r="L63" s="20"/>
      <c r="M63" s="20"/>
      <c r="N63" s="20"/>
    </row>
    <row r="64" customFormat="false" ht="17.25" hidden="false" customHeight="true" outlineLevel="0" collapsed="false">
      <c r="B64" s="18" t="s">
        <v>494</v>
      </c>
      <c r="C64" s="18"/>
      <c r="D64" s="12" t="s">
        <v>495</v>
      </c>
      <c r="E64" s="12"/>
      <c r="F64" s="12"/>
      <c r="G64" s="12"/>
      <c r="H64" s="12"/>
      <c r="I64" s="44" t="s">
        <v>491</v>
      </c>
      <c r="J64" s="70" t="str">
        <f aca="false">"["&amp;IF(ROUND(C37,3)&lt;0,"("&amp;ROUND(C37,3)&amp;")",ROUND(C37,3)&amp;"")&amp;", "&amp;IF(ROUND(D37,3)&lt;0,"("&amp;ROUND(D37,3)&amp;")",ROUND(D37,3)&amp;"")&amp;", "&amp;IF(ROUND(E37,3)&lt;0,"("&amp;ROUND(E37,3)&amp;")",ROUND(E37,3)&amp;"")&amp;"]"</f>
        <v>[0.8, 0, 0]</v>
      </c>
      <c r="K64" s="70"/>
      <c r="L64" s="70"/>
      <c r="M64" s="70"/>
      <c r="N64" s="70"/>
    </row>
    <row r="65" customFormat="false" ht="17.25" hidden="false" customHeight="true" outlineLevel="0" collapsed="false">
      <c r="B65" s="9" t="s">
        <v>496</v>
      </c>
      <c r="C65" s="9"/>
      <c r="D65" s="15" t="s">
        <v>497</v>
      </c>
      <c r="E65" s="15"/>
      <c r="F65" s="15"/>
      <c r="G65" s="15"/>
      <c r="H65" s="15"/>
      <c r="I65" s="16" t="s">
        <v>491</v>
      </c>
      <c r="J65" s="20" t="str">
        <f aca="false">"["&amp;IF(ROUND(C43,3)&lt;0,"("&amp;ROUND(C43,3)&amp;")",ROUND(C43,3)&amp;"")&amp;", "&amp;IF(ROUND(D43,3)&lt;0,"("&amp;ROUND(D43,3)&amp;")",ROUND(D43,3)&amp;"")&amp;", "&amp;IF(ROUND(E43,3)&lt;0,"("&amp;ROUND(E43,3)&amp;")",ROUND(E43,3)&amp;"")&amp;"]"</f>
        <v>[2.4, (-0.8), (-0.8)]</v>
      </c>
      <c r="K65" s="20"/>
      <c r="L65" s="20"/>
      <c r="M65" s="20"/>
      <c r="N65" s="20"/>
    </row>
    <row r="66" customFormat="false" ht="17.25" hidden="false" customHeight="true" outlineLevel="0" collapsed="false">
      <c r="B66" s="18" t="s">
        <v>498</v>
      </c>
      <c r="C66" s="18"/>
      <c r="D66" s="12" t="s">
        <v>499</v>
      </c>
      <c r="E66" s="12"/>
      <c r="F66" s="12"/>
      <c r="G66" s="12"/>
      <c r="H66" s="12"/>
      <c r="I66" s="44" t="s">
        <v>491</v>
      </c>
      <c r="J66" s="70" t="str">
        <f aca="false">"["&amp;IF(ROUND(C56,3)&lt;0,"("&amp;ROUND(C56,3)&amp;")",ROUND(C56,3)&amp;"")&amp;", "&amp;IF(ROUND(D56,3)&lt;0,"("&amp;ROUND(D56,3)&amp;")",ROUND(D56,3)&amp;"")&amp;", "&amp;IF(ROUND(E56,3)&lt;0,"("&amp;ROUND(E56,3)&amp;")",ROUND(E56,3)&amp;"")&amp;"]"</f>
        <v>[0.925, 0.038, 0.038]</v>
      </c>
      <c r="K66" s="70"/>
      <c r="L66" s="70"/>
      <c r="M66" s="70"/>
      <c r="N66" s="70"/>
    </row>
    <row r="67" customFormat="false" ht="17.25" hidden="false" customHeight="true" outlineLevel="0" collapsed="false">
      <c r="B67" s="9" t="s">
        <v>500</v>
      </c>
      <c r="C67" s="9"/>
      <c r="D67" s="15" t="s">
        <v>501</v>
      </c>
      <c r="E67" s="15"/>
      <c r="F67" s="15"/>
      <c r="G67" s="15"/>
      <c r="H67" s="15"/>
      <c r="I67" s="16" t="s">
        <v>502</v>
      </c>
      <c r="J67" s="20" t="str">
        <f aca="false">C59</f>
        <v>apple (92%)</v>
      </c>
      <c r="K67" s="20"/>
      <c r="L67" s="20"/>
      <c r="M67" s="20"/>
      <c r="N67" s="20"/>
    </row>
    <row r="69" customFormat="false" ht="21.75" hidden="false" customHeight="true" outlineLevel="0" collapsed="false">
      <c r="B69" s="4" t="s">
        <v>503</v>
      </c>
      <c r="C69" s="4"/>
      <c r="D69" s="4"/>
      <c r="E69" s="4"/>
      <c r="F69" s="4"/>
      <c r="G69" s="4"/>
      <c r="H69" s="4"/>
      <c r="I69" s="4"/>
      <c r="J69" s="4"/>
      <c r="K69" s="4"/>
      <c r="L69" s="4"/>
      <c r="M69" s="4"/>
      <c r="N69" s="4"/>
    </row>
    <row r="70" customFormat="false" ht="17.25" hidden="false" customHeight="true" outlineLevel="0" collapsed="false">
      <c r="B70" s="33" t="s">
        <v>468</v>
      </c>
      <c r="C70" s="33"/>
      <c r="D70" s="33"/>
      <c r="E70" s="33"/>
    </row>
    <row r="71" customFormat="false" ht="15" hidden="false" customHeight="false" outlineLevel="0" collapsed="false">
      <c r="B71" s="15"/>
      <c r="C71" s="34" t="s">
        <v>458</v>
      </c>
      <c r="D71" s="34" t="s">
        <v>459</v>
      </c>
      <c r="E71" s="34" t="s">
        <v>460</v>
      </c>
    </row>
    <row r="72" customFormat="false" ht="15" hidden="false" customHeight="false" outlineLevel="0" collapsed="false">
      <c r="B72" s="20"/>
      <c r="C72" s="42" t="n">
        <v>0.9</v>
      </c>
      <c r="D72" s="42" t="n">
        <v>0.1</v>
      </c>
      <c r="E72" s="42" t="n">
        <v>0.9</v>
      </c>
    </row>
    <row r="74" customFormat="false" ht="17.25" hidden="false" customHeight="true" outlineLevel="0" collapsed="false">
      <c r="B74" s="69" t="s">
        <v>469</v>
      </c>
      <c r="C74" s="5" t="s">
        <v>470</v>
      </c>
      <c r="D74" s="5"/>
      <c r="E74" s="5"/>
      <c r="F74" s="5"/>
      <c r="G74" s="5"/>
      <c r="H74" s="5"/>
      <c r="I74" s="5"/>
      <c r="J74" s="5"/>
      <c r="K74" s="5"/>
      <c r="L74" s="5"/>
      <c r="M74" s="5"/>
      <c r="N74" s="5"/>
    </row>
    <row r="75" customFormat="false" ht="17.25" hidden="false" customHeight="true" outlineLevel="0" collapsed="false">
      <c r="B75" s="33" t="s">
        <v>471</v>
      </c>
      <c r="C75" s="33"/>
      <c r="D75" s="33"/>
      <c r="E75" s="33"/>
    </row>
    <row r="76" customFormat="false" ht="15" hidden="false" customHeight="false" outlineLevel="0" collapsed="false">
      <c r="B76" s="15"/>
      <c r="C76" s="34" t="s">
        <v>455</v>
      </c>
      <c r="D76" s="34" t="s">
        <v>456</v>
      </c>
      <c r="E76" s="34" t="s">
        <v>457</v>
      </c>
    </row>
    <row r="77" customFormat="false" ht="15" hidden="false" customHeight="false" outlineLevel="0" collapsed="false">
      <c r="B77" s="20"/>
      <c r="C77" s="55" t="n">
        <f aca="false">C72*C10+D72*C11+E72*C12+H10</f>
        <v>-0.4</v>
      </c>
      <c r="D77" s="55" t="n">
        <f aca="false">C72*D10+D72*D11+E72*D12+I10</f>
        <v>1.2</v>
      </c>
      <c r="E77" s="55" t="n">
        <f aca="false">C72*E10+D72*E11+E72*E12+J10</f>
        <v>-0.4</v>
      </c>
    </row>
    <row r="79" customFormat="false" ht="15.75" hidden="false" customHeight="true" outlineLevel="0" collapsed="false">
      <c r="B79" s="9" t="s">
        <v>455</v>
      </c>
      <c r="C79" s="28" t="str">
        <f aca="false">IF(ROUND(C72,3)&lt;0,"("&amp;ROUND(C72,3)&amp;")",ROUND(C72,3)&amp;"")&amp;"×"&amp;IF(ROUND(C10,3)&lt;0,"("&amp;ROUND(C10,3)&amp;")",ROUND(C10,3)&amp;"")&amp;" + "&amp;IF(ROUND(D72,3)&lt;0,"("&amp;ROUND(D72,3)&amp;")",ROUND(D72,3)&amp;"")&amp;"×"&amp;IF(ROUND(C11,3)&lt;0,"("&amp;ROUND(C11,3)&amp;")",ROUND(C11,3)&amp;"")&amp;" + "&amp;IF(ROUND(E72,3)&lt;0,"("&amp;ROUND(E72,3)&amp;")",ROUND(E72,3)&amp;"")&amp;"×"&amp;IF(ROUND(C12,3)&lt;0,"("&amp;ROUND(C12,3)&amp;")",ROUND(C12,3)&amp;"")&amp;" + "&amp;IF(ROUND(H10,3)&lt;0,"("&amp;ROUND(H10,3)&amp;")",ROUND(H10,3)&amp;"")&amp;"  =  "&amp;IF(ROUND(C77,3)&lt;0,"("&amp;ROUND(C77,3)&amp;")",ROUND(C77,3)&amp;"")</f>
        <v>0.9×1 + 0.1×1 + 0.9×(-1) + (-0.5)  =  (-0.4)</v>
      </c>
      <c r="D79" s="28"/>
      <c r="E79" s="28"/>
      <c r="F79" s="28"/>
      <c r="G79" s="28"/>
      <c r="H79" s="28"/>
      <c r="I79" s="28"/>
      <c r="J79" s="28"/>
      <c r="K79" s="28"/>
      <c r="L79" s="28"/>
      <c r="M79" s="28"/>
      <c r="N79" s="28"/>
    </row>
    <row r="80" customFormat="false" ht="15.75" hidden="false" customHeight="true" outlineLevel="0" collapsed="false">
      <c r="B80" s="9" t="s">
        <v>456</v>
      </c>
      <c r="C80" s="28" t="str">
        <f aca="false">IF(ROUND(C72,3)&lt;0,"("&amp;ROUND(C72,3)&amp;")",ROUND(C72,3)&amp;"")&amp;"×"&amp;IF(ROUND(D10,3)&lt;0,"("&amp;ROUND(D10,3)&amp;")",ROUND(D10,3)&amp;"")&amp;" + "&amp;IF(ROUND(D72,3)&lt;0,"("&amp;ROUND(D72,3)&amp;")",ROUND(D72,3)&amp;"")&amp;"×"&amp;IF(ROUND(D11,3)&lt;0,"("&amp;ROUND(D11,3)&amp;")",ROUND(D11,3)&amp;"")&amp;" + "&amp;IF(ROUND(E72,3)&lt;0,"("&amp;ROUND(E72,3)&amp;")",ROUND(E72,3)&amp;"")&amp;"×"&amp;IF(ROUND(D12,3)&lt;0,"("&amp;ROUND(D12,3)&amp;")",ROUND(D12,3)&amp;"")&amp;" + "&amp;IF(ROUND(I10,3)&lt;0,"("&amp;ROUND(I10,3)&amp;")",ROUND(I10,3)&amp;"")&amp;"  =  "&amp;IF(ROUND(D77,3)&lt;0,"("&amp;ROUND(D77,3)&amp;")",ROUND(D77,3)&amp;"")</f>
        <v>0.9×1 + 0.1×(-1) + 0.9×1 + (-0.5)  =  1.2</v>
      </c>
      <c r="D80" s="28"/>
      <c r="E80" s="28"/>
      <c r="F80" s="28"/>
      <c r="G80" s="28"/>
      <c r="H80" s="28"/>
      <c r="I80" s="28"/>
      <c r="J80" s="28"/>
      <c r="K80" s="28"/>
      <c r="L80" s="28"/>
      <c r="M80" s="28"/>
      <c r="N80" s="28"/>
    </row>
    <row r="81" customFormat="false" ht="15.75" hidden="false" customHeight="true" outlineLevel="0" collapsed="false">
      <c r="B81" s="9" t="s">
        <v>457</v>
      </c>
      <c r="C81" s="28" t="str">
        <f aca="false">IF(ROUND(C72,3)&lt;0,"("&amp;ROUND(C72,3)&amp;")",ROUND(C72,3)&amp;"")&amp;"×"&amp;IF(ROUND(E10,3)&lt;0,"("&amp;ROUND(E10,3)&amp;")",ROUND(E10,3)&amp;"")&amp;" + "&amp;IF(ROUND(D72,3)&lt;0,"("&amp;ROUND(D72,3)&amp;")",ROUND(D72,3)&amp;"")&amp;"×"&amp;IF(ROUND(E11,3)&lt;0,"("&amp;ROUND(E11,3)&amp;")",ROUND(E11,3)&amp;"")&amp;" + "&amp;IF(ROUND(E72,3)&lt;0,"("&amp;ROUND(E72,3)&amp;")",ROUND(E72,3)&amp;"")&amp;"×"&amp;IF(ROUND(E12,3)&lt;0,"("&amp;ROUND(E12,3)&amp;")",ROUND(E12,3)&amp;"")&amp;" + "&amp;IF(ROUND(J10,3)&lt;0,"("&amp;ROUND(J10,3)&amp;")",ROUND(J10,3)&amp;"")&amp;"  =  "&amp;IF(ROUND(E77,3)&lt;0,"("&amp;ROUND(E77,3)&amp;")",ROUND(E77,3)&amp;"")</f>
        <v>0.9×(-1) + 0.1×1 + 0.9×1 + (-0.5)  =  (-0.4)</v>
      </c>
      <c r="D81" s="28"/>
      <c r="E81" s="28"/>
      <c r="F81" s="28"/>
      <c r="G81" s="28"/>
      <c r="H81" s="28"/>
      <c r="I81" s="28"/>
      <c r="J81" s="28"/>
      <c r="K81" s="28"/>
      <c r="L81" s="28"/>
      <c r="M81" s="28"/>
      <c r="N81" s="28"/>
    </row>
    <row r="82" customFormat="false" ht="17.25" hidden="false" customHeight="true" outlineLevel="0" collapsed="false">
      <c r="B82" s="69" t="s">
        <v>472</v>
      </c>
      <c r="C82" s="5" t="s">
        <v>473</v>
      </c>
      <c r="D82" s="5"/>
      <c r="E82" s="5"/>
      <c r="F82" s="5"/>
      <c r="G82" s="5"/>
      <c r="H82" s="5"/>
      <c r="I82" s="5"/>
      <c r="J82" s="5"/>
      <c r="K82" s="5"/>
      <c r="L82" s="5"/>
      <c r="M82" s="5"/>
      <c r="N82" s="5"/>
    </row>
    <row r="83" customFormat="false" ht="17.25" hidden="false" customHeight="true" outlineLevel="0" collapsed="false">
      <c r="B83" s="33" t="s">
        <v>474</v>
      </c>
      <c r="C83" s="33"/>
      <c r="D83" s="33"/>
      <c r="E83" s="33"/>
    </row>
    <row r="84" customFormat="false" ht="15" hidden="false" customHeight="false" outlineLevel="0" collapsed="false">
      <c r="B84" s="15"/>
      <c r="C84" s="34" t="s">
        <v>455</v>
      </c>
      <c r="D84" s="34" t="s">
        <v>456</v>
      </c>
      <c r="E84" s="34" t="s">
        <v>457</v>
      </c>
    </row>
    <row r="85" customFormat="false" ht="15" hidden="false" customHeight="false" outlineLevel="0" collapsed="false">
      <c r="B85" s="20"/>
      <c r="C85" s="55" t="n">
        <f aca="false">MAX(0,C77)</f>
        <v>0</v>
      </c>
      <c r="D85" s="55" t="n">
        <f aca="false">MAX(0,D77)</f>
        <v>1.2</v>
      </c>
      <c r="E85" s="55" t="n">
        <f aca="false">MAX(0,E77)</f>
        <v>0</v>
      </c>
    </row>
    <row r="87" customFormat="false" ht="15.75" hidden="false" customHeight="true" outlineLevel="0" collapsed="false">
      <c r="B87" s="9" t="s">
        <v>346</v>
      </c>
      <c r="C87" s="28" t="str">
        <f aca="false">"max(0, "&amp;IF(ROUND(C77,3)&lt;0,"("&amp;ROUND(C77,3)&amp;")",ROUND(C77,3)&amp;"")&amp;") = "&amp;IF(ROUND(C85,3)&lt;0,"("&amp;ROUND(C85,3)&amp;")",ROUND(C85,3)&amp;"")&amp;";   max(0, "&amp;IF(ROUND(D77,3)&lt;0,"("&amp;ROUND(D77,3)&amp;")",ROUND(D77,3)&amp;"")&amp;") = "&amp;IF(ROUND(D85,3)&lt;0,"("&amp;ROUND(D85,3)&amp;")",ROUND(D85,3)&amp;"")&amp;";   max(0, "&amp;IF(ROUND(E77,3)&lt;0,"("&amp;ROUND(E77,3)&amp;")",ROUND(E77,3)&amp;"")&amp;") = "&amp;IF(ROUND(E85,3)&lt;0,"("&amp;ROUND(E85,3)&amp;")",ROUND(E85,3)&amp;"")</f>
        <v>max(0, (-0.4)) = 0;   max(0, 1.2) = 1.2;   max(0, (-0.4)) = 0</v>
      </c>
      <c r="D87" s="28"/>
      <c r="E87" s="28"/>
      <c r="F87" s="28"/>
      <c r="G87" s="28"/>
      <c r="H87" s="28"/>
      <c r="I87" s="28"/>
      <c r="J87" s="28"/>
      <c r="K87" s="28"/>
      <c r="L87" s="28"/>
      <c r="M87" s="28"/>
      <c r="N87" s="28"/>
    </row>
    <row r="88" customFormat="false" ht="17.25" hidden="false" customHeight="true" outlineLevel="0" collapsed="false">
      <c r="B88" s="69" t="s">
        <v>475</v>
      </c>
      <c r="C88" s="5" t="s">
        <v>476</v>
      </c>
      <c r="D88" s="5"/>
      <c r="E88" s="5"/>
      <c r="F88" s="5"/>
      <c r="G88" s="5"/>
      <c r="H88" s="5"/>
      <c r="I88" s="5"/>
      <c r="J88" s="5"/>
      <c r="K88" s="5"/>
      <c r="L88" s="5"/>
      <c r="M88" s="5"/>
      <c r="N88" s="5"/>
    </row>
    <row r="89" customFormat="false" ht="17.25" hidden="false" customHeight="true" outlineLevel="0" collapsed="false">
      <c r="B89" s="33" t="s">
        <v>477</v>
      </c>
      <c r="C89" s="33"/>
      <c r="D89" s="33"/>
      <c r="E89" s="33"/>
    </row>
    <row r="90" customFormat="false" ht="15" hidden="false" customHeight="false" outlineLevel="0" collapsed="false">
      <c r="B90" s="15"/>
      <c r="C90" s="34" t="s">
        <v>462</v>
      </c>
      <c r="D90" s="34" t="s">
        <v>463</v>
      </c>
      <c r="E90" s="34" t="s">
        <v>464</v>
      </c>
    </row>
    <row r="91" customFormat="false" ht="15" hidden="false" customHeight="false" outlineLevel="0" collapsed="false">
      <c r="B91" s="20"/>
      <c r="C91" s="55" t="n">
        <f aca="false">C85*C16+D85*C17+E85*C18+H16</f>
        <v>-1.2</v>
      </c>
      <c r="D91" s="55" t="n">
        <f aca="false">C85*D16+D85*D17+E85*D18+I16</f>
        <v>3.6</v>
      </c>
      <c r="E91" s="55" t="n">
        <f aca="false">C85*E16+D85*E17+E85*E18+J16</f>
        <v>-1.2</v>
      </c>
    </row>
    <row r="93" customFormat="false" ht="15.75" hidden="false" customHeight="true" outlineLevel="0" collapsed="false">
      <c r="B93" s="9" t="s">
        <v>462</v>
      </c>
      <c r="C93" s="28" t="str">
        <f aca="false">IF(ROUND(C85,3)&lt;0,"("&amp;ROUND(C85,3)&amp;")",ROUND(C85,3)&amp;"")&amp;"×"&amp;IF(ROUND(C16,3)&lt;0,"("&amp;ROUND(C16,3)&amp;")",ROUND(C16,3)&amp;"")&amp;" + "&amp;IF(ROUND(D85,3)&lt;0,"("&amp;ROUND(D85,3)&amp;")",ROUND(D85,3)&amp;"")&amp;"×"&amp;IF(ROUND(C17,3)&lt;0,"("&amp;ROUND(C17,3)&amp;")",ROUND(C17,3)&amp;"")&amp;" + "&amp;IF(ROUND(E85,3)&lt;0,"("&amp;ROUND(E85,3)&amp;")",ROUND(E85,3)&amp;"")&amp;"×"&amp;IF(ROUND(C18,3)&lt;0,"("&amp;ROUND(C18,3)&amp;")",ROUND(C18,3)&amp;"")&amp;" + "&amp;IF(ROUND(H16,3)&lt;0,"("&amp;ROUND(H16,3)&amp;")",ROUND(H16,3)&amp;"")&amp;"  =  "&amp;IF(ROUND(C91,3)&lt;0,"("&amp;ROUND(C91,3)&amp;")",ROUND(C91,3)&amp;"")</f>
        <v>0×3 + 1.2×(-1) + 0×(-1) + 0  =  (-1.2)</v>
      </c>
      <c r="D93" s="28"/>
      <c r="E93" s="28"/>
      <c r="F93" s="28"/>
      <c r="G93" s="28"/>
      <c r="H93" s="28"/>
      <c r="I93" s="28"/>
      <c r="J93" s="28"/>
      <c r="K93" s="28"/>
      <c r="L93" s="28"/>
      <c r="M93" s="28"/>
      <c r="N93" s="28"/>
    </row>
    <row r="94" customFormat="false" ht="15.75" hidden="false" customHeight="true" outlineLevel="0" collapsed="false">
      <c r="B94" s="9" t="s">
        <v>463</v>
      </c>
      <c r="C94" s="28" t="str">
        <f aca="false">IF(ROUND(C85,3)&lt;0,"("&amp;ROUND(C85,3)&amp;")",ROUND(C85,3)&amp;"")&amp;"×"&amp;IF(ROUND(D16,3)&lt;0,"("&amp;ROUND(D16,3)&amp;")",ROUND(D16,3)&amp;"")&amp;" + "&amp;IF(ROUND(D85,3)&lt;0,"("&amp;ROUND(D85,3)&amp;")",ROUND(D85,3)&amp;"")&amp;"×"&amp;IF(ROUND(D17,3)&lt;0,"("&amp;ROUND(D17,3)&amp;")",ROUND(D17,3)&amp;"")&amp;" + "&amp;IF(ROUND(E85,3)&lt;0,"("&amp;ROUND(E85,3)&amp;")",ROUND(E85,3)&amp;"")&amp;"×"&amp;IF(ROUND(D18,3)&lt;0,"("&amp;ROUND(D18,3)&amp;")",ROUND(D18,3)&amp;"")&amp;" + "&amp;IF(ROUND(I16,3)&lt;0,"("&amp;ROUND(I16,3)&amp;")",ROUND(I16,3)&amp;"")&amp;"  =  "&amp;IF(ROUND(D91,3)&lt;0,"("&amp;ROUND(D91,3)&amp;")",ROUND(D91,3)&amp;"")</f>
        <v>0×(-1) + 1.2×3 + 0×(-1) + 0  =  3.6</v>
      </c>
      <c r="D94" s="28"/>
      <c r="E94" s="28"/>
      <c r="F94" s="28"/>
      <c r="G94" s="28"/>
      <c r="H94" s="28"/>
      <c r="I94" s="28"/>
      <c r="J94" s="28"/>
      <c r="K94" s="28"/>
      <c r="L94" s="28"/>
      <c r="M94" s="28"/>
      <c r="N94" s="28"/>
    </row>
    <row r="95" customFormat="false" ht="15.75" hidden="false" customHeight="true" outlineLevel="0" collapsed="false">
      <c r="B95" s="9" t="s">
        <v>464</v>
      </c>
      <c r="C95" s="28" t="str">
        <f aca="false">IF(ROUND(C85,3)&lt;0,"("&amp;ROUND(C85,3)&amp;")",ROUND(C85,3)&amp;"")&amp;"×"&amp;IF(ROUND(E16,3)&lt;0,"("&amp;ROUND(E16,3)&amp;")",ROUND(E16,3)&amp;"")&amp;" + "&amp;IF(ROUND(D85,3)&lt;0,"("&amp;ROUND(D85,3)&amp;")",ROUND(D85,3)&amp;"")&amp;"×"&amp;IF(ROUND(E17,3)&lt;0,"("&amp;ROUND(E17,3)&amp;")",ROUND(E17,3)&amp;"")&amp;" + "&amp;IF(ROUND(E85,3)&lt;0,"("&amp;ROUND(E85,3)&amp;")",ROUND(E85,3)&amp;"")&amp;"×"&amp;IF(ROUND(E18,3)&lt;0,"("&amp;ROUND(E18,3)&amp;")",ROUND(E18,3)&amp;"")&amp;" + "&amp;IF(ROUND(J16,3)&lt;0,"("&amp;ROUND(J16,3)&amp;")",ROUND(J16,3)&amp;"")&amp;"  =  "&amp;IF(ROUND(E91,3)&lt;0,"("&amp;ROUND(E91,3)&amp;")",ROUND(E91,3)&amp;"")</f>
        <v>0×(-1) + 1.2×(-1) + 0×3 + 0  =  (-1.2)</v>
      </c>
      <c r="D95" s="28"/>
      <c r="E95" s="28"/>
      <c r="F95" s="28"/>
      <c r="G95" s="28"/>
      <c r="H95" s="28"/>
      <c r="I95" s="28"/>
      <c r="J95" s="28"/>
      <c r="K95" s="28"/>
      <c r="L95" s="28"/>
      <c r="M95" s="28"/>
      <c r="N95" s="28"/>
    </row>
    <row r="96" customFormat="false" ht="17.25" hidden="false" customHeight="true" outlineLevel="0" collapsed="false">
      <c r="B96" s="69" t="s">
        <v>478</v>
      </c>
      <c r="C96" s="5" t="s">
        <v>479</v>
      </c>
      <c r="D96" s="5"/>
      <c r="E96" s="5"/>
      <c r="F96" s="5"/>
      <c r="G96" s="5"/>
      <c r="H96" s="5"/>
      <c r="I96" s="5"/>
      <c r="J96" s="5"/>
      <c r="K96" s="5"/>
      <c r="L96" s="5"/>
      <c r="M96" s="5"/>
      <c r="N96" s="5"/>
    </row>
    <row r="97" customFormat="false" ht="17.25" hidden="false" customHeight="true" outlineLevel="0" collapsed="false">
      <c r="B97" s="33" t="s">
        <v>480</v>
      </c>
      <c r="C97" s="33"/>
      <c r="D97" s="33"/>
      <c r="E97" s="33"/>
    </row>
    <row r="98" customFormat="false" ht="15" hidden="false" customHeight="false" outlineLevel="0" collapsed="false">
      <c r="B98" s="15"/>
      <c r="C98" s="34" t="s">
        <v>462</v>
      </c>
      <c r="D98" s="34" t="s">
        <v>463</v>
      </c>
      <c r="E98" s="34" t="s">
        <v>464</v>
      </c>
    </row>
    <row r="99" customFormat="false" ht="15" hidden="false" customHeight="false" outlineLevel="0" collapsed="false">
      <c r="B99" s="20"/>
      <c r="C99" s="55" t="n">
        <f aca="false">EXP(C91)</f>
        <v>0.301194211912202</v>
      </c>
      <c r="D99" s="55" t="n">
        <f aca="false">EXP(D91)</f>
        <v>36.598234443678</v>
      </c>
      <c r="E99" s="55" t="n">
        <f aca="false">EXP(E91)</f>
        <v>0.301194211912202</v>
      </c>
    </row>
    <row r="101" customFormat="false" ht="15.75" hidden="false" customHeight="true" outlineLevel="0" collapsed="false">
      <c r="B101" s="20" t="s">
        <v>481</v>
      </c>
      <c r="C101" s="59" t="n">
        <f aca="false">SUM(C99:E99)</f>
        <v>37.2006228675024</v>
      </c>
    </row>
    <row r="102" customFormat="false" ht="17.25" hidden="false" customHeight="true" outlineLevel="0" collapsed="false">
      <c r="B102" s="33" t="s">
        <v>482</v>
      </c>
      <c r="C102" s="33"/>
      <c r="D102" s="33"/>
      <c r="E102" s="33"/>
    </row>
    <row r="103" customFormat="false" ht="15" hidden="false" customHeight="false" outlineLevel="0" collapsed="false">
      <c r="B103" s="15"/>
      <c r="C103" s="34" t="s">
        <v>462</v>
      </c>
      <c r="D103" s="34" t="s">
        <v>463</v>
      </c>
      <c r="E103" s="34" t="s">
        <v>464</v>
      </c>
    </row>
    <row r="104" customFormat="false" ht="15" hidden="false" customHeight="false" outlineLevel="0" collapsed="false">
      <c r="B104" s="20"/>
      <c r="C104" s="50" t="n">
        <f aca="false">C99/C101</f>
        <v>0.00809648303430205</v>
      </c>
      <c r="D104" s="50" t="n">
        <f aca="false">D99/C101</f>
        <v>0.983807033931396</v>
      </c>
      <c r="E104" s="50" t="n">
        <f aca="false">E99/C101</f>
        <v>0.00809648303430205</v>
      </c>
    </row>
    <row r="106" customFormat="false" ht="15.75" hidden="false" customHeight="true" outlineLevel="0" collapsed="false">
      <c r="B106" s="9" t="s">
        <v>483</v>
      </c>
      <c r="C106" s="28" t="str">
        <f aca="false">"("&amp;IF(ROUND(C99,3)&lt;0,"("&amp;ROUND(C99,3)&amp;")",ROUND(C99,3)&amp;"")&amp;", "&amp;IF(ROUND(D99,3)&lt;0,"("&amp;ROUND(D99,3)&amp;")",ROUND(D99,3)&amp;"")&amp;", "&amp;IF(ROUND(E99,3)&lt;0,"("&amp;ROUND(E99,3)&amp;")",ROUND(E99,3)&amp;"")&amp;") ÷ "&amp;IF(ROUND(C101,3)&lt;0,"("&amp;ROUND(C101,3)&amp;")",ROUND(C101,3)&amp;"")&amp;" = ("&amp;IF(ROUND(C104,3)&lt;0,"("&amp;ROUND(C104,3)&amp;")",ROUND(C104,3)&amp;"")&amp;", "&amp;IF(ROUND(D104,3)&lt;0,"("&amp;ROUND(D104,3)&amp;")",ROUND(D104,3)&amp;"")&amp;", "&amp;IF(ROUND(E104,3)&lt;0,"("&amp;ROUND(E104,3)&amp;")",ROUND(E104,3)&amp;"")&amp;")"</f>
        <v>(0.301, 36.598, 0.301) ÷ 37.201 = (0.008, 0.984, 0.008)</v>
      </c>
      <c r="D106" s="28"/>
      <c r="E106" s="28"/>
      <c r="F106" s="28"/>
      <c r="G106" s="28"/>
      <c r="H106" s="28"/>
      <c r="I106" s="28"/>
      <c r="J106" s="28"/>
      <c r="K106" s="28"/>
      <c r="L106" s="28"/>
      <c r="M106" s="28"/>
      <c r="N106" s="28"/>
    </row>
    <row r="107" customFormat="false" ht="17.25" hidden="false" customHeight="true" outlineLevel="0" collapsed="false">
      <c r="B107" s="20" t="s">
        <v>484</v>
      </c>
      <c r="C107" s="46" t="str">
        <f aca="false">INDEX(C103:E103,MATCH(MAX(C104:E104),C104:E104,0))&amp;" ("&amp;TEXT(MAX(C104:E104),"0%")&amp;")"</f>
        <v>banana (98%)</v>
      </c>
      <c r="D107" s="22" t="s">
        <v>392</v>
      </c>
      <c r="E107" s="22"/>
      <c r="F107" s="22"/>
      <c r="G107" s="22"/>
      <c r="H107" s="22"/>
      <c r="I107" s="22"/>
      <c r="J107" s="22"/>
      <c r="K107" s="22"/>
      <c r="L107" s="22"/>
      <c r="M107" s="22"/>
      <c r="N107" s="22"/>
    </row>
    <row r="108" customFormat="false" ht="17.25" hidden="false" customHeight="true" outlineLevel="0" collapsed="false">
      <c r="B108" s="30" t="s">
        <v>485</v>
      </c>
      <c r="C108" s="30"/>
      <c r="D108" s="30"/>
      <c r="E108" s="30"/>
      <c r="F108" s="30"/>
      <c r="G108" s="30"/>
      <c r="H108" s="30"/>
      <c r="I108" s="30"/>
      <c r="J108" s="30"/>
      <c r="K108" s="30"/>
      <c r="L108" s="30"/>
      <c r="M108" s="30"/>
      <c r="N108" s="30"/>
    </row>
    <row r="109" customFormat="false" ht="17.25" hidden="false" customHeight="true" outlineLevel="0" collapsed="false">
      <c r="B109" s="10" t="s">
        <v>104</v>
      </c>
      <c r="C109" s="10"/>
      <c r="D109" s="10" t="s">
        <v>486</v>
      </c>
      <c r="E109" s="10"/>
      <c r="F109" s="10"/>
      <c r="G109" s="10"/>
      <c r="H109" s="10"/>
      <c r="I109" s="10" t="s">
        <v>487</v>
      </c>
      <c r="J109" s="10" t="s">
        <v>488</v>
      </c>
      <c r="K109" s="10"/>
      <c r="L109" s="10"/>
      <c r="M109" s="10"/>
      <c r="N109" s="10"/>
    </row>
    <row r="110" customFormat="false" ht="17.25" hidden="false" customHeight="true" outlineLevel="0" collapsed="false">
      <c r="B110" s="18" t="s">
        <v>489</v>
      </c>
      <c r="C110" s="18"/>
      <c r="D110" s="12" t="s">
        <v>490</v>
      </c>
      <c r="E110" s="12"/>
      <c r="F110" s="12"/>
      <c r="G110" s="12"/>
      <c r="H110" s="12"/>
      <c r="I110" s="44" t="s">
        <v>491</v>
      </c>
      <c r="J110" s="70" t="str">
        <f aca="false">"["&amp;IF(ROUND(C72,3)&lt;0,"("&amp;ROUND(C72,3)&amp;")",ROUND(C72,3)&amp;"")&amp;", "&amp;IF(ROUND(D72,3)&lt;0,"("&amp;ROUND(D72,3)&amp;")",ROUND(D72,3)&amp;"")&amp;", "&amp;IF(ROUND(E72,3)&lt;0,"("&amp;ROUND(E72,3)&amp;")",ROUND(E72,3)&amp;"")&amp;"]"</f>
        <v>[0.9, 0.1, 0.9]</v>
      </c>
      <c r="K110" s="70"/>
      <c r="L110" s="70"/>
      <c r="M110" s="70"/>
      <c r="N110" s="70"/>
    </row>
    <row r="111" customFormat="false" ht="17.25" hidden="false" customHeight="true" outlineLevel="0" collapsed="false">
      <c r="B111" s="9" t="s">
        <v>492</v>
      </c>
      <c r="C111" s="9"/>
      <c r="D111" s="15" t="s">
        <v>493</v>
      </c>
      <c r="E111" s="15"/>
      <c r="F111" s="15"/>
      <c r="G111" s="15"/>
      <c r="H111" s="15"/>
      <c r="I111" s="16" t="s">
        <v>491</v>
      </c>
      <c r="J111" s="20" t="str">
        <f aca="false">"["&amp;IF(ROUND(C77,3)&lt;0,"("&amp;ROUND(C77,3)&amp;")",ROUND(C77,3)&amp;"")&amp;", "&amp;IF(ROUND(D77,3)&lt;0,"("&amp;ROUND(D77,3)&amp;")",ROUND(D77,3)&amp;"")&amp;", "&amp;IF(ROUND(E77,3)&lt;0,"("&amp;ROUND(E77,3)&amp;")",ROUND(E77,3)&amp;"")&amp;"]"</f>
        <v>[(-0.4), 1.2, (-0.4)]</v>
      </c>
      <c r="K111" s="20"/>
      <c r="L111" s="20"/>
      <c r="M111" s="20"/>
      <c r="N111" s="20"/>
    </row>
    <row r="112" customFormat="false" ht="17.25" hidden="false" customHeight="true" outlineLevel="0" collapsed="false">
      <c r="B112" s="18" t="s">
        <v>494</v>
      </c>
      <c r="C112" s="18"/>
      <c r="D112" s="12" t="s">
        <v>495</v>
      </c>
      <c r="E112" s="12"/>
      <c r="F112" s="12"/>
      <c r="G112" s="12"/>
      <c r="H112" s="12"/>
      <c r="I112" s="44" t="s">
        <v>491</v>
      </c>
      <c r="J112" s="70" t="str">
        <f aca="false">"["&amp;IF(ROUND(C85,3)&lt;0,"("&amp;ROUND(C85,3)&amp;")",ROUND(C85,3)&amp;"")&amp;", "&amp;IF(ROUND(D85,3)&lt;0,"("&amp;ROUND(D85,3)&amp;")",ROUND(D85,3)&amp;"")&amp;", "&amp;IF(ROUND(E85,3)&lt;0,"("&amp;ROUND(E85,3)&amp;")",ROUND(E85,3)&amp;"")&amp;"]"</f>
        <v>[0, 1.2, 0]</v>
      </c>
      <c r="K112" s="70"/>
      <c r="L112" s="70"/>
      <c r="M112" s="70"/>
      <c r="N112" s="70"/>
    </row>
    <row r="113" customFormat="false" ht="17.25" hidden="false" customHeight="true" outlineLevel="0" collapsed="false">
      <c r="B113" s="9" t="s">
        <v>496</v>
      </c>
      <c r="C113" s="9"/>
      <c r="D113" s="15" t="s">
        <v>497</v>
      </c>
      <c r="E113" s="15"/>
      <c r="F113" s="15"/>
      <c r="G113" s="15"/>
      <c r="H113" s="15"/>
      <c r="I113" s="16" t="s">
        <v>491</v>
      </c>
      <c r="J113" s="20" t="str">
        <f aca="false">"["&amp;IF(ROUND(C91,3)&lt;0,"("&amp;ROUND(C91,3)&amp;")",ROUND(C91,3)&amp;"")&amp;", "&amp;IF(ROUND(D91,3)&lt;0,"("&amp;ROUND(D91,3)&amp;")",ROUND(D91,3)&amp;"")&amp;", "&amp;IF(ROUND(E91,3)&lt;0,"("&amp;ROUND(E91,3)&amp;")",ROUND(E91,3)&amp;"")&amp;"]"</f>
        <v>[(-1.2), 3.6, (-1.2)]</v>
      </c>
      <c r="K113" s="20"/>
      <c r="L113" s="20"/>
      <c r="M113" s="20"/>
      <c r="N113" s="20"/>
    </row>
    <row r="114" customFormat="false" ht="17.25" hidden="false" customHeight="true" outlineLevel="0" collapsed="false">
      <c r="B114" s="18" t="s">
        <v>498</v>
      </c>
      <c r="C114" s="18"/>
      <c r="D114" s="12" t="s">
        <v>499</v>
      </c>
      <c r="E114" s="12"/>
      <c r="F114" s="12"/>
      <c r="G114" s="12"/>
      <c r="H114" s="12"/>
      <c r="I114" s="44" t="s">
        <v>491</v>
      </c>
      <c r="J114" s="70" t="str">
        <f aca="false">"["&amp;IF(ROUND(C104,3)&lt;0,"("&amp;ROUND(C104,3)&amp;")",ROUND(C104,3)&amp;"")&amp;", "&amp;IF(ROUND(D104,3)&lt;0,"("&amp;ROUND(D104,3)&amp;")",ROUND(D104,3)&amp;"")&amp;", "&amp;IF(ROUND(E104,3)&lt;0,"("&amp;ROUND(E104,3)&amp;")",ROUND(E104,3)&amp;"")&amp;"]"</f>
        <v>[0.008, 0.984, 0.008]</v>
      </c>
      <c r="K114" s="70"/>
      <c r="L114" s="70"/>
      <c r="M114" s="70"/>
      <c r="N114" s="70"/>
    </row>
    <row r="115" customFormat="false" ht="17.25" hidden="false" customHeight="true" outlineLevel="0" collapsed="false">
      <c r="B115" s="9" t="s">
        <v>500</v>
      </c>
      <c r="C115" s="9"/>
      <c r="D115" s="15" t="s">
        <v>501</v>
      </c>
      <c r="E115" s="15"/>
      <c r="F115" s="15"/>
      <c r="G115" s="15"/>
      <c r="H115" s="15"/>
      <c r="I115" s="16" t="s">
        <v>502</v>
      </c>
      <c r="J115" s="20" t="str">
        <f aca="false">C107</f>
        <v>banana (98%)</v>
      </c>
      <c r="K115" s="20"/>
      <c r="L115" s="20"/>
      <c r="M115" s="20"/>
      <c r="N115" s="20"/>
    </row>
    <row r="117" customFormat="false" ht="21.75" hidden="false" customHeight="true" outlineLevel="0" collapsed="false">
      <c r="B117" s="4" t="s">
        <v>504</v>
      </c>
      <c r="C117" s="4"/>
      <c r="D117" s="4"/>
      <c r="E117" s="4"/>
      <c r="F117" s="4"/>
      <c r="G117" s="4"/>
      <c r="H117" s="4"/>
      <c r="I117" s="4"/>
      <c r="J117" s="4"/>
      <c r="K117" s="4"/>
      <c r="L117" s="4"/>
      <c r="M117" s="4"/>
      <c r="N117" s="4"/>
    </row>
    <row r="118" customFormat="false" ht="31.5" hidden="false" customHeight="true" outlineLevel="0" collapsed="false">
      <c r="B118" s="5" t="s">
        <v>505</v>
      </c>
      <c r="C118" s="5"/>
      <c r="D118" s="5"/>
      <c r="E118" s="5"/>
      <c r="F118" s="5"/>
      <c r="G118" s="5"/>
      <c r="H118" s="5"/>
      <c r="I118" s="5"/>
      <c r="J118" s="5"/>
      <c r="K118" s="5"/>
      <c r="L118" s="5"/>
      <c r="M118" s="5"/>
      <c r="N118" s="5"/>
    </row>
    <row r="119" customFormat="false" ht="17.25" hidden="false" customHeight="true" outlineLevel="0" collapsed="false">
      <c r="B119" s="33" t="s">
        <v>506</v>
      </c>
      <c r="C119" s="33"/>
      <c r="D119" s="33"/>
      <c r="E119" s="33"/>
      <c r="G119" s="33" t="s">
        <v>507</v>
      </c>
      <c r="H119" s="33"/>
      <c r="I119" s="33"/>
      <c r="J119" s="33"/>
    </row>
    <row r="120" customFormat="false" ht="15" hidden="false" customHeight="false" outlineLevel="0" collapsed="false">
      <c r="B120" s="15"/>
      <c r="C120" s="34" t="s">
        <v>458</v>
      </c>
      <c r="D120" s="34" t="s">
        <v>459</v>
      </c>
      <c r="E120" s="34" t="s">
        <v>460</v>
      </c>
      <c r="G120" s="15"/>
      <c r="H120" s="34" t="s">
        <v>455</v>
      </c>
      <c r="I120" s="34" t="s">
        <v>456</v>
      </c>
      <c r="J120" s="34" t="s">
        <v>457</v>
      </c>
    </row>
    <row r="121" customFormat="false" ht="15" hidden="false" customHeight="false" outlineLevel="0" collapsed="false">
      <c r="B121" s="20" t="s">
        <v>508</v>
      </c>
      <c r="C121" s="42" t="n">
        <v>0.8</v>
      </c>
      <c r="D121" s="42" t="n">
        <v>0.7</v>
      </c>
      <c r="E121" s="42" t="n">
        <v>0.2</v>
      </c>
      <c r="G121" s="20" t="s">
        <v>508</v>
      </c>
      <c r="H121" s="55" t="n">
        <f aca="false">C121*C10+D121*C11+E121*C12+H10</f>
        <v>0.8</v>
      </c>
      <c r="I121" s="55" t="n">
        <f aca="false">C121*D10+D121*D11+E121*D12+I10</f>
        <v>-0.2</v>
      </c>
      <c r="J121" s="55" t="n">
        <f aca="false">C121*E10+D121*E11+E121*E12+J10</f>
        <v>-0.4</v>
      </c>
    </row>
    <row r="122" customFormat="false" ht="15" hidden="false" customHeight="false" outlineLevel="0" collapsed="false">
      <c r="B122" s="20" t="s">
        <v>509</v>
      </c>
      <c r="C122" s="42" t="n">
        <v>0.9</v>
      </c>
      <c r="D122" s="42" t="n">
        <v>0.1</v>
      </c>
      <c r="E122" s="42" t="n">
        <v>0.9</v>
      </c>
      <c r="G122" s="20" t="s">
        <v>509</v>
      </c>
      <c r="H122" s="55" t="n">
        <f aca="false">C122*C10+D122*C11+E122*C12+H10</f>
        <v>-0.4</v>
      </c>
      <c r="I122" s="55" t="n">
        <f aca="false">C122*D10+D122*D11+E122*D12+I10</f>
        <v>1.2</v>
      </c>
      <c r="J122" s="55" t="n">
        <f aca="false">C122*E10+D122*E11+E122*E12+J10</f>
        <v>-0.4</v>
      </c>
    </row>
    <row r="123" customFormat="false" ht="15" hidden="false" customHeight="false" outlineLevel="0" collapsed="false">
      <c r="B123" s="20" t="s">
        <v>510</v>
      </c>
      <c r="C123" s="42" t="n">
        <v>0.2</v>
      </c>
      <c r="D123" s="42" t="n">
        <v>0.9</v>
      </c>
      <c r="E123" s="42" t="n">
        <v>0.8</v>
      </c>
      <c r="G123" s="20" t="s">
        <v>510</v>
      </c>
      <c r="H123" s="55" t="n">
        <f aca="false">C123*C10+D123*C11+E123*C12+H10</f>
        <v>-0.2</v>
      </c>
      <c r="I123" s="55" t="n">
        <f aca="false">C123*D10+D123*D11+E123*D12+I10</f>
        <v>-0.4</v>
      </c>
      <c r="J123" s="55" t="n">
        <f aca="false">C123*E10+D123*E11+E123*E12+J10</f>
        <v>1</v>
      </c>
    </row>
    <row r="124" customFormat="false" ht="15" hidden="false" customHeight="false" outlineLevel="0" collapsed="false">
      <c r="B124" s="20" t="s">
        <v>511</v>
      </c>
      <c r="C124" s="42" t="n">
        <v>0.6</v>
      </c>
      <c r="D124" s="42" t="n">
        <v>0.5</v>
      </c>
      <c r="E124" s="42" t="n">
        <v>0.5</v>
      </c>
      <c r="G124" s="20" t="s">
        <v>511</v>
      </c>
      <c r="H124" s="55" t="n">
        <f aca="false">C124*C10+D124*C11+E124*C12+H10</f>
        <v>0.1</v>
      </c>
      <c r="I124" s="55" t="n">
        <f aca="false">C124*D10+D124*D11+E124*D12+I10</f>
        <v>0.1</v>
      </c>
      <c r="J124" s="55" t="n">
        <f aca="false">C124*E10+D124*E11+E124*E12+J10</f>
        <v>-0.1</v>
      </c>
    </row>
    <row r="126" customFormat="false" ht="17.25" hidden="false" customHeight="true" outlineLevel="0" collapsed="false">
      <c r="B126" s="33" t="s">
        <v>512</v>
      </c>
      <c r="C126" s="33"/>
      <c r="D126" s="33"/>
      <c r="E126" s="33"/>
      <c r="G126" s="33" t="s">
        <v>513</v>
      </c>
      <c r="H126" s="33"/>
      <c r="I126" s="33"/>
      <c r="J126" s="33"/>
    </row>
    <row r="127" customFormat="false" ht="15" hidden="false" customHeight="false" outlineLevel="0" collapsed="false">
      <c r="B127" s="15"/>
      <c r="C127" s="34" t="s">
        <v>455</v>
      </c>
      <c r="D127" s="34" t="s">
        <v>456</v>
      </c>
      <c r="E127" s="34" t="s">
        <v>457</v>
      </c>
      <c r="G127" s="15"/>
      <c r="H127" s="34" t="s">
        <v>462</v>
      </c>
      <c r="I127" s="34" t="s">
        <v>463</v>
      </c>
      <c r="J127" s="34" t="s">
        <v>464</v>
      </c>
    </row>
    <row r="128" customFormat="false" ht="15" hidden="false" customHeight="false" outlineLevel="0" collapsed="false">
      <c r="B128" s="20" t="s">
        <v>508</v>
      </c>
      <c r="C128" s="55" t="n">
        <f aca="false">MAX(0,H121)</f>
        <v>0.8</v>
      </c>
      <c r="D128" s="55" t="n">
        <f aca="false">MAX(0,I121)</f>
        <v>0</v>
      </c>
      <c r="E128" s="55" t="n">
        <f aca="false">MAX(0,J121)</f>
        <v>0</v>
      </c>
      <c r="G128" s="20" t="s">
        <v>508</v>
      </c>
      <c r="H128" s="55" t="n">
        <f aca="false">C128*C16+D128*C17+E128*C18+H16</f>
        <v>2.4</v>
      </c>
      <c r="I128" s="55" t="n">
        <f aca="false">C128*D16+D128*D17+E128*D18+I16</f>
        <v>-0.8</v>
      </c>
      <c r="J128" s="55" t="n">
        <f aca="false">C128*E16+D128*E17+E128*E18+J16</f>
        <v>-0.8</v>
      </c>
    </row>
    <row r="129" customFormat="false" ht="15" hidden="false" customHeight="false" outlineLevel="0" collapsed="false">
      <c r="B129" s="20" t="s">
        <v>509</v>
      </c>
      <c r="C129" s="55" t="n">
        <f aca="false">MAX(0,H122)</f>
        <v>0</v>
      </c>
      <c r="D129" s="55" t="n">
        <f aca="false">MAX(0,I122)</f>
        <v>1.2</v>
      </c>
      <c r="E129" s="55" t="n">
        <f aca="false">MAX(0,J122)</f>
        <v>0</v>
      </c>
      <c r="G129" s="20" t="s">
        <v>509</v>
      </c>
      <c r="H129" s="55" t="n">
        <f aca="false">C129*C16+D129*C17+E129*C18+H16</f>
        <v>-1.2</v>
      </c>
      <c r="I129" s="55" t="n">
        <f aca="false">C129*D16+D129*D17+E129*D18+I16</f>
        <v>3.6</v>
      </c>
      <c r="J129" s="55" t="n">
        <f aca="false">C129*E16+D129*E17+E129*E18+J16</f>
        <v>-1.2</v>
      </c>
    </row>
    <row r="130" customFormat="false" ht="15" hidden="false" customHeight="false" outlineLevel="0" collapsed="false">
      <c r="B130" s="20" t="s">
        <v>510</v>
      </c>
      <c r="C130" s="55" t="n">
        <f aca="false">MAX(0,H123)</f>
        <v>0</v>
      </c>
      <c r="D130" s="55" t="n">
        <f aca="false">MAX(0,I123)</f>
        <v>0</v>
      </c>
      <c r="E130" s="55" t="n">
        <f aca="false">MAX(0,J123)</f>
        <v>1</v>
      </c>
      <c r="G130" s="20" t="s">
        <v>510</v>
      </c>
      <c r="H130" s="55" t="n">
        <f aca="false">C130*C16+D130*C17+E130*C18+H16</f>
        <v>-1</v>
      </c>
      <c r="I130" s="55" t="n">
        <f aca="false">C130*D16+D130*D17+E130*D18+I16</f>
        <v>-1</v>
      </c>
      <c r="J130" s="55" t="n">
        <f aca="false">C130*E16+D130*E17+E130*E18+J16</f>
        <v>3</v>
      </c>
    </row>
    <row r="131" customFormat="false" ht="15" hidden="false" customHeight="false" outlineLevel="0" collapsed="false">
      <c r="B131" s="20" t="s">
        <v>511</v>
      </c>
      <c r="C131" s="55" t="n">
        <f aca="false">MAX(0,H124)</f>
        <v>0.1</v>
      </c>
      <c r="D131" s="55" t="n">
        <f aca="false">MAX(0,I124)</f>
        <v>0.1</v>
      </c>
      <c r="E131" s="55" t="n">
        <f aca="false">MAX(0,J124)</f>
        <v>0</v>
      </c>
      <c r="G131" s="20" t="s">
        <v>511</v>
      </c>
      <c r="H131" s="55" t="n">
        <f aca="false">C131*C16+D131*C17+E131*C18+H16</f>
        <v>0.2</v>
      </c>
      <c r="I131" s="55" t="n">
        <f aca="false">C131*D16+D131*D17+E131*D18+I16</f>
        <v>0.2</v>
      </c>
      <c r="J131" s="55" t="n">
        <f aca="false">C131*E16+D131*E17+E131*E18+J16</f>
        <v>-0.2</v>
      </c>
    </row>
    <row r="133" customFormat="false" ht="17.25" hidden="false" customHeight="true" outlineLevel="0" collapsed="false">
      <c r="B133" s="33" t="s">
        <v>514</v>
      </c>
      <c r="C133" s="33"/>
      <c r="D133" s="33"/>
      <c r="E133" s="33"/>
    </row>
    <row r="134" customFormat="false" ht="15" hidden="false" customHeight="false" outlineLevel="0" collapsed="false">
      <c r="B134" s="15"/>
      <c r="C134" s="34" t="s">
        <v>462</v>
      </c>
      <c r="D134" s="34" t="s">
        <v>463</v>
      </c>
      <c r="E134" s="34" t="s">
        <v>464</v>
      </c>
      <c r="F134" s="34" t="s">
        <v>391</v>
      </c>
    </row>
    <row r="135" customFormat="false" ht="15" hidden="false" customHeight="false" outlineLevel="0" collapsed="false">
      <c r="B135" s="20" t="s">
        <v>508</v>
      </c>
      <c r="C135" s="50" t="n">
        <f aca="false">EXP(H128)/(EXP(H128)+EXP(I128)+EXP(J128))</f>
        <v>0.924620833929442</v>
      </c>
      <c r="D135" s="50" t="n">
        <f aca="false">EXP(I128)/(EXP(H128)+EXP(I128)+EXP(J128))</f>
        <v>0.037689583035279</v>
      </c>
      <c r="E135" s="50" t="n">
        <f aca="false">EXP(J128)/(EXP(H128)+EXP(I128)+EXP(J128))</f>
        <v>0.037689583035279</v>
      </c>
      <c r="F135" s="64" t="str">
        <f aca="false">INDEX($C$134:$E$134,MATCH(MAX(C135:E135),C135:E135,0))</f>
        <v>apple</v>
      </c>
    </row>
    <row r="136" customFormat="false" ht="15" hidden="false" customHeight="false" outlineLevel="0" collapsed="false">
      <c r="B136" s="20" t="s">
        <v>509</v>
      </c>
      <c r="C136" s="50" t="n">
        <f aca="false">EXP(H129)/(EXP(H129)+EXP(I129)+EXP(J129))</f>
        <v>0.00809648303430205</v>
      </c>
      <c r="D136" s="50" t="n">
        <f aca="false">EXP(I129)/(EXP(H129)+EXP(I129)+EXP(J129))</f>
        <v>0.983807033931396</v>
      </c>
      <c r="E136" s="50" t="n">
        <f aca="false">EXP(J129)/(EXP(H129)+EXP(I129)+EXP(J129))</f>
        <v>0.00809648303430205</v>
      </c>
      <c r="F136" s="64" t="str">
        <f aca="false">INDEX($C$134:$E$134,MATCH(MAX(C136:E136),C136:E136,0))</f>
        <v>banana</v>
      </c>
    </row>
    <row r="137" customFormat="false" ht="15" hidden="false" customHeight="false" outlineLevel="0" collapsed="false">
      <c r="B137" s="20" t="s">
        <v>510</v>
      </c>
      <c r="C137" s="50" t="n">
        <f aca="false">EXP(H130)/(EXP(H130)+EXP(I130)+EXP(J130))</f>
        <v>0.0176684220140481</v>
      </c>
      <c r="D137" s="50" t="n">
        <f aca="false">EXP(I130)/(EXP(H130)+EXP(I130)+EXP(J130))</f>
        <v>0.0176684220140481</v>
      </c>
      <c r="E137" s="50" t="n">
        <f aca="false">EXP(J130)/(EXP(H130)+EXP(I130)+EXP(J130))</f>
        <v>0.964663155971904</v>
      </c>
      <c r="F137" s="64" t="str">
        <f aca="false">INDEX($C$134:$E$134,MATCH(MAX(C137:E137),C137:E137,0))</f>
        <v>carrot</v>
      </c>
    </row>
    <row r="138" customFormat="false" ht="15" hidden="false" customHeight="false" outlineLevel="0" collapsed="false">
      <c r="B138" s="20" t="s">
        <v>511</v>
      </c>
      <c r="C138" s="50" t="n">
        <f aca="false">EXP(H131)/(EXP(H131)+EXP(I131)+EXP(J131))</f>
        <v>0.374486946418502</v>
      </c>
      <c r="D138" s="50" t="n">
        <f aca="false">EXP(I131)/(EXP(H131)+EXP(I131)+EXP(J131))</f>
        <v>0.374486946418502</v>
      </c>
      <c r="E138" s="50" t="n">
        <f aca="false">EXP(J131)/(EXP(H131)+EXP(I131)+EXP(J131))</f>
        <v>0.251026107162996</v>
      </c>
      <c r="F138" s="64" t="str">
        <f aca="false">INDEX($C$134:$E$134,MATCH(MAX(C138:E138),C138:E138,0))</f>
        <v>apple</v>
      </c>
    </row>
    <row r="140" customFormat="false" ht="31.5" hidden="false" customHeight="true" outlineLevel="0" collapsed="false">
      <c r="B140" s="5" t="s">
        <v>515</v>
      </c>
      <c r="C140" s="5"/>
      <c r="D140" s="5"/>
      <c r="E140" s="5"/>
      <c r="F140" s="5"/>
      <c r="G140" s="5"/>
      <c r="H140" s="5"/>
      <c r="I140" s="5"/>
      <c r="J140" s="5"/>
      <c r="K140" s="5"/>
      <c r="L140" s="5"/>
      <c r="M140" s="5"/>
      <c r="N140" s="5"/>
    </row>
    <row r="141" customFormat="false" ht="17.25" hidden="false" customHeight="true" outlineLevel="0" collapsed="false">
      <c r="B141" s="45" t="s">
        <v>516</v>
      </c>
      <c r="C141" s="45"/>
      <c r="D141" s="45"/>
      <c r="E141" s="45"/>
      <c r="F141" s="45"/>
      <c r="G141" s="45"/>
      <c r="H141" s="45"/>
      <c r="I141" s="45"/>
      <c r="J141" s="45"/>
      <c r="K141" s="45"/>
      <c r="L141" s="45"/>
      <c r="M141" s="45"/>
      <c r="N141" s="45"/>
    </row>
  </sheetData>
  <mergeCells count="104">
    <mergeCell ref="B1:N1"/>
    <mergeCell ref="B2:N2"/>
    <mergeCell ref="B4:N4"/>
    <mergeCell ref="B5:N5"/>
    <mergeCell ref="B6:N6"/>
    <mergeCell ref="B7:N7"/>
    <mergeCell ref="B8:E8"/>
    <mergeCell ref="G8:J8"/>
    <mergeCell ref="B14:E14"/>
    <mergeCell ref="G14:J14"/>
    <mergeCell ref="D20:N20"/>
    <mergeCell ref="B21:N21"/>
    <mergeCell ref="B22:E22"/>
    <mergeCell ref="C26:N26"/>
    <mergeCell ref="B27:E27"/>
    <mergeCell ref="C31:N31"/>
    <mergeCell ref="C32:N32"/>
    <mergeCell ref="C33:N33"/>
    <mergeCell ref="C34:N34"/>
    <mergeCell ref="B35:E35"/>
    <mergeCell ref="C39:N39"/>
    <mergeCell ref="C40:N40"/>
    <mergeCell ref="B41:E41"/>
    <mergeCell ref="C45:N45"/>
    <mergeCell ref="C46:N46"/>
    <mergeCell ref="C47:N47"/>
    <mergeCell ref="C48:N48"/>
    <mergeCell ref="B49:E49"/>
    <mergeCell ref="B54:E54"/>
    <mergeCell ref="C58:N58"/>
    <mergeCell ref="D59:N59"/>
    <mergeCell ref="B60:N60"/>
    <mergeCell ref="B61:C61"/>
    <mergeCell ref="D61:H61"/>
    <mergeCell ref="J61:N61"/>
    <mergeCell ref="B62:C62"/>
    <mergeCell ref="D62:H62"/>
    <mergeCell ref="J62:N62"/>
    <mergeCell ref="B63:C63"/>
    <mergeCell ref="D63:H63"/>
    <mergeCell ref="J63:N63"/>
    <mergeCell ref="B64:C64"/>
    <mergeCell ref="D64:H64"/>
    <mergeCell ref="J64:N64"/>
    <mergeCell ref="B65:C65"/>
    <mergeCell ref="D65:H65"/>
    <mergeCell ref="J65:N65"/>
    <mergeCell ref="B66:C66"/>
    <mergeCell ref="D66:H66"/>
    <mergeCell ref="J66:N66"/>
    <mergeCell ref="B67:C67"/>
    <mergeCell ref="D67:H67"/>
    <mergeCell ref="J67:N67"/>
    <mergeCell ref="B69:N69"/>
    <mergeCell ref="B70:E70"/>
    <mergeCell ref="C74:N74"/>
    <mergeCell ref="B75:E75"/>
    <mergeCell ref="C79:N79"/>
    <mergeCell ref="C80:N80"/>
    <mergeCell ref="C81:N81"/>
    <mergeCell ref="C82:N82"/>
    <mergeCell ref="B83:E83"/>
    <mergeCell ref="C87:N87"/>
    <mergeCell ref="C88:N88"/>
    <mergeCell ref="B89:E89"/>
    <mergeCell ref="C93:N93"/>
    <mergeCell ref="C94:N94"/>
    <mergeCell ref="C95:N95"/>
    <mergeCell ref="C96:N96"/>
    <mergeCell ref="B97:E97"/>
    <mergeCell ref="B102:E102"/>
    <mergeCell ref="C106:N106"/>
    <mergeCell ref="D107:N107"/>
    <mergeCell ref="B108:N108"/>
    <mergeCell ref="B109:C109"/>
    <mergeCell ref="D109:H109"/>
    <mergeCell ref="J109:N109"/>
    <mergeCell ref="B110:C110"/>
    <mergeCell ref="D110:H110"/>
    <mergeCell ref="J110:N110"/>
    <mergeCell ref="B111:C111"/>
    <mergeCell ref="D111:H111"/>
    <mergeCell ref="J111:N111"/>
    <mergeCell ref="B112:C112"/>
    <mergeCell ref="D112:H112"/>
    <mergeCell ref="J112:N112"/>
    <mergeCell ref="B113:C113"/>
    <mergeCell ref="D113:H113"/>
    <mergeCell ref="J113:N113"/>
    <mergeCell ref="B114:C114"/>
    <mergeCell ref="D114:H114"/>
    <mergeCell ref="J114:N114"/>
    <mergeCell ref="B115:C115"/>
    <mergeCell ref="D115:H115"/>
    <mergeCell ref="J115:N115"/>
    <mergeCell ref="B117:N117"/>
    <mergeCell ref="B118:N118"/>
    <mergeCell ref="B119:E119"/>
    <mergeCell ref="G119:J119"/>
    <mergeCell ref="B126:E126"/>
    <mergeCell ref="G126:J126"/>
    <mergeCell ref="B133:E133"/>
    <mergeCell ref="B140:N140"/>
    <mergeCell ref="B141:N141"/>
  </mergeCells>
  <conditionalFormatting sqref="C135:E138">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517</v>
      </c>
      <c r="C1" s="1"/>
      <c r="D1" s="1"/>
      <c r="E1" s="1"/>
      <c r="F1" s="1"/>
      <c r="G1" s="1"/>
      <c r="H1" s="1"/>
      <c r="I1" s="1"/>
      <c r="J1" s="1"/>
      <c r="K1" s="1"/>
      <c r="L1" s="1"/>
      <c r="M1" s="1"/>
      <c r="N1" s="1"/>
    </row>
    <row r="2" customFormat="false" ht="17.25" hidden="false" customHeight="true" outlineLevel="0" collapsed="false">
      <c r="B2" s="2" t="s">
        <v>518</v>
      </c>
      <c r="C2" s="2"/>
      <c r="D2" s="2"/>
      <c r="E2" s="2"/>
      <c r="F2" s="2"/>
      <c r="G2" s="2"/>
      <c r="H2" s="2"/>
      <c r="I2" s="2"/>
      <c r="J2" s="2"/>
      <c r="K2" s="2"/>
      <c r="L2" s="2"/>
      <c r="M2" s="2"/>
      <c r="N2" s="2"/>
    </row>
    <row r="4" customFormat="false" ht="34.5" hidden="false" customHeight="true" outlineLevel="0" collapsed="false">
      <c r="B4" s="3" t="s">
        <v>519</v>
      </c>
      <c r="C4" s="3"/>
      <c r="D4" s="3"/>
      <c r="E4" s="3"/>
      <c r="F4" s="3"/>
      <c r="G4" s="3"/>
      <c r="H4" s="3"/>
      <c r="I4" s="3"/>
      <c r="J4" s="3"/>
      <c r="K4" s="3"/>
      <c r="L4" s="3"/>
      <c r="M4" s="3"/>
      <c r="N4" s="3"/>
    </row>
    <row r="5" customFormat="false" ht="17.25" hidden="false" customHeight="true" outlineLevel="0" collapsed="false">
      <c r="B5" s="67" t="s">
        <v>520</v>
      </c>
      <c r="C5" s="67"/>
      <c r="D5" s="67"/>
      <c r="E5" s="67"/>
      <c r="F5" s="67"/>
      <c r="G5" s="67"/>
      <c r="H5" s="67"/>
      <c r="I5" s="67"/>
      <c r="J5" s="67"/>
      <c r="K5" s="67"/>
      <c r="L5" s="67"/>
      <c r="M5" s="67"/>
      <c r="N5" s="67"/>
    </row>
    <row r="6" customFormat="false" ht="21.75" hidden="false" customHeight="true" outlineLevel="0" collapsed="false">
      <c r="B6" s="4" t="s">
        <v>521</v>
      </c>
      <c r="C6" s="4"/>
      <c r="D6" s="4"/>
      <c r="E6" s="4"/>
      <c r="F6" s="4"/>
      <c r="G6" s="4"/>
      <c r="H6" s="4"/>
      <c r="I6" s="4"/>
      <c r="J6" s="4"/>
      <c r="K6" s="4"/>
      <c r="L6" s="4"/>
      <c r="M6" s="4"/>
      <c r="N6" s="4"/>
    </row>
    <row r="7" customFormat="false" ht="17.25" hidden="false" customHeight="true" outlineLevel="0" collapsed="false">
      <c r="B7" s="33" t="s">
        <v>522</v>
      </c>
      <c r="C7" s="33"/>
      <c r="D7" s="33"/>
      <c r="E7" s="33"/>
    </row>
    <row r="8" customFormat="false" ht="15" hidden="false" customHeight="false" outlineLevel="0" collapsed="false">
      <c r="B8" s="15"/>
      <c r="C8" s="34" t="s">
        <v>523</v>
      </c>
      <c r="D8" s="34" t="s">
        <v>524</v>
      </c>
      <c r="E8" s="34" t="s">
        <v>525</v>
      </c>
    </row>
    <row r="9" customFormat="false" ht="15" hidden="false" customHeight="false" outlineLevel="0" collapsed="false">
      <c r="B9" s="20"/>
      <c r="C9" s="21" t="n">
        <v>5</v>
      </c>
      <c r="D9" s="21" t="n">
        <v>6</v>
      </c>
      <c r="E9" s="21" t="n">
        <v>1.5</v>
      </c>
    </row>
    <row r="10" customFormat="false" ht="17.25" hidden="false" customHeight="true" outlineLevel="0" collapsed="false">
      <c r="B10" s="33" t="s">
        <v>526</v>
      </c>
      <c r="C10" s="33"/>
      <c r="D10" s="33"/>
      <c r="E10" s="33"/>
    </row>
    <row r="11" customFormat="false" ht="15" hidden="false" customHeight="false" outlineLevel="0" collapsed="false">
      <c r="B11" s="15"/>
      <c r="C11" s="34" t="s">
        <v>523</v>
      </c>
      <c r="D11" s="34" t="s">
        <v>524</v>
      </c>
      <c r="E11" s="34" t="s">
        <v>525</v>
      </c>
    </row>
    <row r="12" customFormat="false" ht="15" hidden="false" customHeight="false" outlineLevel="0" collapsed="false">
      <c r="B12" s="20"/>
      <c r="C12" s="21" t="n">
        <v>2.5</v>
      </c>
      <c r="D12" s="21" t="n">
        <v>1.5</v>
      </c>
      <c r="E12" s="21" t="n">
        <v>1.2</v>
      </c>
    </row>
    <row r="14" customFormat="false" ht="17.25" hidden="false" customHeight="true" outlineLevel="0" collapsed="false">
      <c r="B14" s="33" t="s">
        <v>527</v>
      </c>
      <c r="C14" s="33"/>
      <c r="D14" s="33"/>
      <c r="F14" s="33" t="s">
        <v>430</v>
      </c>
      <c r="G14" s="33"/>
      <c r="H14" s="33"/>
      <c r="J14" s="33" t="s">
        <v>419</v>
      </c>
      <c r="K14" s="33"/>
      <c r="L14" s="33"/>
    </row>
    <row r="15" customFormat="false" ht="15" hidden="false" customHeight="false" outlineLevel="0" collapsed="false">
      <c r="B15" s="15"/>
      <c r="C15" s="34" t="s">
        <v>528</v>
      </c>
      <c r="D15" s="34" t="s">
        <v>529</v>
      </c>
      <c r="F15" s="15"/>
      <c r="G15" s="34" t="s">
        <v>528</v>
      </c>
      <c r="H15" s="34" t="s">
        <v>529</v>
      </c>
      <c r="J15" s="15"/>
      <c r="K15" s="34" t="s">
        <v>528</v>
      </c>
      <c r="L15" s="34" t="s">
        <v>529</v>
      </c>
    </row>
    <row r="16" customFormat="false" ht="15" hidden="false" customHeight="false" outlineLevel="0" collapsed="false">
      <c r="B16" s="20" t="s">
        <v>523</v>
      </c>
      <c r="C16" s="21" t="n">
        <v>0.8</v>
      </c>
      <c r="D16" s="21" t="n">
        <v>0</v>
      </c>
      <c r="F16" s="20"/>
      <c r="G16" s="21" t="n">
        <v>0</v>
      </c>
      <c r="H16" s="21" t="n">
        <v>-0.2</v>
      </c>
      <c r="J16" s="20"/>
      <c r="K16" s="21" t="n">
        <v>2.5</v>
      </c>
      <c r="L16" s="21" t="n">
        <v>1</v>
      </c>
    </row>
    <row r="17" customFormat="false" ht="15" hidden="false" customHeight="false" outlineLevel="0" collapsed="false">
      <c r="B17" s="20" t="s">
        <v>524</v>
      </c>
      <c r="C17" s="21" t="n">
        <v>0</v>
      </c>
      <c r="D17" s="21" t="n">
        <v>1</v>
      </c>
    </row>
    <row r="18" customFormat="false" ht="15" hidden="false" customHeight="false" outlineLevel="0" collapsed="false">
      <c r="B18" s="20" t="s">
        <v>525</v>
      </c>
      <c r="C18" s="21" t="n">
        <v>0.6</v>
      </c>
      <c r="D18" s="21" t="n">
        <v>0</v>
      </c>
    </row>
    <row r="20" customFormat="false" ht="15.75" hidden="false" customHeight="true" outlineLevel="0" collapsed="false">
      <c r="B20" s="20" t="s">
        <v>304</v>
      </c>
      <c r="C20" s="21" t="n">
        <v>-0.5</v>
      </c>
    </row>
    <row r="21" customFormat="false" ht="17.25" hidden="false" customHeight="true" outlineLevel="0" collapsed="false">
      <c r="B21" s="20" t="s">
        <v>530</v>
      </c>
      <c r="C21" s="71" t="n">
        <v>0.5</v>
      </c>
      <c r="D21" s="22" t="s">
        <v>531</v>
      </c>
      <c r="E21" s="22"/>
      <c r="F21" s="22"/>
      <c r="G21" s="22"/>
      <c r="H21" s="22"/>
      <c r="I21" s="22"/>
      <c r="J21" s="22"/>
      <c r="K21" s="22"/>
      <c r="L21" s="22"/>
      <c r="M21" s="22"/>
      <c r="N21" s="22"/>
    </row>
    <row r="22" customFormat="false" ht="17.25" hidden="false" customHeight="true" outlineLevel="0" collapsed="false">
      <c r="B22" s="72" t="s">
        <v>532</v>
      </c>
      <c r="C22" s="72"/>
      <c r="D22" s="72"/>
      <c r="E22" s="72"/>
      <c r="F22" s="72"/>
      <c r="G22" s="72"/>
      <c r="H22" s="72"/>
      <c r="I22" s="72"/>
      <c r="J22" s="72"/>
      <c r="K22" s="72"/>
      <c r="L22" s="72"/>
      <c r="M22" s="72"/>
      <c r="N22" s="72"/>
    </row>
    <row r="23" customFormat="false" ht="21.75" hidden="false" customHeight="true" outlineLevel="0" collapsed="false">
      <c r="B23" s="4" t="s">
        <v>533</v>
      </c>
      <c r="C23" s="4"/>
      <c r="D23" s="4"/>
      <c r="E23" s="4"/>
      <c r="F23" s="4"/>
      <c r="G23" s="4"/>
      <c r="H23" s="4"/>
      <c r="I23" s="4"/>
      <c r="J23" s="4"/>
      <c r="K23" s="4"/>
      <c r="L23" s="4"/>
      <c r="M23" s="4"/>
      <c r="N23" s="4"/>
    </row>
    <row r="24" customFormat="false" ht="17.25" hidden="false" customHeight="true" outlineLevel="0" collapsed="false">
      <c r="B24" s="33" t="s">
        <v>534</v>
      </c>
      <c r="C24" s="33"/>
      <c r="D24" s="33"/>
      <c r="E24" s="33"/>
    </row>
    <row r="25" customFormat="false" ht="15" hidden="false" customHeight="false" outlineLevel="0" collapsed="false">
      <c r="B25" s="15"/>
      <c r="C25" s="34" t="s">
        <v>523</v>
      </c>
      <c r="D25" s="34" t="s">
        <v>524</v>
      </c>
      <c r="E25" s="34" t="s">
        <v>525</v>
      </c>
    </row>
    <row r="26" customFormat="false" ht="15" hidden="false" customHeight="false" outlineLevel="0" collapsed="false">
      <c r="B26" s="20"/>
      <c r="C26" s="21" t="n">
        <v>8</v>
      </c>
      <c r="D26" s="21" t="n">
        <v>7</v>
      </c>
      <c r="E26" s="21" t="n">
        <v>3</v>
      </c>
    </row>
    <row r="28" customFormat="false" ht="17.25" hidden="false" customHeight="true" outlineLevel="0" collapsed="false">
      <c r="B28" s="69" t="s">
        <v>469</v>
      </c>
      <c r="C28" s="5" t="s">
        <v>535</v>
      </c>
      <c r="D28" s="5"/>
      <c r="E28" s="5"/>
      <c r="F28" s="5"/>
      <c r="G28" s="5"/>
      <c r="H28" s="5"/>
      <c r="I28" s="5"/>
      <c r="J28" s="5"/>
      <c r="K28" s="5"/>
      <c r="L28" s="5"/>
      <c r="M28" s="5"/>
      <c r="N28" s="5"/>
    </row>
    <row r="29" customFormat="false" ht="17.25" hidden="false" customHeight="true" outlineLevel="0" collapsed="false">
      <c r="B29" s="33" t="s">
        <v>536</v>
      </c>
      <c r="C29" s="33"/>
      <c r="D29" s="33"/>
      <c r="E29" s="33"/>
    </row>
    <row r="30" customFormat="false" ht="15" hidden="false" customHeight="false" outlineLevel="0" collapsed="false">
      <c r="B30" s="15"/>
      <c r="C30" s="34" t="s">
        <v>523</v>
      </c>
      <c r="D30" s="34" t="s">
        <v>524</v>
      </c>
      <c r="E30" s="34" t="s">
        <v>525</v>
      </c>
    </row>
    <row r="31" customFormat="false" ht="15" hidden="false" customHeight="false" outlineLevel="0" collapsed="false">
      <c r="B31" s="20"/>
      <c r="C31" s="55" t="n">
        <f aca="false">(C26-C9)/C12</f>
        <v>1.2</v>
      </c>
      <c r="D31" s="55" t="n">
        <f aca="false">(D26-D9)/D12</f>
        <v>0.666666666666667</v>
      </c>
      <c r="E31" s="55" t="n">
        <f aca="false">(E26-E9)/E12</f>
        <v>1.25</v>
      </c>
    </row>
    <row r="33" customFormat="false" ht="15.75" hidden="false" customHeight="true" outlineLevel="0" collapsed="false">
      <c r="B33" s="9" t="s">
        <v>523</v>
      </c>
      <c r="C33" s="28" t="str">
        <f aca="false">"("&amp;IF(ROUND(C26,3)&lt;0,"("&amp;ROUND(C26,3)&amp;")",ROUND(C26,3)&amp;"")&amp;" − "&amp;IF(ROUND(C9,3)&lt;0,"("&amp;ROUND(C9,3)&amp;")",ROUND(C9,3)&amp;"")&amp;") ÷ "&amp;IF(ROUND(C12,3)&lt;0,"("&amp;ROUND(C12,3)&amp;")",ROUND(C12,3)&amp;"")&amp;" = "&amp;IF(ROUND(C31,3)&lt;0,"("&amp;ROUND(C31,3)&amp;")",ROUND(C31,3)&amp;"")</f>
        <v>(8 − 5) ÷ 2.5 = 1.2</v>
      </c>
      <c r="D33" s="28"/>
      <c r="E33" s="28"/>
      <c r="F33" s="28"/>
      <c r="G33" s="28"/>
      <c r="H33" s="28"/>
      <c r="I33" s="28"/>
      <c r="J33" s="28"/>
      <c r="K33" s="28"/>
      <c r="L33" s="28"/>
      <c r="M33" s="28"/>
      <c r="N33" s="28"/>
    </row>
    <row r="34" customFormat="false" ht="15.75" hidden="false" customHeight="true" outlineLevel="0" collapsed="false">
      <c r="B34" s="9" t="s">
        <v>524</v>
      </c>
      <c r="C34" s="28" t="str">
        <f aca="false">"("&amp;IF(ROUND(D26,3)&lt;0,"("&amp;ROUND(D26,3)&amp;")",ROUND(D26,3)&amp;"")&amp;" − "&amp;IF(ROUND(D9,3)&lt;0,"("&amp;ROUND(D9,3)&amp;")",ROUND(D9,3)&amp;"")&amp;") ÷ "&amp;IF(ROUND(D12,3)&lt;0,"("&amp;ROUND(D12,3)&amp;")",ROUND(D12,3)&amp;"")&amp;" = "&amp;IF(ROUND(D31,3)&lt;0,"("&amp;ROUND(D31,3)&amp;")",ROUND(D31,3)&amp;"")</f>
        <v>(7 − 6) ÷ 1.5 = 0.667</v>
      </c>
      <c r="D34" s="28"/>
      <c r="E34" s="28"/>
      <c r="F34" s="28"/>
      <c r="G34" s="28"/>
      <c r="H34" s="28"/>
      <c r="I34" s="28"/>
      <c r="J34" s="28"/>
      <c r="K34" s="28"/>
      <c r="L34" s="28"/>
      <c r="M34" s="28"/>
      <c r="N34" s="28"/>
    </row>
    <row r="35" customFormat="false" ht="15.75" hidden="false" customHeight="true" outlineLevel="0" collapsed="false">
      <c r="B35" s="9" t="s">
        <v>525</v>
      </c>
      <c r="C35" s="28" t="str">
        <f aca="false">"("&amp;IF(ROUND(E26,3)&lt;0,"("&amp;ROUND(E26,3)&amp;")",ROUND(E26,3)&amp;"")&amp;" − "&amp;IF(ROUND(E9,3)&lt;0,"("&amp;ROUND(E9,3)&amp;")",ROUND(E9,3)&amp;"")&amp;") ÷ "&amp;IF(ROUND(E12,3)&lt;0,"("&amp;ROUND(E12,3)&amp;")",ROUND(E12,3)&amp;"")&amp;" = "&amp;IF(ROUND(E31,3)&lt;0,"("&amp;ROUND(E31,3)&amp;")",ROUND(E31,3)&amp;"")</f>
        <v>(3 − 1.5) ÷ 1.2 = 1.25</v>
      </c>
      <c r="D35" s="28"/>
      <c r="E35" s="28"/>
      <c r="F35" s="28"/>
      <c r="G35" s="28"/>
      <c r="H35" s="28"/>
      <c r="I35" s="28"/>
      <c r="J35" s="28"/>
      <c r="K35" s="28"/>
      <c r="L35" s="28"/>
      <c r="M35" s="28"/>
      <c r="N35" s="28"/>
    </row>
    <row r="36" customFormat="false" ht="17.25" hidden="false" customHeight="true" outlineLevel="0" collapsed="false">
      <c r="B36" s="69" t="s">
        <v>472</v>
      </c>
      <c r="C36" s="5" t="s">
        <v>537</v>
      </c>
      <c r="D36" s="5"/>
      <c r="E36" s="5"/>
      <c r="F36" s="5"/>
      <c r="G36" s="5"/>
      <c r="H36" s="5"/>
      <c r="I36" s="5"/>
      <c r="J36" s="5"/>
      <c r="K36" s="5"/>
      <c r="L36" s="5"/>
      <c r="M36" s="5"/>
      <c r="N36" s="5"/>
    </row>
    <row r="37" customFormat="false" ht="17.25" hidden="false" customHeight="true" outlineLevel="0" collapsed="false">
      <c r="B37" s="33" t="s">
        <v>471</v>
      </c>
      <c r="C37" s="33"/>
      <c r="D37" s="33"/>
    </row>
    <row r="38" customFormat="false" ht="15" hidden="false" customHeight="false" outlineLevel="0" collapsed="false">
      <c r="B38" s="15"/>
      <c r="C38" s="34" t="s">
        <v>528</v>
      </c>
      <c r="D38" s="34" t="s">
        <v>529</v>
      </c>
    </row>
    <row r="39" customFormat="false" ht="15" hidden="false" customHeight="false" outlineLevel="0" collapsed="false">
      <c r="B39" s="20"/>
      <c r="C39" s="55" t="n">
        <f aca="false">C31*C16+D31*C17+E31*C18+G16</f>
        <v>1.71</v>
      </c>
      <c r="D39" s="55" t="n">
        <f aca="false">C31*D16+D31*D17+E31*D18+H16</f>
        <v>0.466666666666667</v>
      </c>
    </row>
    <row r="41" customFormat="false" ht="15.75" hidden="false" customHeight="true" outlineLevel="0" collapsed="false">
      <c r="B41" s="9" t="s">
        <v>528</v>
      </c>
      <c r="C41" s="28" t="str">
        <f aca="false">IF(ROUND(C31,3)&lt;0,"("&amp;ROUND(C31,3)&amp;")",ROUND(C31,3)&amp;"")&amp;"×"&amp;IF(ROUND(C16,3)&lt;0,"("&amp;ROUND(C16,3)&amp;")",ROUND(C16,3)&amp;"")&amp;" + "&amp;IF(ROUND(D31,3)&lt;0,"("&amp;ROUND(D31,3)&amp;")",ROUND(D31,3)&amp;"")&amp;"×"&amp;IF(ROUND(C17,3)&lt;0,"("&amp;ROUND(C17,3)&amp;")",ROUND(C17,3)&amp;"")&amp;" + "&amp;IF(ROUND(E31,3)&lt;0,"("&amp;ROUND(E31,3)&amp;")",ROUND(E31,3)&amp;"")&amp;"×"&amp;IF(ROUND(C18,3)&lt;0,"("&amp;ROUND(C18,3)&amp;")",ROUND(C18,3)&amp;"")&amp;" + "&amp;IF(ROUND(G16,3)&lt;0,"("&amp;ROUND(G16,3)&amp;")",ROUND(G16,3)&amp;"")&amp;"  =  "&amp;IF(ROUND(C39,3)&lt;0,"("&amp;ROUND(C39,3)&amp;")",ROUND(C39,3)&amp;"")</f>
        <v>1.2×0.8 + 0.667×0 + 1.25×0.6 + 0  =  1.71</v>
      </c>
      <c r="D41" s="28"/>
      <c r="E41" s="28"/>
      <c r="F41" s="28"/>
      <c r="G41" s="28"/>
      <c r="H41" s="28"/>
      <c r="I41" s="28"/>
      <c r="J41" s="28"/>
      <c r="K41" s="28"/>
      <c r="L41" s="28"/>
      <c r="M41" s="28"/>
      <c r="N41" s="28"/>
    </row>
    <row r="42" customFormat="false" ht="15.75" hidden="false" customHeight="true" outlineLevel="0" collapsed="false">
      <c r="B42" s="9" t="s">
        <v>529</v>
      </c>
      <c r="C42" s="28" t="str">
        <f aca="false">IF(ROUND(C31,3)&lt;0,"("&amp;ROUND(C31,3)&amp;")",ROUND(C31,3)&amp;"")&amp;"×"&amp;IF(ROUND(D16,3)&lt;0,"("&amp;ROUND(D16,3)&amp;")",ROUND(D16,3)&amp;"")&amp;" + "&amp;IF(ROUND(D31,3)&lt;0,"("&amp;ROUND(D31,3)&amp;")",ROUND(D31,3)&amp;"")&amp;"×"&amp;IF(ROUND(D17,3)&lt;0,"("&amp;ROUND(D17,3)&amp;")",ROUND(D17,3)&amp;"")&amp;" + "&amp;IF(ROUND(E31,3)&lt;0,"("&amp;ROUND(E31,3)&amp;")",ROUND(E31,3)&amp;"")&amp;"×"&amp;IF(ROUND(D18,3)&lt;0,"("&amp;ROUND(D18,3)&amp;")",ROUND(D18,3)&amp;"")&amp;" + "&amp;IF(ROUND(H16,3)&lt;0,"("&amp;ROUND(H16,3)&amp;")",ROUND(H16,3)&amp;"")&amp;"  =  "&amp;IF(ROUND(D39,3)&lt;0,"("&amp;ROUND(D39,3)&amp;")",ROUND(D39,3)&amp;"")</f>
        <v>1.2×0 + 0.667×1 + 1.25×0 + (-0.2)  =  0.467</v>
      </c>
      <c r="D42" s="28"/>
      <c r="E42" s="28"/>
      <c r="F42" s="28"/>
      <c r="G42" s="28"/>
      <c r="H42" s="28"/>
      <c r="I42" s="28"/>
      <c r="J42" s="28"/>
      <c r="K42" s="28"/>
      <c r="L42" s="28"/>
      <c r="M42" s="28"/>
      <c r="N42" s="28"/>
    </row>
    <row r="43" customFormat="false" ht="17.25" hidden="false" customHeight="true" outlineLevel="0" collapsed="false">
      <c r="B43" s="69" t="s">
        <v>475</v>
      </c>
      <c r="C43" s="5" t="s">
        <v>538</v>
      </c>
      <c r="D43" s="5"/>
      <c r="E43" s="5"/>
      <c r="F43" s="5"/>
      <c r="G43" s="5"/>
      <c r="H43" s="5"/>
      <c r="I43" s="5"/>
      <c r="J43" s="5"/>
      <c r="K43" s="5"/>
      <c r="L43" s="5"/>
      <c r="M43" s="5"/>
      <c r="N43" s="5"/>
    </row>
    <row r="44" customFormat="false" ht="17.25" hidden="false" customHeight="true" outlineLevel="0" collapsed="false">
      <c r="B44" s="33" t="s">
        <v>474</v>
      </c>
      <c r="C44" s="33"/>
      <c r="D44" s="33"/>
    </row>
    <row r="45" customFormat="false" ht="15" hidden="false" customHeight="false" outlineLevel="0" collapsed="false">
      <c r="B45" s="15"/>
      <c r="C45" s="34" t="s">
        <v>528</v>
      </c>
      <c r="D45" s="34" t="s">
        <v>529</v>
      </c>
    </row>
    <row r="46" customFormat="false" ht="15" hidden="false" customHeight="false" outlineLevel="0" collapsed="false">
      <c r="B46" s="20"/>
      <c r="C46" s="55" t="n">
        <f aca="false">TANH(C39)</f>
        <v>0.936647543241887</v>
      </c>
      <c r="D46" s="55" t="n">
        <f aca="false">TANH(D39)</f>
        <v>0.43550211391548</v>
      </c>
    </row>
    <row r="48" customFormat="false" ht="15.75" hidden="false" customHeight="true" outlineLevel="0" collapsed="false">
      <c r="B48" s="9" t="s">
        <v>342</v>
      </c>
      <c r="C48" s="28" t="str">
        <f aca="false">"tanh("&amp;IF(ROUND(C39,3)&lt;0,"("&amp;ROUND(C39,3)&amp;")",ROUND(C39,3)&amp;"")&amp;") = "&amp;IF(ROUND(C46,3)&lt;0,"("&amp;ROUND(C46,3)&amp;")",ROUND(C46,3)&amp;"")&amp;";   tanh("&amp;IF(ROUND(D39,3)&lt;0,"("&amp;ROUND(D39,3)&amp;")",ROUND(D39,3)&amp;"")&amp;") = "&amp;IF(ROUND(D46,3)&lt;0,"("&amp;ROUND(D46,3)&amp;")",ROUND(D46,3)&amp;"")</f>
        <v>tanh(1.71) = 0.937;   tanh(0.467) = 0.436</v>
      </c>
      <c r="D48" s="28"/>
      <c r="E48" s="28"/>
      <c r="F48" s="28"/>
      <c r="G48" s="28"/>
      <c r="H48" s="28"/>
      <c r="I48" s="28"/>
      <c r="J48" s="28"/>
      <c r="K48" s="28"/>
      <c r="L48" s="28"/>
      <c r="M48" s="28"/>
      <c r="N48" s="28"/>
    </row>
    <row r="49" customFormat="false" ht="17.25" hidden="false" customHeight="true" outlineLevel="0" collapsed="false">
      <c r="B49" s="69" t="s">
        <v>478</v>
      </c>
      <c r="C49" s="5" t="s">
        <v>539</v>
      </c>
      <c r="D49" s="5"/>
      <c r="E49" s="5"/>
      <c r="F49" s="5"/>
      <c r="G49" s="5"/>
      <c r="H49" s="5"/>
      <c r="I49" s="5"/>
      <c r="J49" s="5"/>
      <c r="K49" s="5"/>
      <c r="L49" s="5"/>
      <c r="M49" s="5"/>
      <c r="N49" s="5"/>
    </row>
    <row r="50" customFormat="false" ht="15.75" hidden="false" customHeight="true" outlineLevel="0" collapsed="false">
      <c r="B50" s="20" t="s">
        <v>540</v>
      </c>
      <c r="C50" s="59" t="n">
        <f aca="false">C46*K16+D46*L16+C20</f>
        <v>2.2771209720202</v>
      </c>
    </row>
    <row r="51" customFormat="false" ht="15.75" hidden="false" customHeight="true" outlineLevel="0" collapsed="false">
      <c r="B51" s="9" t="s">
        <v>540</v>
      </c>
      <c r="C51" s="28" t="str">
        <f aca="false">IF(ROUND(C46,3)&lt;0,"("&amp;ROUND(C46,3)&amp;")",ROUND(C46,3)&amp;"")&amp;"×"&amp;IF(ROUND(K16,3)&lt;0,"("&amp;ROUND(K16,3)&amp;")",ROUND(K16,3)&amp;"")&amp;" + "&amp;IF(ROUND(D46,3)&lt;0,"("&amp;ROUND(D46,3)&amp;")",ROUND(D46,3)&amp;"")&amp;"×"&amp;IF(ROUND(L16,3)&lt;0,"("&amp;ROUND(L16,3)&amp;")",ROUND(L16,3)&amp;"")&amp;" + "&amp;IF(ROUND(C20,3)&lt;0,"("&amp;ROUND(C20,3)&amp;")",ROUND(C20,3)&amp;"")&amp;"  =  "&amp;IF(ROUND(C50,3)&lt;0,"("&amp;ROUND(C50,3)&amp;")",ROUND(C50,3)&amp;"")</f>
        <v>0.937×2.5 + 0.436×1 + (-0.5)  =  2.277</v>
      </c>
      <c r="D51" s="28"/>
      <c r="E51" s="28"/>
      <c r="F51" s="28"/>
      <c r="G51" s="28"/>
      <c r="H51" s="28"/>
      <c r="I51" s="28"/>
      <c r="J51" s="28"/>
      <c r="K51" s="28"/>
      <c r="L51" s="28"/>
      <c r="M51" s="28"/>
      <c r="N51" s="28"/>
    </row>
    <row r="52" customFormat="false" ht="17.25" hidden="false" customHeight="true" outlineLevel="0" collapsed="false">
      <c r="B52" s="69" t="s">
        <v>541</v>
      </c>
      <c r="C52" s="5" t="s">
        <v>542</v>
      </c>
      <c r="D52" s="5"/>
      <c r="E52" s="5"/>
      <c r="F52" s="5"/>
      <c r="G52" s="5"/>
      <c r="H52" s="5"/>
      <c r="I52" s="5"/>
      <c r="J52" s="5"/>
      <c r="K52" s="5"/>
      <c r="L52" s="5"/>
      <c r="M52" s="5"/>
      <c r="N52" s="5"/>
    </row>
    <row r="53" customFormat="false" ht="15.75" hidden="false" customHeight="true" outlineLevel="0" collapsed="false">
      <c r="B53" s="20" t="s">
        <v>543</v>
      </c>
      <c r="C53" s="50" t="n">
        <f aca="false">1/(1+EXP(-C50))</f>
        <v>0.906964399034322</v>
      </c>
    </row>
    <row r="54" customFormat="false" ht="15.75" hidden="false" customHeight="true" outlineLevel="0" collapsed="false">
      <c r="B54" s="9" t="s">
        <v>338</v>
      </c>
      <c r="C54" s="28" t="str">
        <f aca="false">"1 ÷ (1 + e^("&amp;IF(ROUND(-C50,3)&lt;0,"("&amp;ROUND(-C50,3)&amp;")",ROUND(-C50,3)&amp;"")&amp;")) = 1 ÷ (1 + "&amp;IF(ROUND(EXP(-C50),3)&lt;0,"("&amp;ROUND(EXP(-C50),3)&amp;")",ROUND(EXP(-C50),3)&amp;"")&amp;") = "&amp;IF(ROUND(C53,3)&lt;0,"("&amp;ROUND(C53,3)&amp;")",ROUND(C53,3)&amp;"")</f>
        <v>1 ÷ (1 + e^((-2.277))) = 1 ÷ (1 + 0.103) = 0.907</v>
      </c>
      <c r="D54" s="28"/>
      <c r="E54" s="28"/>
      <c r="F54" s="28"/>
      <c r="G54" s="28"/>
      <c r="H54" s="28"/>
      <c r="I54" s="28"/>
      <c r="J54" s="28"/>
      <c r="K54" s="28"/>
      <c r="L54" s="28"/>
      <c r="M54" s="28"/>
      <c r="N54" s="28"/>
    </row>
    <row r="55" customFormat="false" ht="17.25" hidden="false" customHeight="true" outlineLevel="0" collapsed="false">
      <c r="B55" s="20" t="s">
        <v>544</v>
      </c>
      <c r="C55" s="46" t="str">
        <f aca="false">IF(C53&gt;=C21,"PASS","FAIL")</f>
        <v>PASS</v>
      </c>
      <c r="D55" s="22" t="s">
        <v>545</v>
      </c>
      <c r="E55" s="22"/>
      <c r="F55" s="22"/>
      <c r="G55" s="22"/>
      <c r="H55" s="22"/>
      <c r="I55" s="22"/>
      <c r="J55" s="22"/>
      <c r="K55" s="22"/>
      <c r="L55" s="22"/>
      <c r="M55" s="22"/>
      <c r="N55" s="22"/>
    </row>
    <row r="56" customFormat="false" ht="17.25" hidden="false" customHeight="true" outlineLevel="0" collapsed="false">
      <c r="B56" s="30" t="s">
        <v>485</v>
      </c>
      <c r="C56" s="30"/>
      <c r="D56" s="30"/>
      <c r="E56" s="30"/>
      <c r="F56" s="30"/>
      <c r="G56" s="30"/>
      <c r="H56" s="30"/>
      <c r="I56" s="30"/>
      <c r="J56" s="30"/>
      <c r="K56" s="30"/>
      <c r="L56" s="30"/>
      <c r="M56" s="30"/>
      <c r="N56" s="30"/>
    </row>
    <row r="57" customFormat="false" ht="17.25" hidden="false" customHeight="true" outlineLevel="0" collapsed="false">
      <c r="B57" s="10" t="s">
        <v>104</v>
      </c>
      <c r="C57" s="10"/>
      <c r="D57" s="10" t="s">
        <v>486</v>
      </c>
      <c r="E57" s="10"/>
      <c r="F57" s="10"/>
      <c r="G57" s="10"/>
      <c r="H57" s="10"/>
      <c r="I57" s="10" t="s">
        <v>487</v>
      </c>
      <c r="J57" s="10" t="s">
        <v>488</v>
      </c>
      <c r="K57" s="10"/>
      <c r="L57" s="10"/>
      <c r="M57" s="10"/>
      <c r="N57" s="10"/>
    </row>
    <row r="58" customFormat="false" ht="17.25" hidden="false" customHeight="true" outlineLevel="0" collapsed="false">
      <c r="B58" s="18" t="s">
        <v>546</v>
      </c>
      <c r="C58" s="18"/>
      <c r="D58" s="12" t="s">
        <v>547</v>
      </c>
      <c r="E58" s="12"/>
      <c r="F58" s="12"/>
      <c r="G58" s="12"/>
      <c r="H58" s="12"/>
      <c r="I58" s="44" t="s">
        <v>491</v>
      </c>
      <c r="J58" s="70" t="str">
        <f aca="false">"["&amp;IF(ROUND(C26,3)&lt;0,"("&amp;ROUND(C26,3)&amp;")",ROUND(C26,3)&amp;"")&amp;", "&amp;IF(ROUND(D26,3)&lt;0,"("&amp;ROUND(D26,3)&amp;")",ROUND(D26,3)&amp;"")&amp;", "&amp;IF(ROUND(E26,3)&lt;0,"("&amp;ROUND(E26,3)&amp;")",ROUND(E26,3)&amp;"")&amp;"]"</f>
        <v>[8, 7, 3]</v>
      </c>
      <c r="K58" s="70"/>
      <c r="L58" s="70"/>
      <c r="M58" s="70"/>
      <c r="N58" s="70"/>
    </row>
    <row r="59" customFormat="false" ht="17.25" hidden="false" customHeight="true" outlineLevel="0" collapsed="false">
      <c r="B59" s="9" t="s">
        <v>548</v>
      </c>
      <c r="C59" s="9"/>
      <c r="D59" s="15" t="s">
        <v>549</v>
      </c>
      <c r="E59" s="15"/>
      <c r="F59" s="15"/>
      <c r="G59" s="15"/>
      <c r="H59" s="15"/>
      <c r="I59" s="16" t="s">
        <v>491</v>
      </c>
      <c r="J59" s="20" t="str">
        <f aca="false">"["&amp;IF(ROUND(C31,3)&lt;0,"("&amp;ROUND(C31,3)&amp;")",ROUND(C31,3)&amp;"")&amp;", "&amp;IF(ROUND(D31,3)&lt;0,"("&amp;ROUND(D31,3)&amp;")",ROUND(D31,3)&amp;"")&amp;", "&amp;IF(ROUND(E31,3)&lt;0,"("&amp;ROUND(E31,3)&amp;")",ROUND(E31,3)&amp;"")&amp;"]"</f>
        <v>[1.2, 0.667, 1.25]</v>
      </c>
      <c r="K59" s="20"/>
      <c r="L59" s="20"/>
      <c r="M59" s="20"/>
      <c r="N59" s="20"/>
    </row>
    <row r="60" customFormat="false" ht="17.25" hidden="false" customHeight="true" outlineLevel="0" collapsed="false">
      <c r="B60" s="18" t="s">
        <v>550</v>
      </c>
      <c r="C60" s="18"/>
      <c r="D60" s="12" t="s">
        <v>551</v>
      </c>
      <c r="E60" s="12"/>
      <c r="F60" s="12"/>
      <c r="G60" s="12"/>
      <c r="H60" s="12"/>
      <c r="I60" s="44" t="s">
        <v>552</v>
      </c>
      <c r="J60" s="70" t="str">
        <f aca="false">"["&amp;IF(ROUND(C39,3)&lt;0,"("&amp;ROUND(C39,3)&amp;")",ROUND(C39,3)&amp;"")&amp;", "&amp;IF(ROUND(D39,3)&lt;0,"("&amp;ROUND(D39,3)&amp;")",ROUND(D39,3)&amp;"")&amp;"]"</f>
        <v>[1.71, 0.467]</v>
      </c>
      <c r="K60" s="70"/>
      <c r="L60" s="70"/>
      <c r="M60" s="70"/>
      <c r="N60" s="70"/>
    </row>
    <row r="61" customFormat="false" ht="17.25" hidden="false" customHeight="true" outlineLevel="0" collapsed="false">
      <c r="B61" s="9" t="s">
        <v>553</v>
      </c>
      <c r="C61" s="9"/>
      <c r="D61" s="15" t="s">
        <v>554</v>
      </c>
      <c r="E61" s="15"/>
      <c r="F61" s="15"/>
      <c r="G61" s="15"/>
      <c r="H61" s="15"/>
      <c r="I61" s="16" t="s">
        <v>552</v>
      </c>
      <c r="J61" s="20" t="str">
        <f aca="false">"["&amp;IF(ROUND(C46,3)&lt;0,"("&amp;ROUND(C46,3)&amp;")",ROUND(C46,3)&amp;"")&amp;", "&amp;IF(ROUND(D46,3)&lt;0,"("&amp;ROUND(D46,3)&amp;")",ROUND(D46,3)&amp;"")&amp;"]"</f>
        <v>[0.937, 0.436]</v>
      </c>
      <c r="K61" s="20"/>
      <c r="L61" s="20"/>
      <c r="M61" s="20"/>
      <c r="N61" s="20"/>
    </row>
    <row r="62" customFormat="false" ht="17.25" hidden="false" customHeight="true" outlineLevel="0" collapsed="false">
      <c r="B62" s="18" t="s">
        <v>555</v>
      </c>
      <c r="C62" s="18"/>
      <c r="D62" s="12" t="s">
        <v>556</v>
      </c>
      <c r="E62" s="12"/>
      <c r="F62" s="12"/>
      <c r="G62" s="12"/>
      <c r="H62" s="12"/>
      <c r="I62" s="44" t="s">
        <v>557</v>
      </c>
      <c r="J62" s="70" t="str">
        <f aca="false">IF(ROUND(C50,3)&lt;0,"("&amp;ROUND(C50,3)&amp;")",ROUND(C50,3)&amp;"")</f>
        <v>2.277</v>
      </c>
      <c r="K62" s="70"/>
      <c r="L62" s="70"/>
      <c r="M62" s="70"/>
      <c r="N62" s="70"/>
    </row>
    <row r="63" customFormat="false" ht="17.25" hidden="false" customHeight="true" outlineLevel="0" collapsed="false">
      <c r="B63" s="9" t="s">
        <v>558</v>
      </c>
      <c r="C63" s="9"/>
      <c r="D63" s="15" t="s">
        <v>559</v>
      </c>
      <c r="E63" s="15"/>
      <c r="F63" s="15"/>
      <c r="G63" s="15"/>
      <c r="H63" s="15"/>
      <c r="I63" s="16" t="s">
        <v>557</v>
      </c>
      <c r="J63" s="20" t="str">
        <f aca="false">TEXT(C53,"0.0%")</f>
        <v>90.7%</v>
      </c>
      <c r="K63" s="20"/>
      <c r="L63" s="20"/>
      <c r="M63" s="20"/>
      <c r="N63" s="20"/>
    </row>
    <row r="64" customFormat="false" ht="17.25" hidden="false" customHeight="true" outlineLevel="0" collapsed="false">
      <c r="B64" s="18" t="s">
        <v>560</v>
      </c>
      <c r="C64" s="18"/>
      <c r="D64" s="12" t="s">
        <v>561</v>
      </c>
      <c r="E64" s="12"/>
      <c r="F64" s="12"/>
      <c r="G64" s="12"/>
      <c r="H64" s="12"/>
      <c r="I64" s="44" t="s">
        <v>562</v>
      </c>
      <c r="J64" s="70" t="str">
        <f aca="false">C55</f>
        <v>PASS</v>
      </c>
      <c r="K64" s="70"/>
      <c r="L64" s="70"/>
      <c r="M64" s="70"/>
      <c r="N64" s="70"/>
    </row>
    <row r="66" customFormat="false" ht="21.75" hidden="false" customHeight="true" outlineLevel="0" collapsed="false">
      <c r="B66" s="4" t="s">
        <v>563</v>
      </c>
      <c r="C66" s="4"/>
      <c r="D66" s="4"/>
      <c r="E66" s="4"/>
      <c r="F66" s="4"/>
      <c r="G66" s="4"/>
      <c r="H66" s="4"/>
      <c r="I66" s="4"/>
      <c r="J66" s="4"/>
      <c r="K66" s="4"/>
      <c r="L66" s="4"/>
      <c r="M66" s="4"/>
      <c r="N66" s="4"/>
    </row>
    <row r="67" customFormat="false" ht="17.25" hidden="false" customHeight="true" outlineLevel="0" collapsed="false">
      <c r="B67" s="33" t="s">
        <v>534</v>
      </c>
      <c r="C67" s="33"/>
      <c r="D67" s="33"/>
      <c r="E67" s="33"/>
    </row>
    <row r="68" customFormat="false" ht="15" hidden="false" customHeight="false" outlineLevel="0" collapsed="false">
      <c r="B68" s="15"/>
      <c r="C68" s="34" t="s">
        <v>523</v>
      </c>
      <c r="D68" s="34" t="s">
        <v>524</v>
      </c>
      <c r="E68" s="34" t="s">
        <v>525</v>
      </c>
    </row>
    <row r="69" customFormat="false" ht="15" hidden="false" customHeight="false" outlineLevel="0" collapsed="false">
      <c r="B69" s="20"/>
      <c r="C69" s="21" t="n">
        <v>2</v>
      </c>
      <c r="D69" s="21" t="n">
        <v>5</v>
      </c>
      <c r="E69" s="21" t="n">
        <v>0</v>
      </c>
    </row>
    <row r="71" customFormat="false" ht="17.25" hidden="false" customHeight="true" outlineLevel="0" collapsed="false">
      <c r="B71" s="69" t="s">
        <v>469</v>
      </c>
      <c r="C71" s="5" t="s">
        <v>535</v>
      </c>
      <c r="D71" s="5"/>
      <c r="E71" s="5"/>
      <c r="F71" s="5"/>
      <c r="G71" s="5"/>
      <c r="H71" s="5"/>
      <c r="I71" s="5"/>
      <c r="J71" s="5"/>
      <c r="K71" s="5"/>
      <c r="L71" s="5"/>
      <c r="M71" s="5"/>
      <c r="N71" s="5"/>
    </row>
    <row r="72" customFormat="false" ht="17.25" hidden="false" customHeight="true" outlineLevel="0" collapsed="false">
      <c r="B72" s="33" t="s">
        <v>536</v>
      </c>
      <c r="C72" s="33"/>
      <c r="D72" s="33"/>
      <c r="E72" s="33"/>
    </row>
    <row r="73" customFormat="false" ht="15" hidden="false" customHeight="false" outlineLevel="0" collapsed="false">
      <c r="B73" s="15"/>
      <c r="C73" s="34" t="s">
        <v>523</v>
      </c>
      <c r="D73" s="34" t="s">
        <v>524</v>
      </c>
      <c r="E73" s="34" t="s">
        <v>525</v>
      </c>
    </row>
    <row r="74" customFormat="false" ht="15" hidden="false" customHeight="false" outlineLevel="0" collapsed="false">
      <c r="B74" s="20"/>
      <c r="C74" s="55" t="n">
        <f aca="false">(C69-C9)/C12</f>
        <v>-1.2</v>
      </c>
      <c r="D74" s="55" t="n">
        <f aca="false">(D69-D9)/D12</f>
        <v>-0.666666666666667</v>
      </c>
      <c r="E74" s="55" t="n">
        <f aca="false">(E69-E9)/E12</f>
        <v>-1.25</v>
      </c>
    </row>
    <row r="76" customFormat="false" ht="15.75" hidden="false" customHeight="true" outlineLevel="0" collapsed="false">
      <c r="B76" s="9" t="s">
        <v>523</v>
      </c>
      <c r="C76" s="28" t="str">
        <f aca="false">"("&amp;IF(ROUND(C69,3)&lt;0,"("&amp;ROUND(C69,3)&amp;")",ROUND(C69,3)&amp;"")&amp;" − "&amp;IF(ROUND(C9,3)&lt;0,"("&amp;ROUND(C9,3)&amp;")",ROUND(C9,3)&amp;"")&amp;") ÷ "&amp;IF(ROUND(C12,3)&lt;0,"("&amp;ROUND(C12,3)&amp;")",ROUND(C12,3)&amp;"")&amp;" = "&amp;IF(ROUND(C74,3)&lt;0,"("&amp;ROUND(C74,3)&amp;")",ROUND(C74,3)&amp;"")</f>
        <v>(2 − 5) ÷ 2.5 = (-1.2)</v>
      </c>
      <c r="D76" s="28"/>
      <c r="E76" s="28"/>
      <c r="F76" s="28"/>
      <c r="G76" s="28"/>
      <c r="H76" s="28"/>
      <c r="I76" s="28"/>
      <c r="J76" s="28"/>
      <c r="K76" s="28"/>
      <c r="L76" s="28"/>
      <c r="M76" s="28"/>
      <c r="N76" s="28"/>
    </row>
    <row r="77" customFormat="false" ht="15.75" hidden="false" customHeight="true" outlineLevel="0" collapsed="false">
      <c r="B77" s="9" t="s">
        <v>524</v>
      </c>
      <c r="C77" s="28" t="str">
        <f aca="false">"("&amp;IF(ROUND(D69,3)&lt;0,"("&amp;ROUND(D69,3)&amp;")",ROUND(D69,3)&amp;"")&amp;" − "&amp;IF(ROUND(D9,3)&lt;0,"("&amp;ROUND(D9,3)&amp;")",ROUND(D9,3)&amp;"")&amp;") ÷ "&amp;IF(ROUND(D12,3)&lt;0,"("&amp;ROUND(D12,3)&amp;")",ROUND(D12,3)&amp;"")&amp;" = "&amp;IF(ROUND(D74,3)&lt;0,"("&amp;ROUND(D74,3)&amp;")",ROUND(D74,3)&amp;"")</f>
        <v>(5 − 6) ÷ 1.5 = (-0.667)</v>
      </c>
      <c r="D77" s="28"/>
      <c r="E77" s="28"/>
      <c r="F77" s="28"/>
      <c r="G77" s="28"/>
      <c r="H77" s="28"/>
      <c r="I77" s="28"/>
      <c r="J77" s="28"/>
      <c r="K77" s="28"/>
      <c r="L77" s="28"/>
      <c r="M77" s="28"/>
      <c r="N77" s="28"/>
    </row>
    <row r="78" customFormat="false" ht="15.75" hidden="false" customHeight="true" outlineLevel="0" collapsed="false">
      <c r="B78" s="9" t="s">
        <v>525</v>
      </c>
      <c r="C78" s="28" t="str">
        <f aca="false">"("&amp;IF(ROUND(E69,3)&lt;0,"("&amp;ROUND(E69,3)&amp;")",ROUND(E69,3)&amp;"")&amp;" − "&amp;IF(ROUND(E9,3)&lt;0,"("&amp;ROUND(E9,3)&amp;")",ROUND(E9,3)&amp;"")&amp;") ÷ "&amp;IF(ROUND(E12,3)&lt;0,"("&amp;ROUND(E12,3)&amp;")",ROUND(E12,3)&amp;"")&amp;" = "&amp;IF(ROUND(E74,3)&lt;0,"("&amp;ROUND(E74,3)&amp;")",ROUND(E74,3)&amp;"")</f>
        <v>(0 − 1.5) ÷ 1.2 = (-1.25)</v>
      </c>
      <c r="D78" s="28"/>
      <c r="E78" s="28"/>
      <c r="F78" s="28"/>
      <c r="G78" s="28"/>
      <c r="H78" s="28"/>
      <c r="I78" s="28"/>
      <c r="J78" s="28"/>
      <c r="K78" s="28"/>
      <c r="L78" s="28"/>
      <c r="M78" s="28"/>
      <c r="N78" s="28"/>
    </row>
    <row r="79" customFormat="false" ht="17.25" hidden="false" customHeight="true" outlineLevel="0" collapsed="false">
      <c r="B79" s="69" t="s">
        <v>472</v>
      </c>
      <c r="C79" s="5" t="s">
        <v>537</v>
      </c>
      <c r="D79" s="5"/>
      <c r="E79" s="5"/>
      <c r="F79" s="5"/>
      <c r="G79" s="5"/>
      <c r="H79" s="5"/>
      <c r="I79" s="5"/>
      <c r="J79" s="5"/>
      <c r="K79" s="5"/>
      <c r="L79" s="5"/>
      <c r="M79" s="5"/>
      <c r="N79" s="5"/>
    </row>
    <row r="80" customFormat="false" ht="17.25" hidden="false" customHeight="true" outlineLevel="0" collapsed="false">
      <c r="B80" s="33" t="s">
        <v>471</v>
      </c>
      <c r="C80" s="33"/>
      <c r="D80" s="33"/>
    </row>
    <row r="81" customFormat="false" ht="15" hidden="false" customHeight="false" outlineLevel="0" collapsed="false">
      <c r="B81" s="15"/>
      <c r="C81" s="34" t="s">
        <v>528</v>
      </c>
      <c r="D81" s="34" t="s">
        <v>529</v>
      </c>
    </row>
    <row r="82" customFormat="false" ht="15" hidden="false" customHeight="false" outlineLevel="0" collapsed="false">
      <c r="B82" s="20"/>
      <c r="C82" s="55" t="n">
        <f aca="false">C74*C16+D74*C17+E74*C18+G16</f>
        <v>-1.71</v>
      </c>
      <c r="D82" s="55" t="n">
        <f aca="false">C74*D16+D74*D17+E74*D18+H16</f>
        <v>-0.866666666666667</v>
      </c>
    </row>
    <row r="84" customFormat="false" ht="15.75" hidden="false" customHeight="true" outlineLevel="0" collapsed="false">
      <c r="B84" s="9" t="s">
        <v>528</v>
      </c>
      <c r="C84" s="28" t="str">
        <f aca="false">IF(ROUND(C74,3)&lt;0,"("&amp;ROUND(C74,3)&amp;")",ROUND(C74,3)&amp;"")&amp;"×"&amp;IF(ROUND(C16,3)&lt;0,"("&amp;ROUND(C16,3)&amp;")",ROUND(C16,3)&amp;"")&amp;" + "&amp;IF(ROUND(D74,3)&lt;0,"("&amp;ROUND(D74,3)&amp;")",ROUND(D74,3)&amp;"")&amp;"×"&amp;IF(ROUND(C17,3)&lt;0,"("&amp;ROUND(C17,3)&amp;")",ROUND(C17,3)&amp;"")&amp;" + "&amp;IF(ROUND(E74,3)&lt;0,"("&amp;ROUND(E74,3)&amp;")",ROUND(E74,3)&amp;"")&amp;"×"&amp;IF(ROUND(C18,3)&lt;0,"("&amp;ROUND(C18,3)&amp;")",ROUND(C18,3)&amp;"")&amp;" + "&amp;IF(ROUND(G16,3)&lt;0,"("&amp;ROUND(G16,3)&amp;")",ROUND(G16,3)&amp;"")&amp;"  =  "&amp;IF(ROUND(C82,3)&lt;0,"("&amp;ROUND(C82,3)&amp;")",ROUND(C82,3)&amp;"")</f>
        <v>(-1.2)×0.8 + (-0.667)×0 + (-1.25)×0.6 + 0  =  (-1.71)</v>
      </c>
      <c r="D84" s="28"/>
      <c r="E84" s="28"/>
      <c r="F84" s="28"/>
      <c r="G84" s="28"/>
      <c r="H84" s="28"/>
      <c r="I84" s="28"/>
      <c r="J84" s="28"/>
      <c r="K84" s="28"/>
      <c r="L84" s="28"/>
      <c r="M84" s="28"/>
      <c r="N84" s="28"/>
    </row>
    <row r="85" customFormat="false" ht="15.75" hidden="false" customHeight="true" outlineLevel="0" collapsed="false">
      <c r="B85" s="9" t="s">
        <v>529</v>
      </c>
      <c r="C85" s="28" t="str">
        <f aca="false">IF(ROUND(C74,3)&lt;0,"("&amp;ROUND(C74,3)&amp;")",ROUND(C74,3)&amp;"")&amp;"×"&amp;IF(ROUND(D16,3)&lt;0,"("&amp;ROUND(D16,3)&amp;")",ROUND(D16,3)&amp;"")&amp;" + "&amp;IF(ROUND(D74,3)&lt;0,"("&amp;ROUND(D74,3)&amp;")",ROUND(D74,3)&amp;"")&amp;"×"&amp;IF(ROUND(D17,3)&lt;0,"("&amp;ROUND(D17,3)&amp;")",ROUND(D17,3)&amp;"")&amp;" + "&amp;IF(ROUND(E74,3)&lt;0,"("&amp;ROUND(E74,3)&amp;")",ROUND(E74,3)&amp;"")&amp;"×"&amp;IF(ROUND(D18,3)&lt;0,"("&amp;ROUND(D18,3)&amp;")",ROUND(D18,3)&amp;"")&amp;" + "&amp;IF(ROUND(H16,3)&lt;0,"("&amp;ROUND(H16,3)&amp;")",ROUND(H16,3)&amp;"")&amp;"  =  "&amp;IF(ROUND(D82,3)&lt;0,"("&amp;ROUND(D82,3)&amp;")",ROUND(D82,3)&amp;"")</f>
        <v>(-1.2)×0 + (-0.667)×1 + (-1.25)×0 + (-0.2)  =  (-0.867)</v>
      </c>
      <c r="D85" s="28"/>
      <c r="E85" s="28"/>
      <c r="F85" s="28"/>
      <c r="G85" s="28"/>
      <c r="H85" s="28"/>
      <c r="I85" s="28"/>
      <c r="J85" s="28"/>
      <c r="K85" s="28"/>
      <c r="L85" s="28"/>
      <c r="M85" s="28"/>
      <c r="N85" s="28"/>
    </row>
    <row r="86" customFormat="false" ht="17.25" hidden="false" customHeight="true" outlineLevel="0" collapsed="false">
      <c r="B86" s="69" t="s">
        <v>475</v>
      </c>
      <c r="C86" s="5" t="s">
        <v>538</v>
      </c>
      <c r="D86" s="5"/>
      <c r="E86" s="5"/>
      <c r="F86" s="5"/>
      <c r="G86" s="5"/>
      <c r="H86" s="5"/>
      <c r="I86" s="5"/>
      <c r="J86" s="5"/>
      <c r="K86" s="5"/>
      <c r="L86" s="5"/>
      <c r="M86" s="5"/>
      <c r="N86" s="5"/>
    </row>
    <row r="87" customFormat="false" ht="17.25" hidden="false" customHeight="true" outlineLevel="0" collapsed="false">
      <c r="B87" s="33" t="s">
        <v>474</v>
      </c>
      <c r="C87" s="33"/>
      <c r="D87" s="33"/>
    </row>
    <row r="88" customFormat="false" ht="15" hidden="false" customHeight="false" outlineLevel="0" collapsed="false">
      <c r="B88" s="15"/>
      <c r="C88" s="34" t="s">
        <v>528</v>
      </c>
      <c r="D88" s="34" t="s">
        <v>529</v>
      </c>
    </row>
    <row r="89" customFormat="false" ht="15" hidden="false" customHeight="false" outlineLevel="0" collapsed="false">
      <c r="B89" s="20"/>
      <c r="C89" s="55" t="n">
        <f aca="false">TANH(C82)</f>
        <v>-0.936647543241887</v>
      </c>
      <c r="D89" s="55" t="n">
        <f aca="false">TANH(D82)</f>
        <v>-0.699676587420305</v>
      </c>
    </row>
    <row r="91" customFormat="false" ht="15.75" hidden="false" customHeight="true" outlineLevel="0" collapsed="false">
      <c r="B91" s="9" t="s">
        <v>342</v>
      </c>
      <c r="C91" s="28" t="str">
        <f aca="false">"tanh("&amp;IF(ROUND(C82,3)&lt;0,"("&amp;ROUND(C82,3)&amp;")",ROUND(C82,3)&amp;"")&amp;") = "&amp;IF(ROUND(C89,3)&lt;0,"("&amp;ROUND(C89,3)&amp;")",ROUND(C89,3)&amp;"")&amp;";   tanh("&amp;IF(ROUND(D82,3)&lt;0,"("&amp;ROUND(D82,3)&amp;")",ROUND(D82,3)&amp;"")&amp;") = "&amp;IF(ROUND(D89,3)&lt;0,"("&amp;ROUND(D89,3)&amp;")",ROUND(D89,3)&amp;"")</f>
        <v>tanh((-1.71)) = (-0.937);   tanh((-0.867)) = (-0.7)</v>
      </c>
      <c r="D91" s="28"/>
      <c r="E91" s="28"/>
      <c r="F91" s="28"/>
      <c r="G91" s="28"/>
      <c r="H91" s="28"/>
      <c r="I91" s="28"/>
      <c r="J91" s="28"/>
      <c r="K91" s="28"/>
      <c r="L91" s="28"/>
      <c r="M91" s="28"/>
      <c r="N91" s="28"/>
    </row>
    <row r="92" customFormat="false" ht="17.25" hidden="false" customHeight="true" outlineLevel="0" collapsed="false">
      <c r="B92" s="69" t="s">
        <v>478</v>
      </c>
      <c r="C92" s="5" t="s">
        <v>539</v>
      </c>
      <c r="D92" s="5"/>
      <c r="E92" s="5"/>
      <c r="F92" s="5"/>
      <c r="G92" s="5"/>
      <c r="H92" s="5"/>
      <c r="I92" s="5"/>
      <c r="J92" s="5"/>
      <c r="K92" s="5"/>
      <c r="L92" s="5"/>
      <c r="M92" s="5"/>
      <c r="N92" s="5"/>
    </row>
    <row r="93" customFormat="false" ht="15.75" hidden="false" customHeight="true" outlineLevel="0" collapsed="false">
      <c r="B93" s="20" t="s">
        <v>540</v>
      </c>
      <c r="C93" s="59" t="n">
        <f aca="false">C89*K16+D89*L16+C20</f>
        <v>-3.54129544552502</v>
      </c>
    </row>
    <row r="94" customFormat="false" ht="15.75" hidden="false" customHeight="true" outlineLevel="0" collapsed="false">
      <c r="B94" s="9" t="s">
        <v>540</v>
      </c>
      <c r="C94" s="28" t="str">
        <f aca="false">IF(ROUND(C89,3)&lt;0,"("&amp;ROUND(C89,3)&amp;")",ROUND(C89,3)&amp;"")&amp;"×"&amp;IF(ROUND(K16,3)&lt;0,"("&amp;ROUND(K16,3)&amp;")",ROUND(K16,3)&amp;"")&amp;" + "&amp;IF(ROUND(D89,3)&lt;0,"("&amp;ROUND(D89,3)&amp;")",ROUND(D89,3)&amp;"")&amp;"×"&amp;IF(ROUND(L16,3)&lt;0,"("&amp;ROUND(L16,3)&amp;")",ROUND(L16,3)&amp;"")&amp;" + "&amp;IF(ROUND(C20,3)&lt;0,"("&amp;ROUND(C20,3)&amp;")",ROUND(C20,3)&amp;"")&amp;"  =  "&amp;IF(ROUND(C93,3)&lt;0,"("&amp;ROUND(C93,3)&amp;")",ROUND(C93,3)&amp;"")</f>
        <v>(-0.937)×2.5 + (-0.7)×1 + (-0.5)  =  (-3.541)</v>
      </c>
      <c r="D94" s="28"/>
      <c r="E94" s="28"/>
      <c r="F94" s="28"/>
      <c r="G94" s="28"/>
      <c r="H94" s="28"/>
      <c r="I94" s="28"/>
      <c r="J94" s="28"/>
      <c r="K94" s="28"/>
      <c r="L94" s="28"/>
      <c r="M94" s="28"/>
      <c r="N94" s="28"/>
    </row>
    <row r="95" customFormat="false" ht="17.25" hidden="false" customHeight="true" outlineLevel="0" collapsed="false">
      <c r="B95" s="69" t="s">
        <v>541</v>
      </c>
      <c r="C95" s="5" t="s">
        <v>542</v>
      </c>
      <c r="D95" s="5"/>
      <c r="E95" s="5"/>
      <c r="F95" s="5"/>
      <c r="G95" s="5"/>
      <c r="H95" s="5"/>
      <c r="I95" s="5"/>
      <c r="J95" s="5"/>
      <c r="K95" s="5"/>
      <c r="L95" s="5"/>
      <c r="M95" s="5"/>
      <c r="N95" s="5"/>
    </row>
    <row r="96" customFormat="false" ht="15.75" hidden="false" customHeight="true" outlineLevel="0" collapsed="false">
      <c r="B96" s="20" t="s">
        <v>543</v>
      </c>
      <c r="C96" s="50" t="n">
        <f aca="false">1/(1+EXP(-C93))</f>
        <v>0.028159814042897</v>
      </c>
    </row>
    <row r="97" customFormat="false" ht="15.75" hidden="false" customHeight="true" outlineLevel="0" collapsed="false">
      <c r="B97" s="9" t="s">
        <v>338</v>
      </c>
      <c r="C97" s="28" t="str">
        <f aca="false">"1 ÷ (1 + e^("&amp;IF(ROUND(-C93,3)&lt;0,"("&amp;ROUND(-C93,3)&amp;")",ROUND(-C93,3)&amp;"")&amp;")) = 1 ÷ (1 + "&amp;IF(ROUND(EXP(-C93),3)&lt;0,"("&amp;ROUND(EXP(-C93),3)&amp;")",ROUND(EXP(-C93),3)&amp;"")&amp;") = "&amp;IF(ROUND(C96,3)&lt;0,"("&amp;ROUND(C96,3)&amp;")",ROUND(C96,3)&amp;"")</f>
        <v>1 ÷ (1 + e^(3.541)) = 1 ÷ (1 + 34.512) = 0.028</v>
      </c>
      <c r="D97" s="28"/>
      <c r="E97" s="28"/>
      <c r="F97" s="28"/>
      <c r="G97" s="28"/>
      <c r="H97" s="28"/>
      <c r="I97" s="28"/>
      <c r="J97" s="28"/>
      <c r="K97" s="28"/>
      <c r="L97" s="28"/>
      <c r="M97" s="28"/>
      <c r="N97" s="28"/>
    </row>
    <row r="98" customFormat="false" ht="17.25" hidden="false" customHeight="true" outlineLevel="0" collapsed="false">
      <c r="B98" s="20" t="s">
        <v>544</v>
      </c>
      <c r="C98" s="46" t="str">
        <f aca="false">IF(C96&gt;=C21,"PASS","FAIL")</f>
        <v>FAIL</v>
      </c>
      <c r="D98" s="22" t="s">
        <v>545</v>
      </c>
      <c r="E98" s="22"/>
      <c r="F98" s="22"/>
      <c r="G98" s="22"/>
      <c r="H98" s="22"/>
      <c r="I98" s="22"/>
      <c r="J98" s="22"/>
      <c r="K98" s="22"/>
      <c r="L98" s="22"/>
      <c r="M98" s="22"/>
      <c r="N98" s="22"/>
    </row>
    <row r="99" customFormat="false" ht="17.25" hidden="false" customHeight="true" outlineLevel="0" collapsed="false">
      <c r="B99" s="30" t="s">
        <v>485</v>
      </c>
      <c r="C99" s="30"/>
      <c r="D99" s="30"/>
      <c r="E99" s="30"/>
      <c r="F99" s="30"/>
      <c r="G99" s="30"/>
      <c r="H99" s="30"/>
      <c r="I99" s="30"/>
      <c r="J99" s="30"/>
      <c r="K99" s="30"/>
      <c r="L99" s="30"/>
      <c r="M99" s="30"/>
      <c r="N99" s="30"/>
    </row>
    <row r="100" customFormat="false" ht="17.25" hidden="false" customHeight="true" outlineLevel="0" collapsed="false">
      <c r="B100" s="10" t="s">
        <v>104</v>
      </c>
      <c r="C100" s="10"/>
      <c r="D100" s="10" t="s">
        <v>486</v>
      </c>
      <c r="E100" s="10"/>
      <c r="F100" s="10"/>
      <c r="G100" s="10"/>
      <c r="H100" s="10"/>
      <c r="I100" s="10" t="s">
        <v>487</v>
      </c>
      <c r="J100" s="10" t="s">
        <v>488</v>
      </c>
      <c r="K100" s="10"/>
      <c r="L100" s="10"/>
      <c r="M100" s="10"/>
      <c r="N100" s="10"/>
    </row>
    <row r="101" customFormat="false" ht="17.25" hidden="false" customHeight="true" outlineLevel="0" collapsed="false">
      <c r="B101" s="18" t="s">
        <v>546</v>
      </c>
      <c r="C101" s="18"/>
      <c r="D101" s="12" t="s">
        <v>547</v>
      </c>
      <c r="E101" s="12"/>
      <c r="F101" s="12"/>
      <c r="G101" s="12"/>
      <c r="H101" s="12"/>
      <c r="I101" s="44" t="s">
        <v>491</v>
      </c>
      <c r="J101" s="70" t="str">
        <f aca="false">"["&amp;IF(ROUND(C69,3)&lt;0,"("&amp;ROUND(C69,3)&amp;")",ROUND(C69,3)&amp;"")&amp;", "&amp;IF(ROUND(D69,3)&lt;0,"("&amp;ROUND(D69,3)&amp;")",ROUND(D69,3)&amp;"")&amp;", "&amp;IF(ROUND(E69,3)&lt;0,"("&amp;ROUND(E69,3)&amp;")",ROUND(E69,3)&amp;"")&amp;"]"</f>
        <v>[2, 5, 0]</v>
      </c>
      <c r="K101" s="70"/>
      <c r="L101" s="70"/>
      <c r="M101" s="70"/>
      <c r="N101" s="70"/>
    </row>
    <row r="102" customFormat="false" ht="17.25" hidden="false" customHeight="true" outlineLevel="0" collapsed="false">
      <c r="B102" s="9" t="s">
        <v>548</v>
      </c>
      <c r="C102" s="9"/>
      <c r="D102" s="15" t="s">
        <v>549</v>
      </c>
      <c r="E102" s="15"/>
      <c r="F102" s="15"/>
      <c r="G102" s="15"/>
      <c r="H102" s="15"/>
      <c r="I102" s="16" t="s">
        <v>491</v>
      </c>
      <c r="J102" s="20" t="str">
        <f aca="false">"["&amp;IF(ROUND(C74,3)&lt;0,"("&amp;ROUND(C74,3)&amp;")",ROUND(C74,3)&amp;"")&amp;", "&amp;IF(ROUND(D74,3)&lt;0,"("&amp;ROUND(D74,3)&amp;")",ROUND(D74,3)&amp;"")&amp;", "&amp;IF(ROUND(E74,3)&lt;0,"("&amp;ROUND(E74,3)&amp;")",ROUND(E74,3)&amp;"")&amp;"]"</f>
        <v>[(-1.2), (-0.667), (-1.25)]</v>
      </c>
      <c r="K102" s="20"/>
      <c r="L102" s="20"/>
      <c r="M102" s="20"/>
      <c r="N102" s="20"/>
    </row>
    <row r="103" customFormat="false" ht="17.25" hidden="false" customHeight="true" outlineLevel="0" collapsed="false">
      <c r="B103" s="18" t="s">
        <v>550</v>
      </c>
      <c r="C103" s="18"/>
      <c r="D103" s="12" t="s">
        <v>551</v>
      </c>
      <c r="E103" s="12"/>
      <c r="F103" s="12"/>
      <c r="G103" s="12"/>
      <c r="H103" s="12"/>
      <c r="I103" s="44" t="s">
        <v>552</v>
      </c>
      <c r="J103" s="70" t="str">
        <f aca="false">"["&amp;IF(ROUND(C82,3)&lt;0,"("&amp;ROUND(C82,3)&amp;")",ROUND(C82,3)&amp;"")&amp;", "&amp;IF(ROUND(D82,3)&lt;0,"("&amp;ROUND(D82,3)&amp;")",ROUND(D82,3)&amp;"")&amp;"]"</f>
        <v>[(-1.71), (-0.867)]</v>
      </c>
      <c r="K103" s="70"/>
      <c r="L103" s="70"/>
      <c r="M103" s="70"/>
      <c r="N103" s="70"/>
    </row>
    <row r="104" customFormat="false" ht="17.25" hidden="false" customHeight="true" outlineLevel="0" collapsed="false">
      <c r="B104" s="9" t="s">
        <v>553</v>
      </c>
      <c r="C104" s="9"/>
      <c r="D104" s="15" t="s">
        <v>554</v>
      </c>
      <c r="E104" s="15"/>
      <c r="F104" s="15"/>
      <c r="G104" s="15"/>
      <c r="H104" s="15"/>
      <c r="I104" s="16" t="s">
        <v>552</v>
      </c>
      <c r="J104" s="20" t="str">
        <f aca="false">"["&amp;IF(ROUND(C89,3)&lt;0,"("&amp;ROUND(C89,3)&amp;")",ROUND(C89,3)&amp;"")&amp;", "&amp;IF(ROUND(D89,3)&lt;0,"("&amp;ROUND(D89,3)&amp;")",ROUND(D89,3)&amp;"")&amp;"]"</f>
        <v>[(-0.937), (-0.7)]</v>
      </c>
      <c r="K104" s="20"/>
      <c r="L104" s="20"/>
      <c r="M104" s="20"/>
      <c r="N104" s="20"/>
    </row>
    <row r="105" customFormat="false" ht="17.25" hidden="false" customHeight="true" outlineLevel="0" collapsed="false">
      <c r="B105" s="18" t="s">
        <v>555</v>
      </c>
      <c r="C105" s="18"/>
      <c r="D105" s="12" t="s">
        <v>556</v>
      </c>
      <c r="E105" s="12"/>
      <c r="F105" s="12"/>
      <c r="G105" s="12"/>
      <c r="H105" s="12"/>
      <c r="I105" s="44" t="s">
        <v>557</v>
      </c>
      <c r="J105" s="70" t="str">
        <f aca="false">IF(ROUND(C93,3)&lt;0,"("&amp;ROUND(C93,3)&amp;")",ROUND(C93,3)&amp;"")</f>
        <v>(-3.541)</v>
      </c>
      <c r="K105" s="70"/>
      <c r="L105" s="70"/>
      <c r="M105" s="70"/>
      <c r="N105" s="70"/>
    </row>
    <row r="106" customFormat="false" ht="17.25" hidden="false" customHeight="true" outlineLevel="0" collapsed="false">
      <c r="B106" s="9" t="s">
        <v>558</v>
      </c>
      <c r="C106" s="9"/>
      <c r="D106" s="15" t="s">
        <v>559</v>
      </c>
      <c r="E106" s="15"/>
      <c r="F106" s="15"/>
      <c r="G106" s="15"/>
      <c r="H106" s="15"/>
      <c r="I106" s="16" t="s">
        <v>557</v>
      </c>
      <c r="J106" s="20" t="str">
        <f aca="false">TEXT(C96,"0.0%")</f>
        <v>2.8%</v>
      </c>
      <c r="K106" s="20"/>
      <c r="L106" s="20"/>
      <c r="M106" s="20"/>
      <c r="N106" s="20"/>
    </row>
    <row r="107" customFormat="false" ht="17.25" hidden="false" customHeight="true" outlineLevel="0" collapsed="false">
      <c r="B107" s="18" t="s">
        <v>560</v>
      </c>
      <c r="C107" s="18"/>
      <c r="D107" s="12" t="s">
        <v>561</v>
      </c>
      <c r="E107" s="12"/>
      <c r="F107" s="12"/>
      <c r="G107" s="12"/>
      <c r="H107" s="12"/>
      <c r="I107" s="44" t="s">
        <v>562</v>
      </c>
      <c r="J107" s="70" t="str">
        <f aca="false">C98</f>
        <v>FAIL</v>
      </c>
      <c r="K107" s="70"/>
      <c r="L107" s="70"/>
      <c r="M107" s="70"/>
      <c r="N107" s="70"/>
    </row>
    <row r="109" customFormat="false" ht="21.75" hidden="false" customHeight="true" outlineLevel="0" collapsed="false">
      <c r="B109" s="4" t="s">
        <v>564</v>
      </c>
      <c r="C109" s="4"/>
      <c r="D109" s="4"/>
      <c r="E109" s="4"/>
      <c r="F109" s="4"/>
      <c r="G109" s="4"/>
      <c r="H109" s="4"/>
      <c r="I109" s="4"/>
      <c r="J109" s="4"/>
      <c r="K109" s="4"/>
      <c r="L109" s="4"/>
      <c r="M109" s="4"/>
      <c r="N109" s="4"/>
    </row>
    <row r="110" customFormat="false" ht="17.25" hidden="false" customHeight="true" outlineLevel="0" collapsed="false">
      <c r="B110" s="33" t="s">
        <v>565</v>
      </c>
      <c r="C110" s="33"/>
      <c r="D110" s="33"/>
      <c r="E110" s="33"/>
      <c r="G110" s="33" t="s">
        <v>566</v>
      </c>
      <c r="H110" s="33"/>
      <c r="I110" s="33"/>
      <c r="J110" s="33"/>
    </row>
    <row r="111" customFormat="false" ht="15" hidden="false" customHeight="false" outlineLevel="0" collapsed="false">
      <c r="B111" s="15"/>
      <c r="C111" s="34" t="s">
        <v>523</v>
      </c>
      <c r="D111" s="34" t="s">
        <v>524</v>
      </c>
      <c r="E111" s="34" t="s">
        <v>525</v>
      </c>
      <c r="G111" s="15"/>
      <c r="H111" s="34" t="s">
        <v>523</v>
      </c>
      <c r="I111" s="34" t="s">
        <v>524</v>
      </c>
      <c r="J111" s="34" t="s">
        <v>525</v>
      </c>
    </row>
    <row r="112" customFormat="false" ht="15" hidden="false" customHeight="false" outlineLevel="0" collapsed="false">
      <c r="B112" s="20" t="s">
        <v>567</v>
      </c>
      <c r="C112" s="21" t="n">
        <v>8</v>
      </c>
      <c r="D112" s="21" t="n">
        <v>7</v>
      </c>
      <c r="E112" s="21" t="n">
        <v>3</v>
      </c>
      <c r="G112" s="20" t="s">
        <v>567</v>
      </c>
      <c r="H112" s="55" t="n">
        <f aca="false">(C112-C9)/C12</f>
        <v>1.2</v>
      </c>
      <c r="I112" s="55" t="n">
        <f aca="false">(D112-D9)/D12</f>
        <v>0.666666666666667</v>
      </c>
      <c r="J112" s="55" t="n">
        <f aca="false">(E112-E9)/E12</f>
        <v>1.25</v>
      </c>
    </row>
    <row r="113" customFormat="false" ht="15" hidden="false" customHeight="false" outlineLevel="0" collapsed="false">
      <c r="B113" s="20" t="s">
        <v>568</v>
      </c>
      <c r="C113" s="21" t="n">
        <v>2</v>
      </c>
      <c r="D113" s="21" t="n">
        <v>5</v>
      </c>
      <c r="E113" s="21" t="n">
        <v>0</v>
      </c>
      <c r="G113" s="20" t="s">
        <v>568</v>
      </c>
      <c r="H113" s="55" t="n">
        <f aca="false">(C113-C9)/C12</f>
        <v>-1.2</v>
      </c>
      <c r="I113" s="55" t="n">
        <f aca="false">(D113-D9)/D12</f>
        <v>-0.666666666666667</v>
      </c>
      <c r="J113" s="55" t="n">
        <f aca="false">(E113-E9)/E12</f>
        <v>-1.25</v>
      </c>
    </row>
    <row r="114" customFormat="false" ht="15" hidden="false" customHeight="false" outlineLevel="0" collapsed="false">
      <c r="B114" s="20" t="s">
        <v>569</v>
      </c>
      <c r="C114" s="21" t="n">
        <v>5</v>
      </c>
      <c r="D114" s="21" t="n">
        <v>8</v>
      </c>
      <c r="E114" s="21" t="n">
        <v>1</v>
      </c>
      <c r="G114" s="20" t="s">
        <v>569</v>
      </c>
      <c r="H114" s="55" t="n">
        <f aca="false">(C114-C9)/C12</f>
        <v>0</v>
      </c>
      <c r="I114" s="55" t="n">
        <f aca="false">(D114-D9)/D12</f>
        <v>1.33333333333333</v>
      </c>
      <c r="J114" s="55" t="n">
        <f aca="false">(E114-E9)/E12</f>
        <v>-0.416666666666667</v>
      </c>
    </row>
    <row r="116" customFormat="false" ht="17.25" hidden="false" customHeight="true" outlineLevel="0" collapsed="false">
      <c r="B116" s="33" t="s">
        <v>570</v>
      </c>
      <c r="C116" s="33"/>
      <c r="D116" s="33"/>
    </row>
    <row r="117" customFormat="false" ht="15" hidden="false" customHeight="false" outlineLevel="0" collapsed="false">
      <c r="B117" s="15"/>
      <c r="C117" s="34" t="s">
        <v>528</v>
      </c>
      <c r="D117" s="34" t="s">
        <v>529</v>
      </c>
      <c r="F117" s="34" t="s">
        <v>540</v>
      </c>
      <c r="G117" s="34" t="s">
        <v>543</v>
      </c>
      <c r="H117" s="34" t="s">
        <v>571</v>
      </c>
    </row>
    <row r="118" customFormat="false" ht="15" hidden="false" customHeight="false" outlineLevel="0" collapsed="false">
      <c r="B118" s="20" t="s">
        <v>567</v>
      </c>
      <c r="C118" s="55" t="n">
        <f aca="false">TANH(H112*C16+I112*C17+J112*C18+G16)</f>
        <v>0.936647543241887</v>
      </c>
      <c r="D118" s="55" t="n">
        <f aca="false">TANH(H112*D16+I112*D17+J112*D18+H16)</f>
        <v>0.43550211391548</v>
      </c>
      <c r="F118" s="57" t="n">
        <f aca="false">C118*K16+D118*L16+C20</f>
        <v>2.2771209720202</v>
      </c>
      <c r="G118" s="73" t="n">
        <f aca="false">1/(1+EXP(-F118))</f>
        <v>0.906964399034322</v>
      </c>
      <c r="H118" s="64" t="str">
        <f aca="false">IF(G118&gt;=C21,"PASS","FAIL")</f>
        <v>PASS</v>
      </c>
    </row>
    <row r="119" customFormat="false" ht="15" hidden="false" customHeight="false" outlineLevel="0" collapsed="false">
      <c r="B119" s="20" t="s">
        <v>568</v>
      </c>
      <c r="C119" s="55" t="n">
        <f aca="false">TANH(H113*C16+I113*C17+J113*C18+G16)</f>
        <v>-0.936647543241887</v>
      </c>
      <c r="D119" s="55" t="n">
        <f aca="false">TANH(H113*D16+I113*D17+J113*D18+H16)</f>
        <v>-0.699676587420305</v>
      </c>
      <c r="F119" s="57" t="n">
        <f aca="false">C119*K16+D119*L16+C20</f>
        <v>-3.54129544552502</v>
      </c>
      <c r="G119" s="73" t="n">
        <f aca="false">1/(1+EXP(-F119))</f>
        <v>0.028159814042897</v>
      </c>
      <c r="H119" s="64" t="str">
        <f aca="false">IF(G119&gt;=C21,"PASS","FAIL")</f>
        <v>FAIL</v>
      </c>
    </row>
    <row r="120" customFormat="false" ht="15" hidden="false" customHeight="false" outlineLevel="0" collapsed="false">
      <c r="B120" s="20" t="s">
        <v>569</v>
      </c>
      <c r="C120" s="55" t="n">
        <f aca="false">TANH(H114*C16+I114*C17+J114*C18+G16)</f>
        <v>-0.244918662403709</v>
      </c>
      <c r="D120" s="55" t="n">
        <f aca="false">TANH(H114*D16+I114*D17+J114*D18+H16)</f>
        <v>0.812157007961458</v>
      </c>
      <c r="F120" s="57" t="n">
        <f aca="false">C120*K16+D120*L16+C20</f>
        <v>-0.300139648047815</v>
      </c>
      <c r="G120" s="73" t="n">
        <f aca="false">1/(1+EXP(-F120))</f>
        <v>0.425523345417285</v>
      </c>
      <c r="H120" s="64" t="str">
        <f aca="false">IF(G120&gt;=C21,"PASS","FAIL")</f>
        <v>FAIL</v>
      </c>
    </row>
    <row r="122" customFormat="false" ht="31.5" hidden="false" customHeight="true" outlineLevel="0" collapsed="false">
      <c r="B122" s="5" t="s">
        <v>572</v>
      </c>
      <c r="C122" s="5"/>
      <c r="D122" s="5"/>
      <c r="E122" s="5"/>
      <c r="F122" s="5"/>
      <c r="G122" s="5"/>
      <c r="H122" s="5"/>
      <c r="I122" s="5"/>
      <c r="J122" s="5"/>
      <c r="K122" s="5"/>
      <c r="L122" s="5"/>
      <c r="M122" s="5"/>
      <c r="N122" s="5"/>
    </row>
    <row r="123" customFormat="false" ht="17.25" hidden="false" customHeight="true" outlineLevel="0" collapsed="false">
      <c r="B123" s="45" t="s">
        <v>573</v>
      </c>
      <c r="C123" s="45"/>
      <c r="D123" s="45"/>
      <c r="E123" s="45"/>
      <c r="F123" s="45"/>
      <c r="G123" s="45"/>
      <c r="H123" s="45"/>
      <c r="I123" s="45"/>
      <c r="J123" s="45"/>
      <c r="K123" s="45"/>
      <c r="L123" s="45"/>
      <c r="M123" s="45"/>
      <c r="N123" s="45"/>
    </row>
  </sheetData>
  <mergeCells count="106">
    <mergeCell ref="B1:N1"/>
    <mergeCell ref="B2:N2"/>
    <mergeCell ref="B4:N4"/>
    <mergeCell ref="B5:N5"/>
    <mergeCell ref="B6:N6"/>
    <mergeCell ref="B7:E7"/>
    <mergeCell ref="B10:E10"/>
    <mergeCell ref="B14:D14"/>
    <mergeCell ref="F14:H14"/>
    <mergeCell ref="J14:L14"/>
    <mergeCell ref="D21:N21"/>
    <mergeCell ref="B22:N22"/>
    <mergeCell ref="B23:N23"/>
    <mergeCell ref="B24:E24"/>
    <mergeCell ref="C28:N28"/>
    <mergeCell ref="B29:E29"/>
    <mergeCell ref="C33:N33"/>
    <mergeCell ref="C34:N34"/>
    <mergeCell ref="C35:N35"/>
    <mergeCell ref="C36:N36"/>
    <mergeCell ref="B37:D37"/>
    <mergeCell ref="C41:N41"/>
    <mergeCell ref="C42:N42"/>
    <mergeCell ref="C43:N43"/>
    <mergeCell ref="B44:D44"/>
    <mergeCell ref="C48:N48"/>
    <mergeCell ref="C49:N49"/>
    <mergeCell ref="C51:N51"/>
    <mergeCell ref="C52:N52"/>
    <mergeCell ref="C54:N54"/>
    <mergeCell ref="D55:N55"/>
    <mergeCell ref="B56:N56"/>
    <mergeCell ref="B57:C57"/>
    <mergeCell ref="D57:H57"/>
    <mergeCell ref="J57:N57"/>
    <mergeCell ref="B58:C58"/>
    <mergeCell ref="D58:H58"/>
    <mergeCell ref="J58:N58"/>
    <mergeCell ref="B59:C59"/>
    <mergeCell ref="D59:H59"/>
    <mergeCell ref="J59:N59"/>
    <mergeCell ref="B60:C60"/>
    <mergeCell ref="D60:H60"/>
    <mergeCell ref="J60:N60"/>
    <mergeCell ref="B61:C61"/>
    <mergeCell ref="D61:H61"/>
    <mergeCell ref="J61:N61"/>
    <mergeCell ref="B62:C62"/>
    <mergeCell ref="D62:H62"/>
    <mergeCell ref="J62:N62"/>
    <mergeCell ref="B63:C63"/>
    <mergeCell ref="D63:H63"/>
    <mergeCell ref="J63:N63"/>
    <mergeCell ref="B64:C64"/>
    <mergeCell ref="D64:H64"/>
    <mergeCell ref="J64:N64"/>
    <mergeCell ref="B66:N66"/>
    <mergeCell ref="B67:E67"/>
    <mergeCell ref="C71:N71"/>
    <mergeCell ref="B72:E72"/>
    <mergeCell ref="C76:N76"/>
    <mergeCell ref="C77:N77"/>
    <mergeCell ref="C78:N78"/>
    <mergeCell ref="C79:N79"/>
    <mergeCell ref="B80:D80"/>
    <mergeCell ref="C84:N84"/>
    <mergeCell ref="C85:N85"/>
    <mergeCell ref="C86:N86"/>
    <mergeCell ref="B87:D87"/>
    <mergeCell ref="C91:N91"/>
    <mergeCell ref="C92:N92"/>
    <mergeCell ref="C94:N94"/>
    <mergeCell ref="C95:N95"/>
    <mergeCell ref="C97:N97"/>
    <mergeCell ref="D98:N98"/>
    <mergeCell ref="B99:N99"/>
    <mergeCell ref="B100:C100"/>
    <mergeCell ref="D100:H100"/>
    <mergeCell ref="J100:N100"/>
    <mergeCell ref="B101:C101"/>
    <mergeCell ref="D101:H101"/>
    <mergeCell ref="J101:N101"/>
    <mergeCell ref="B102:C102"/>
    <mergeCell ref="D102:H102"/>
    <mergeCell ref="J102:N102"/>
    <mergeCell ref="B103:C103"/>
    <mergeCell ref="D103:H103"/>
    <mergeCell ref="J103:N103"/>
    <mergeCell ref="B104:C104"/>
    <mergeCell ref="D104:H104"/>
    <mergeCell ref="J104:N104"/>
    <mergeCell ref="B105:C105"/>
    <mergeCell ref="D105:H105"/>
    <mergeCell ref="J105:N105"/>
    <mergeCell ref="B106:C106"/>
    <mergeCell ref="D106:H106"/>
    <mergeCell ref="J106:N106"/>
    <mergeCell ref="B107:C107"/>
    <mergeCell ref="D107:H107"/>
    <mergeCell ref="J107:N107"/>
    <mergeCell ref="B109:N109"/>
    <mergeCell ref="B110:E110"/>
    <mergeCell ref="G110:J110"/>
    <mergeCell ref="B116:D116"/>
    <mergeCell ref="B122:N122"/>
    <mergeCell ref="B123:N1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574</v>
      </c>
      <c r="C1" s="1"/>
      <c r="D1" s="1"/>
      <c r="E1" s="1"/>
      <c r="F1" s="1"/>
      <c r="G1" s="1"/>
      <c r="H1" s="1"/>
      <c r="I1" s="1"/>
      <c r="J1" s="1"/>
      <c r="K1" s="1"/>
      <c r="L1" s="1"/>
      <c r="M1" s="1"/>
      <c r="N1" s="1"/>
    </row>
    <row r="2" customFormat="false" ht="17.25" hidden="false" customHeight="true" outlineLevel="0" collapsed="false">
      <c r="B2" s="2" t="s">
        <v>575</v>
      </c>
      <c r="C2" s="2"/>
      <c r="D2" s="2"/>
      <c r="E2" s="2"/>
      <c r="F2" s="2"/>
      <c r="G2" s="2"/>
      <c r="H2" s="2"/>
      <c r="I2" s="2"/>
      <c r="J2" s="2"/>
      <c r="K2" s="2"/>
      <c r="L2" s="2"/>
      <c r="M2" s="2"/>
      <c r="N2" s="2"/>
    </row>
    <row r="4" customFormat="false" ht="34.5" hidden="false" customHeight="true" outlineLevel="0" collapsed="false">
      <c r="B4" s="3" t="s">
        <v>576</v>
      </c>
      <c r="C4" s="3"/>
      <c r="D4" s="3"/>
      <c r="E4" s="3"/>
      <c r="F4" s="3"/>
      <c r="G4" s="3"/>
      <c r="H4" s="3"/>
      <c r="I4" s="3"/>
      <c r="J4" s="3"/>
      <c r="K4" s="3"/>
      <c r="L4" s="3"/>
      <c r="M4" s="3"/>
      <c r="N4" s="3"/>
    </row>
    <row r="5" customFormat="false" ht="20.25" hidden="false" customHeight="true" outlineLevel="0" collapsed="false">
      <c r="B5" s="32" t="s">
        <v>577</v>
      </c>
      <c r="C5" s="32"/>
      <c r="D5" s="32"/>
      <c r="E5" s="32"/>
      <c r="F5" s="32"/>
      <c r="G5" s="32"/>
      <c r="H5" s="32"/>
      <c r="I5" s="32"/>
      <c r="J5" s="32"/>
      <c r="K5" s="32"/>
      <c r="L5" s="32"/>
      <c r="M5" s="32"/>
      <c r="N5" s="32"/>
    </row>
    <row r="6" customFormat="false" ht="21.75" hidden="false" customHeight="true" outlineLevel="0" collapsed="false">
      <c r="B6" s="4" t="s">
        <v>578</v>
      </c>
      <c r="C6" s="4"/>
      <c r="D6" s="4"/>
      <c r="E6" s="4"/>
      <c r="F6" s="4"/>
      <c r="G6" s="4"/>
      <c r="H6" s="4"/>
      <c r="I6" s="4"/>
      <c r="J6" s="4"/>
      <c r="K6" s="4"/>
      <c r="L6" s="4"/>
      <c r="M6" s="4"/>
      <c r="N6" s="4"/>
    </row>
    <row r="7" customFormat="false" ht="17.25" hidden="false" customHeight="true" outlineLevel="0" collapsed="false">
      <c r="B7" s="33" t="s">
        <v>579</v>
      </c>
      <c r="C7" s="33"/>
      <c r="D7" s="33"/>
      <c r="E7" s="33"/>
    </row>
    <row r="8" customFormat="false" ht="15" hidden="false" customHeight="false" outlineLevel="0" collapsed="false">
      <c r="B8" s="15"/>
      <c r="C8" s="34" t="s">
        <v>580</v>
      </c>
      <c r="D8" s="34" t="s">
        <v>581</v>
      </c>
      <c r="E8" s="34" t="s">
        <v>582</v>
      </c>
    </row>
    <row r="9" customFormat="false" ht="15" hidden="false" customHeight="false" outlineLevel="0" collapsed="false">
      <c r="B9" s="20" t="s">
        <v>583</v>
      </c>
      <c r="C9" s="21" t="n">
        <v>1</v>
      </c>
      <c r="D9" s="21" t="n">
        <v>0</v>
      </c>
      <c r="E9" s="21" t="n">
        <v>1</v>
      </c>
    </row>
    <row r="10" customFormat="false" ht="15" hidden="false" customHeight="false" outlineLevel="0" collapsed="false">
      <c r="B10" s="20" t="s">
        <v>584</v>
      </c>
      <c r="C10" s="21" t="n">
        <v>0</v>
      </c>
      <c r="D10" s="21" t="n">
        <v>2</v>
      </c>
      <c r="E10" s="21" t="n">
        <v>0</v>
      </c>
    </row>
    <row r="11" customFormat="false" ht="15" hidden="false" customHeight="false" outlineLevel="0" collapsed="false">
      <c r="B11" s="20" t="s">
        <v>585</v>
      </c>
      <c r="C11" s="21" t="n">
        <v>1</v>
      </c>
      <c r="D11" s="21" t="n">
        <v>1</v>
      </c>
      <c r="E11" s="21" t="n">
        <v>1</v>
      </c>
    </row>
    <row r="13" customFormat="false" ht="21.75" hidden="false" customHeight="true" outlineLevel="0" collapsed="false">
      <c r="B13" s="4" t="s">
        <v>586</v>
      </c>
      <c r="C13" s="4"/>
      <c r="D13" s="4"/>
      <c r="E13" s="4"/>
      <c r="F13" s="4"/>
      <c r="G13" s="4"/>
      <c r="H13" s="4"/>
      <c r="I13" s="4"/>
      <c r="J13" s="4"/>
      <c r="K13" s="4"/>
      <c r="L13" s="4"/>
      <c r="M13" s="4"/>
      <c r="N13" s="4"/>
    </row>
    <row r="14" customFormat="false" ht="17.25" hidden="false" customHeight="true" outlineLevel="0" collapsed="false">
      <c r="B14" s="33" t="s">
        <v>587</v>
      </c>
      <c r="C14" s="33"/>
      <c r="D14" s="33"/>
      <c r="F14" s="33" t="s">
        <v>588</v>
      </c>
      <c r="G14" s="33"/>
      <c r="H14" s="33"/>
      <c r="J14" s="33" t="s">
        <v>589</v>
      </c>
      <c r="K14" s="33"/>
      <c r="L14" s="33"/>
    </row>
    <row r="15" customFormat="false" ht="15" hidden="false" customHeight="false" outlineLevel="0" collapsed="false">
      <c r="B15" s="15"/>
      <c r="C15" s="34" t="s">
        <v>143</v>
      </c>
      <c r="D15" s="34" t="s">
        <v>245</v>
      </c>
      <c r="F15" s="15"/>
      <c r="G15" s="34" t="s">
        <v>143</v>
      </c>
      <c r="H15" s="34" t="s">
        <v>245</v>
      </c>
      <c r="J15" s="15"/>
      <c r="K15" s="34" t="s">
        <v>143</v>
      </c>
      <c r="L15" s="34" t="s">
        <v>245</v>
      </c>
    </row>
    <row r="16" customFormat="false" ht="15" hidden="false" customHeight="false" outlineLevel="0" collapsed="false">
      <c r="B16" s="20" t="s">
        <v>580</v>
      </c>
      <c r="C16" s="21" t="n">
        <v>1</v>
      </c>
      <c r="D16" s="21" t="n">
        <v>0</v>
      </c>
      <c r="F16" s="20" t="s">
        <v>580</v>
      </c>
      <c r="G16" s="21" t="n">
        <v>0</v>
      </c>
      <c r="H16" s="21" t="n">
        <v>1</v>
      </c>
      <c r="J16" s="20" t="s">
        <v>580</v>
      </c>
      <c r="K16" s="21" t="n">
        <v>1</v>
      </c>
      <c r="L16" s="21" t="n">
        <v>0</v>
      </c>
    </row>
    <row r="17" customFormat="false" ht="15" hidden="false" customHeight="false" outlineLevel="0" collapsed="false">
      <c r="B17" s="20" t="s">
        <v>581</v>
      </c>
      <c r="C17" s="21" t="n">
        <v>0</v>
      </c>
      <c r="D17" s="21" t="n">
        <v>1</v>
      </c>
      <c r="F17" s="20" t="s">
        <v>581</v>
      </c>
      <c r="G17" s="21" t="n">
        <v>1</v>
      </c>
      <c r="H17" s="21" t="n">
        <v>0</v>
      </c>
      <c r="J17" s="20" t="s">
        <v>581</v>
      </c>
      <c r="K17" s="21" t="n">
        <v>0</v>
      </c>
      <c r="L17" s="21" t="n">
        <v>1</v>
      </c>
    </row>
    <row r="18" customFormat="false" ht="15" hidden="false" customHeight="false" outlineLevel="0" collapsed="false">
      <c r="B18" s="20" t="s">
        <v>582</v>
      </c>
      <c r="C18" s="21" t="n">
        <v>1</v>
      </c>
      <c r="D18" s="21" t="n">
        <v>0</v>
      </c>
      <c r="F18" s="20" t="s">
        <v>582</v>
      </c>
      <c r="G18" s="21" t="n">
        <v>1</v>
      </c>
      <c r="H18" s="21" t="n">
        <v>1</v>
      </c>
      <c r="J18" s="20" t="s">
        <v>582</v>
      </c>
      <c r="K18" s="21" t="n">
        <v>0.5</v>
      </c>
      <c r="L18" s="21" t="n">
        <v>0.5</v>
      </c>
    </row>
    <row r="20" customFormat="false" ht="17.25" hidden="false" customHeight="true" outlineLevel="0" collapsed="false">
      <c r="B20" s="33" t="s">
        <v>590</v>
      </c>
      <c r="C20" s="33"/>
      <c r="D20" s="33"/>
      <c r="F20" s="33" t="s">
        <v>591</v>
      </c>
      <c r="G20" s="33"/>
      <c r="H20" s="33"/>
      <c r="J20" s="33" t="s">
        <v>592</v>
      </c>
      <c r="K20" s="33"/>
      <c r="L20" s="33"/>
    </row>
    <row r="21" customFormat="false" ht="15" hidden="false" customHeight="false" outlineLevel="0" collapsed="false">
      <c r="B21" s="15"/>
      <c r="C21" s="34" t="s">
        <v>143</v>
      </c>
      <c r="D21" s="34" t="s">
        <v>245</v>
      </c>
      <c r="F21" s="15"/>
      <c r="G21" s="34" t="s">
        <v>143</v>
      </c>
      <c r="H21" s="34" t="s">
        <v>245</v>
      </c>
      <c r="J21" s="15"/>
      <c r="K21" s="34" t="s">
        <v>143</v>
      </c>
      <c r="L21" s="34" t="s">
        <v>245</v>
      </c>
    </row>
    <row r="22" customFormat="false" ht="15" hidden="false" customHeight="false" outlineLevel="0" collapsed="false">
      <c r="B22" s="20" t="s">
        <v>583</v>
      </c>
      <c r="C22" s="55" t="n">
        <f aca="false">C9*C16+D9*C17+E9*C18</f>
        <v>2</v>
      </c>
      <c r="D22" s="55" t="n">
        <f aca="false">C9*D16+D9*D17+E9*D18</f>
        <v>0</v>
      </c>
      <c r="F22" s="20" t="s">
        <v>583</v>
      </c>
      <c r="G22" s="55" t="n">
        <f aca="false">C9*G16+D9*G17+E9*G18</f>
        <v>1</v>
      </c>
      <c r="H22" s="55" t="n">
        <f aca="false">C9*H16+D9*H17+E9*H18</f>
        <v>2</v>
      </c>
      <c r="J22" s="20" t="s">
        <v>583</v>
      </c>
      <c r="K22" s="55" t="n">
        <f aca="false">C9*K16+D9*K17+E9*K18</f>
        <v>1.5</v>
      </c>
      <c r="L22" s="55" t="n">
        <f aca="false">C9*L16+D9*L17+E9*L18</f>
        <v>0.5</v>
      </c>
    </row>
    <row r="23" customFormat="false" ht="15" hidden="false" customHeight="false" outlineLevel="0" collapsed="false">
      <c r="B23" s="20" t="s">
        <v>584</v>
      </c>
      <c r="C23" s="55" t="n">
        <f aca="false">C10*C16+D10*C17+E10*C18</f>
        <v>0</v>
      </c>
      <c r="D23" s="55" t="n">
        <f aca="false">C10*D16+D10*D17+E10*D18</f>
        <v>2</v>
      </c>
      <c r="F23" s="20" t="s">
        <v>584</v>
      </c>
      <c r="G23" s="55" t="n">
        <f aca="false">C10*G16+D10*G17+E10*G18</f>
        <v>2</v>
      </c>
      <c r="H23" s="55" t="n">
        <f aca="false">C10*H16+D10*H17+E10*H18</f>
        <v>0</v>
      </c>
      <c r="J23" s="20" t="s">
        <v>584</v>
      </c>
      <c r="K23" s="55" t="n">
        <f aca="false">C10*K16+D10*K17+E10*K18</f>
        <v>0</v>
      </c>
      <c r="L23" s="55" t="n">
        <f aca="false">C10*L16+D10*L17+E10*L18</f>
        <v>2</v>
      </c>
    </row>
    <row r="24" customFormat="false" ht="15" hidden="false" customHeight="false" outlineLevel="0" collapsed="false">
      <c r="B24" s="20" t="s">
        <v>585</v>
      </c>
      <c r="C24" s="55" t="n">
        <f aca="false">C11*C16+D11*C17+E11*C18</f>
        <v>2</v>
      </c>
      <c r="D24" s="55" t="n">
        <f aca="false">C11*D16+D11*D17+E11*D18</f>
        <v>1</v>
      </c>
      <c r="F24" s="20" t="s">
        <v>585</v>
      </c>
      <c r="G24" s="55" t="n">
        <f aca="false">C11*G16+D11*G17+E11*G18</f>
        <v>2</v>
      </c>
      <c r="H24" s="55" t="n">
        <f aca="false">C11*H16+D11*H17+E11*H18</f>
        <v>2</v>
      </c>
      <c r="J24" s="20" t="s">
        <v>585</v>
      </c>
      <c r="K24" s="55" t="n">
        <f aca="false">C11*K16+D11*K17+E11*K18</f>
        <v>1.5</v>
      </c>
      <c r="L24" s="55" t="n">
        <f aca="false">C11*L16+D11*L17+E11*L18</f>
        <v>1.5</v>
      </c>
    </row>
    <row r="26" customFormat="false" ht="15.75" hidden="false" customHeight="true" outlineLevel="0" collapsed="false">
      <c r="B26" s="9" t="s">
        <v>593</v>
      </c>
      <c r="C26" s="28" t="str">
        <f aca="false">"["&amp;"("&amp;IF(ROUND(C11,3)&lt;0,"("&amp;ROUND(C11,3)&amp;")",ROUND(C11,3)&amp;"")&amp;"×"&amp;IF(ROUND(C16,3)&lt;0,"("&amp;ROUND(C16,3)&amp;")",ROUND(C16,3)&amp;"")&amp;" + "&amp;IF(ROUND(D11,3)&lt;0,"("&amp;ROUND(D11,3)&amp;")",ROUND(D11,3)&amp;"")&amp;"×"&amp;IF(ROUND(C17,3)&lt;0,"("&amp;ROUND(C17,3)&amp;")",ROUND(C17,3)&amp;"")&amp;" + "&amp;IF(ROUND(E11,3)&lt;0,"("&amp;ROUND(E11,3)&amp;")",ROUND(E11,3)&amp;"")&amp;"×"&amp;IF(ROUND(C18,3)&lt;0,"("&amp;ROUND(C18,3)&amp;")",ROUND(C18,3)&amp;"")&amp;") = "&amp;IF(ROUND(C24,3)&lt;0,"("&amp;ROUND(C24,3)&amp;")",ROUND(C24,3)&amp;"")&amp;", "&amp;"("&amp;IF(ROUND(C11,3)&lt;0,"("&amp;ROUND(C11,3)&amp;")",ROUND(C11,3)&amp;"")&amp;"×"&amp;IF(ROUND(D16,3)&lt;0,"("&amp;ROUND(D16,3)&amp;")",ROUND(D16,3)&amp;"")&amp;" + "&amp;IF(ROUND(D11,3)&lt;0,"("&amp;ROUND(D11,3)&amp;")",ROUND(D11,3)&amp;"")&amp;"×"&amp;IF(ROUND(D17,3)&lt;0,"("&amp;ROUND(D17,3)&amp;")",ROUND(D17,3)&amp;"")&amp;" + "&amp;IF(ROUND(E11,3)&lt;0,"("&amp;ROUND(E11,3)&amp;")",ROUND(E11,3)&amp;"")&amp;"×"&amp;IF(ROUND(D18,3)&lt;0,"("&amp;ROUND(D18,3)&amp;")",ROUND(D18,3)&amp;"")&amp;") = "&amp;IF(ROUND(D24,3)&lt;0,"("&amp;ROUND(D24,3)&amp;")",ROUND(D24,3)&amp;"")&amp;"]"</f>
        <v>[(1×1 + 1×0 + 1×1) = 2, (1×0 + 1×1 + 1×0) = 1]</v>
      </c>
      <c r="D26" s="28"/>
      <c r="E26" s="28"/>
      <c r="F26" s="28"/>
      <c r="G26" s="28"/>
      <c r="H26" s="28"/>
      <c r="I26" s="28"/>
      <c r="J26" s="28"/>
      <c r="K26" s="28"/>
      <c r="L26" s="28"/>
      <c r="M26" s="28"/>
      <c r="N26" s="28"/>
    </row>
    <row r="27" customFormat="false" ht="21.75" hidden="false" customHeight="true" outlineLevel="0" collapsed="false">
      <c r="B27" s="4" t="s">
        <v>594</v>
      </c>
      <c r="C27" s="4"/>
      <c r="D27" s="4"/>
      <c r="E27" s="4"/>
      <c r="F27" s="4"/>
      <c r="G27" s="4"/>
      <c r="H27" s="4"/>
      <c r="I27" s="4"/>
      <c r="J27" s="4"/>
      <c r="K27" s="4"/>
      <c r="L27" s="4"/>
      <c r="M27" s="4"/>
      <c r="N27" s="4"/>
    </row>
    <row r="28" customFormat="false" ht="15.75" hidden="false" customHeight="true" outlineLevel="0" collapsed="false">
      <c r="B28" s="20" t="s">
        <v>595</v>
      </c>
      <c r="C28" s="25" t="n">
        <v>2</v>
      </c>
    </row>
    <row r="29" customFormat="false" ht="17.25" hidden="false" customHeight="true" outlineLevel="0" collapsed="false">
      <c r="B29" s="33" t="s">
        <v>596</v>
      </c>
      <c r="C29" s="33"/>
      <c r="D29" s="33"/>
      <c r="E29" s="33"/>
    </row>
    <row r="30" customFormat="false" ht="15" hidden="false" customHeight="false" outlineLevel="0" collapsed="false">
      <c r="B30" s="15"/>
      <c r="C30" s="34" t="s">
        <v>583</v>
      </c>
      <c r="D30" s="34" t="s">
        <v>584</v>
      </c>
      <c r="E30" s="34" t="s">
        <v>585</v>
      </c>
    </row>
    <row r="31" customFormat="false" ht="15" hidden="false" customHeight="false" outlineLevel="0" collapsed="false">
      <c r="B31" s="20" t="s">
        <v>583</v>
      </c>
      <c r="C31" s="55" t="n">
        <f aca="false">(C22*G22+D22*H22)/SQRT(C28)</f>
        <v>1.4142135623731</v>
      </c>
      <c r="D31" s="55" t="n">
        <f aca="false">(C22*G23+D22*H23)/SQRT(C28)</f>
        <v>2.82842712474619</v>
      </c>
      <c r="E31" s="55" t="n">
        <f aca="false">(C22*G24+D22*H24)/SQRT(C28)</f>
        <v>2.82842712474619</v>
      </c>
    </row>
    <row r="32" customFormat="false" ht="15" hidden="false" customHeight="false" outlineLevel="0" collapsed="false">
      <c r="B32" s="20" t="s">
        <v>584</v>
      </c>
      <c r="C32" s="55" t="n">
        <f aca="false">(C23*G22+D23*H22)/SQRT(C28)</f>
        <v>2.82842712474619</v>
      </c>
      <c r="D32" s="55" t="n">
        <f aca="false">(C23*G23+D23*H23)/SQRT(C28)</f>
        <v>0</v>
      </c>
      <c r="E32" s="55" t="n">
        <f aca="false">(C23*G24+D23*H24)/SQRT(C28)</f>
        <v>2.82842712474619</v>
      </c>
    </row>
    <row r="33" customFormat="false" ht="15" hidden="false" customHeight="false" outlineLevel="0" collapsed="false">
      <c r="B33" s="20" t="s">
        <v>585</v>
      </c>
      <c r="C33" s="55" t="n">
        <f aca="false">(C24*G22+D24*H22)/SQRT(C28)</f>
        <v>2.82842712474619</v>
      </c>
      <c r="D33" s="55" t="n">
        <f aca="false">(C24*G23+D24*H23)/SQRT(C28)</f>
        <v>2.82842712474619</v>
      </c>
      <c r="E33" s="55" t="n">
        <f aca="false">(C24*G24+D24*H24)/SQRT(C28)</f>
        <v>4.24264068711929</v>
      </c>
    </row>
    <row r="35" customFormat="false" ht="15.75" hidden="false" customHeight="true" outlineLevel="0" collapsed="false">
      <c r="B35" s="9" t="s">
        <v>597</v>
      </c>
      <c r="C35" s="28" t="str">
        <f aca="false">IF(ROUND(C24,3)&lt;0,"("&amp;ROUND(C24,3)&amp;")",ROUND(C24,3)&amp;"")&amp;"×"&amp;IF(ROUND(G22,3)&lt;0,"("&amp;ROUND(G22,3)&amp;")",ROUND(G22,3)&amp;"")&amp;" + "&amp;IF(ROUND(D24,3)&lt;0,"("&amp;ROUND(D24,3)&amp;")",ROUND(D24,3)&amp;"")&amp;"×"&amp;IF(ROUND(H22,3)&lt;0,"("&amp;ROUND(H22,3)&amp;")",ROUND(H22,3)&amp;"")&amp;"  =  "&amp;IF(ROUND((C24*G22+D24*H22),3)&lt;0,"("&amp;ROUND((C24*G22+D24*H22),3)&amp;")",ROUND((C24*G22+D24*H22),3)&amp;"")&amp;"   ÷ √"&amp;C28&amp;"  =  "&amp;IF(ROUND(C33,3)&lt;0,"("&amp;ROUND(C33,3)&amp;")",ROUND(C33,3)&amp;"")</f>
        <v>2×1 + 1×2  =  4   ÷ √2  =  2.828</v>
      </c>
      <c r="D35" s="28"/>
      <c r="E35" s="28"/>
      <c r="F35" s="28"/>
      <c r="G35" s="28"/>
      <c r="H35" s="28"/>
      <c r="I35" s="28"/>
      <c r="J35" s="28"/>
      <c r="K35" s="28"/>
      <c r="L35" s="28"/>
      <c r="M35" s="28"/>
      <c r="N35" s="28"/>
    </row>
    <row r="36" customFormat="false" ht="15.75" hidden="false" customHeight="true" outlineLevel="0" collapsed="false">
      <c r="B36" s="9" t="s">
        <v>598</v>
      </c>
      <c r="C36" s="28" t="str">
        <f aca="false">IF(ROUND(C24,3)&lt;0,"("&amp;ROUND(C24,3)&amp;")",ROUND(C24,3)&amp;"")&amp;"×"&amp;IF(ROUND(G23,3)&lt;0,"("&amp;ROUND(G23,3)&amp;")",ROUND(G23,3)&amp;"")&amp;" + "&amp;IF(ROUND(D24,3)&lt;0,"("&amp;ROUND(D24,3)&amp;")",ROUND(D24,3)&amp;"")&amp;"×"&amp;IF(ROUND(H23,3)&lt;0,"("&amp;ROUND(H23,3)&amp;")",ROUND(H23,3)&amp;"")&amp;"  =  "&amp;IF(ROUND((C24*G23+D24*H23),3)&lt;0,"("&amp;ROUND((C24*G23+D24*H23),3)&amp;")",ROUND((C24*G23+D24*H23),3)&amp;"")&amp;"   ÷ √"&amp;C28&amp;"  =  "&amp;IF(ROUND(D33,3)&lt;0,"("&amp;ROUND(D33,3)&amp;")",ROUND(D33,3)&amp;"")</f>
        <v>2×2 + 1×0  =  4   ÷ √2  =  2.828</v>
      </c>
      <c r="D36" s="28"/>
      <c r="E36" s="28"/>
      <c r="F36" s="28"/>
      <c r="G36" s="28"/>
      <c r="H36" s="28"/>
      <c r="I36" s="28"/>
      <c r="J36" s="28"/>
      <c r="K36" s="28"/>
      <c r="L36" s="28"/>
      <c r="M36" s="28"/>
      <c r="N36" s="28"/>
    </row>
    <row r="37" customFormat="false" ht="15.75" hidden="false" customHeight="true" outlineLevel="0" collapsed="false">
      <c r="B37" s="9" t="s">
        <v>599</v>
      </c>
      <c r="C37" s="28" t="str">
        <f aca="false">IF(ROUND(C24,3)&lt;0,"("&amp;ROUND(C24,3)&amp;")",ROUND(C24,3)&amp;"")&amp;"×"&amp;IF(ROUND(G24,3)&lt;0,"("&amp;ROUND(G24,3)&amp;")",ROUND(G24,3)&amp;"")&amp;" + "&amp;IF(ROUND(D24,3)&lt;0,"("&amp;ROUND(D24,3)&amp;")",ROUND(D24,3)&amp;"")&amp;"×"&amp;IF(ROUND(H24,3)&lt;0,"("&amp;ROUND(H24,3)&amp;")",ROUND(H24,3)&amp;"")&amp;"  =  "&amp;IF(ROUND((C24*G24+D24*H24),3)&lt;0,"("&amp;ROUND((C24*G24+D24*H24),3)&amp;")",ROUND((C24*G24+D24*H24),3)&amp;"")&amp;"   ÷ √"&amp;C28&amp;"  =  "&amp;IF(ROUND(E33,3)&lt;0,"("&amp;ROUND(E33,3)&amp;")",ROUND(E33,3)&amp;"")</f>
        <v>2×2 + 1×2  =  6   ÷ √2  =  4.243</v>
      </c>
      <c r="D37" s="28"/>
      <c r="E37" s="28"/>
      <c r="F37" s="28"/>
      <c r="G37" s="28"/>
      <c r="H37" s="28"/>
      <c r="I37" s="28"/>
      <c r="J37" s="28"/>
      <c r="K37" s="28"/>
      <c r="L37" s="28"/>
      <c r="M37" s="28"/>
      <c r="N37" s="28"/>
    </row>
    <row r="38" customFormat="false" ht="21.75" hidden="false" customHeight="true" outlineLevel="0" collapsed="false">
      <c r="B38" s="4" t="s">
        <v>600</v>
      </c>
      <c r="C38" s="4"/>
      <c r="D38" s="4"/>
      <c r="E38" s="4"/>
      <c r="F38" s="4"/>
      <c r="G38" s="4"/>
      <c r="H38" s="4"/>
      <c r="I38" s="4"/>
      <c r="J38" s="4"/>
      <c r="K38" s="4"/>
      <c r="L38" s="4"/>
      <c r="M38" s="4"/>
      <c r="N38" s="4"/>
    </row>
    <row r="39" customFormat="false" ht="17.25" hidden="false" customHeight="true" outlineLevel="0" collapsed="false">
      <c r="B39" s="33" t="s">
        <v>601</v>
      </c>
      <c r="C39" s="33"/>
      <c r="D39" s="33"/>
      <c r="E39" s="33"/>
    </row>
    <row r="40" customFormat="false" ht="15" hidden="false" customHeight="false" outlineLevel="0" collapsed="false">
      <c r="B40" s="15"/>
      <c r="C40" s="34" t="s">
        <v>583</v>
      </c>
      <c r="D40" s="34" t="s">
        <v>584</v>
      </c>
      <c r="E40" s="34" t="s">
        <v>585</v>
      </c>
    </row>
    <row r="41" customFormat="false" ht="15" hidden="false" customHeight="false" outlineLevel="0" collapsed="false">
      <c r="B41" s="20" t="s">
        <v>583</v>
      </c>
      <c r="C41" s="54" t="n">
        <f aca="false">EXP(C31)/(EXP(C31)+EXP(D31)+EXP(E31))</f>
        <v>0.108383451784794</v>
      </c>
      <c r="D41" s="54" t="n">
        <f aca="false">EXP(D31)/(EXP(C31)+EXP(D31)+EXP(E31))</f>
        <v>0.445808274107603</v>
      </c>
      <c r="E41" s="54" t="n">
        <f aca="false">EXP(E31)/(EXP(C31)+EXP(D31)+EXP(E31))</f>
        <v>0.445808274107603</v>
      </c>
    </row>
    <row r="42" customFormat="false" ht="15" hidden="false" customHeight="false" outlineLevel="0" collapsed="false">
      <c r="B42" s="20" t="s">
        <v>584</v>
      </c>
      <c r="C42" s="54" t="n">
        <f aca="false">EXP(C32)/(EXP(C32)+EXP(D32)+EXP(E32))</f>
        <v>0.485647714630333</v>
      </c>
      <c r="D42" s="54" t="n">
        <f aca="false">EXP(D32)/(EXP(C32)+EXP(D32)+EXP(E32))</f>
        <v>0.0287045707393337</v>
      </c>
      <c r="E42" s="54" t="n">
        <f aca="false">EXP(E32)/(EXP(C32)+EXP(D32)+EXP(E32))</f>
        <v>0.485647714630333</v>
      </c>
    </row>
    <row r="43" customFormat="false" ht="15" hidden="false" customHeight="false" outlineLevel="0" collapsed="false">
      <c r="B43" s="20" t="s">
        <v>585</v>
      </c>
      <c r="C43" s="54" t="n">
        <f aca="false">EXP(C33)/(EXP(C33)+EXP(D33)+EXP(E33))</f>
        <v>0.163579100812012</v>
      </c>
      <c r="D43" s="54" t="n">
        <f aca="false">EXP(D33)/(EXP(C33)+EXP(D33)+EXP(E33))</f>
        <v>0.163579100812012</v>
      </c>
      <c r="E43" s="54" t="n">
        <f aca="false">EXP(E33)/(EXP(C33)+EXP(D33)+EXP(E33))</f>
        <v>0.672841798375977</v>
      </c>
    </row>
    <row r="45" customFormat="false" ht="21.75" hidden="false" customHeight="true" outlineLevel="0" collapsed="false">
      <c r="B45" s="4" t="s">
        <v>602</v>
      </c>
      <c r="C45" s="4"/>
      <c r="D45" s="4"/>
      <c r="E45" s="4"/>
      <c r="F45" s="4"/>
      <c r="G45" s="4"/>
      <c r="H45" s="4"/>
      <c r="I45" s="4"/>
      <c r="J45" s="4"/>
      <c r="K45" s="4"/>
      <c r="L45" s="4"/>
      <c r="M45" s="4"/>
      <c r="N45" s="4"/>
    </row>
    <row r="46" customFormat="false" ht="17.25" hidden="false" customHeight="true" outlineLevel="0" collapsed="false">
      <c r="B46" s="33" t="s">
        <v>603</v>
      </c>
      <c r="C46" s="33"/>
      <c r="D46" s="33"/>
    </row>
    <row r="47" customFormat="false" ht="15" hidden="false" customHeight="false" outlineLevel="0" collapsed="false">
      <c r="B47" s="15"/>
      <c r="C47" s="34" t="s">
        <v>143</v>
      </c>
      <c r="D47" s="34" t="s">
        <v>245</v>
      </c>
    </row>
    <row r="48" customFormat="false" ht="15" hidden="false" customHeight="false" outlineLevel="0" collapsed="false">
      <c r="B48" s="20" t="s">
        <v>583</v>
      </c>
      <c r="C48" s="54" t="n">
        <f aca="false">C41*K22+D41*K23+E41*K24</f>
        <v>0.831287588838595</v>
      </c>
      <c r="D48" s="54" t="n">
        <f aca="false">C41*L22+D41*L23+E41*L24</f>
        <v>1.61452068526901</v>
      </c>
    </row>
    <row r="49" customFormat="false" ht="15" hidden="false" customHeight="false" outlineLevel="0" collapsed="false">
      <c r="B49" s="20" t="s">
        <v>584</v>
      </c>
      <c r="C49" s="54" t="n">
        <f aca="false">C42*K22+D42*K23+E42*K24</f>
        <v>1.456943143891</v>
      </c>
      <c r="D49" s="54" t="n">
        <f aca="false">C42*L22+D42*L23+E42*L24</f>
        <v>1.02870457073933</v>
      </c>
    </row>
    <row r="50" customFormat="false" ht="15" hidden="false" customHeight="false" outlineLevel="0" collapsed="false">
      <c r="B50" s="20" t="s">
        <v>585</v>
      </c>
      <c r="C50" s="54" t="n">
        <f aca="false">C43*K22+D43*K23+E43*K24</f>
        <v>1.25463134878198</v>
      </c>
      <c r="D50" s="54" t="n">
        <f aca="false">C43*L22+D43*L23+E43*L24</f>
        <v>1.41821044959399</v>
      </c>
    </row>
    <row r="52" customFormat="false" ht="15.75" hidden="false" customHeight="true" outlineLevel="0" collapsed="false">
      <c r="B52" s="9" t="s">
        <v>604</v>
      </c>
      <c r="C52" s="28" t="str">
        <f aca="false">IF(ROUND(C43,3)&lt;0,"("&amp;ROUND(C43,3)&amp;")",ROUND(C43,3)&amp;"")&amp;"×"&amp;IF(ROUND(K22,3)&lt;0,"("&amp;ROUND(K22,3)&amp;")",ROUND(K22,3)&amp;"")&amp;" + "&amp;IF(ROUND(D43,3)&lt;0,"("&amp;ROUND(D43,3)&amp;")",ROUND(D43,3)&amp;"")&amp;"×"&amp;IF(ROUND(K23,3)&lt;0,"("&amp;ROUND(K23,3)&amp;")",ROUND(K23,3)&amp;"")&amp;" + "&amp;IF(ROUND(E43,3)&lt;0,"("&amp;ROUND(E43,3)&amp;")",ROUND(E43,3)&amp;"")&amp;"×"&amp;IF(ROUND(K24,3)&lt;0,"("&amp;ROUND(K24,3)&amp;")",ROUND(K24,3)&amp;"")&amp;"  =  "&amp;IF(ROUND(C50,3)&lt;0,"("&amp;ROUND(C50,3)&amp;")",ROUND(C50,3)&amp;"")</f>
        <v>0.164×1.5 + 0.164×0 + 0.673×1.5  =  1.255</v>
      </c>
      <c r="D52" s="28"/>
      <c r="E52" s="28"/>
      <c r="F52" s="28"/>
      <c r="G52" s="28"/>
      <c r="H52" s="28"/>
      <c r="I52" s="28"/>
      <c r="J52" s="28"/>
      <c r="K52" s="28"/>
      <c r="L52" s="28"/>
      <c r="M52" s="28"/>
      <c r="N52" s="28"/>
    </row>
    <row r="53" customFormat="false" ht="17.25" hidden="false" customHeight="true" outlineLevel="0" collapsed="false">
      <c r="B53" s="30" t="s">
        <v>605</v>
      </c>
      <c r="C53" s="30"/>
      <c r="D53" s="30"/>
      <c r="E53" s="30"/>
      <c r="F53" s="30"/>
      <c r="G53" s="30"/>
      <c r="H53" s="30"/>
      <c r="I53" s="30"/>
      <c r="J53" s="30"/>
      <c r="K53" s="30"/>
      <c r="L53" s="30"/>
      <c r="M53" s="30"/>
      <c r="N53" s="30"/>
    </row>
    <row r="54" customFormat="false" ht="17.25" hidden="false" customHeight="true" outlineLevel="0" collapsed="false">
      <c r="B54" s="10" t="s">
        <v>104</v>
      </c>
      <c r="C54" s="10"/>
      <c r="D54" s="10" t="s">
        <v>486</v>
      </c>
      <c r="E54" s="10"/>
      <c r="F54" s="10"/>
      <c r="G54" s="10"/>
      <c r="H54" s="10"/>
      <c r="I54" s="10" t="s">
        <v>487</v>
      </c>
      <c r="J54" s="10" t="s">
        <v>488</v>
      </c>
      <c r="K54" s="10"/>
      <c r="L54" s="10"/>
      <c r="M54" s="10"/>
      <c r="N54" s="10"/>
    </row>
    <row r="55" customFormat="false" ht="17.25" hidden="false" customHeight="true" outlineLevel="0" collapsed="false">
      <c r="B55" s="18" t="s">
        <v>489</v>
      </c>
      <c r="C55" s="18"/>
      <c r="D55" s="12" t="s">
        <v>606</v>
      </c>
      <c r="E55" s="12"/>
      <c r="F55" s="12"/>
      <c r="G55" s="12"/>
      <c r="H55" s="12"/>
      <c r="I55" s="44" t="s">
        <v>491</v>
      </c>
      <c r="J55" s="70" t="str">
        <f aca="false">"["&amp;IF(ROUND(C11,3)&lt;0,"("&amp;ROUND(C11,3)&amp;")",ROUND(C11,3)&amp;"")&amp;", "&amp;IF(ROUND(D11,3)&lt;0,"("&amp;ROUND(D11,3)&amp;")",ROUND(D11,3)&amp;"")&amp;", "&amp;IF(ROUND(E11,3)&lt;0,"("&amp;ROUND(E11,3)&amp;")",ROUND(E11,3)&amp;"")&amp;"]"</f>
        <v>[1, 1, 1]</v>
      </c>
      <c r="K55" s="70"/>
      <c r="L55" s="70"/>
      <c r="M55" s="70"/>
      <c r="N55" s="70"/>
    </row>
    <row r="56" customFormat="false" ht="17.25" hidden="false" customHeight="true" outlineLevel="0" collapsed="false">
      <c r="B56" s="9" t="s">
        <v>607</v>
      </c>
      <c r="C56" s="9"/>
      <c r="D56" s="15" t="s">
        <v>608</v>
      </c>
      <c r="E56" s="15"/>
      <c r="F56" s="15"/>
      <c r="G56" s="15"/>
      <c r="H56" s="15"/>
      <c r="I56" s="16" t="s">
        <v>609</v>
      </c>
      <c r="J56" s="20" t="str">
        <f aca="false">"["&amp;IF(ROUND(C24,3)&lt;0,"("&amp;ROUND(C24,3)&amp;")",ROUND(C24,3)&amp;"")&amp;", "&amp;IF(ROUND(D24,3)&lt;0,"("&amp;ROUND(D24,3)&amp;")",ROUND(D24,3)&amp;"")&amp;"]"</f>
        <v>[2, 1]</v>
      </c>
      <c r="K56" s="20"/>
      <c r="L56" s="20"/>
      <c r="M56" s="20"/>
      <c r="N56" s="20"/>
    </row>
    <row r="57" customFormat="false" ht="17.25" hidden="false" customHeight="true" outlineLevel="0" collapsed="false">
      <c r="B57" s="18" t="s">
        <v>610</v>
      </c>
      <c r="C57" s="18"/>
      <c r="D57" s="12" t="s">
        <v>611</v>
      </c>
      <c r="E57" s="12"/>
      <c r="F57" s="12"/>
      <c r="G57" s="12"/>
      <c r="H57" s="12"/>
      <c r="I57" s="44" t="s">
        <v>491</v>
      </c>
      <c r="J57" s="70" t="str">
        <f aca="false">"["&amp;IF(ROUND(C33,3)&lt;0,"("&amp;ROUND(C33,3)&amp;")",ROUND(C33,3)&amp;"")&amp;", "&amp;IF(ROUND(D33,3)&lt;0,"("&amp;ROUND(D33,3)&amp;")",ROUND(D33,3)&amp;"")&amp;", "&amp;IF(ROUND(E33,3)&lt;0,"("&amp;ROUND(E33,3)&amp;")",ROUND(E33,3)&amp;"")&amp;"]"</f>
        <v>[2.828, 2.828, 4.243]</v>
      </c>
      <c r="K57" s="70"/>
      <c r="L57" s="70"/>
      <c r="M57" s="70"/>
      <c r="N57" s="70"/>
    </row>
    <row r="58" customFormat="false" ht="17.25" hidden="false" customHeight="true" outlineLevel="0" collapsed="false">
      <c r="B58" s="9" t="s">
        <v>612</v>
      </c>
      <c r="C58" s="9"/>
      <c r="D58" s="15" t="s">
        <v>613</v>
      </c>
      <c r="E58" s="15"/>
      <c r="F58" s="15"/>
      <c r="G58" s="15"/>
      <c r="H58" s="15"/>
      <c r="I58" s="16" t="s">
        <v>491</v>
      </c>
      <c r="J58" s="20" t="str">
        <f aca="false">"["&amp;IF(ROUND(C43,3)&lt;0,"("&amp;ROUND(C43,3)&amp;")",ROUND(C43,3)&amp;"")&amp;", "&amp;IF(ROUND(D43,3)&lt;0,"("&amp;ROUND(D43,3)&amp;")",ROUND(D43,3)&amp;"")&amp;", "&amp;IF(ROUND(E43,3)&lt;0,"("&amp;ROUND(E43,3)&amp;")",ROUND(E43,3)&amp;"")&amp;"]"</f>
        <v>[0.164, 0.164, 0.673]</v>
      </c>
      <c r="K58" s="20"/>
      <c r="L58" s="20"/>
      <c r="M58" s="20"/>
      <c r="N58" s="20"/>
    </row>
    <row r="59" customFormat="false" ht="17.25" hidden="false" customHeight="true" outlineLevel="0" collapsed="false">
      <c r="B59" s="18" t="s">
        <v>614</v>
      </c>
      <c r="C59" s="18"/>
      <c r="D59" s="12" t="s">
        <v>615</v>
      </c>
      <c r="E59" s="12"/>
      <c r="F59" s="12"/>
      <c r="G59" s="12"/>
      <c r="H59" s="12"/>
      <c r="I59" s="44" t="s">
        <v>552</v>
      </c>
      <c r="J59" s="70" t="str">
        <f aca="false">"["&amp;IF(ROUND(C50,3)&lt;0,"("&amp;ROUND(C50,3)&amp;")",ROUND(C50,3)&amp;"")&amp;", "&amp;IF(ROUND(D50,3)&lt;0,"("&amp;ROUND(D50,3)&amp;")",ROUND(D50,3)&amp;"")&amp;"]"</f>
        <v>[1.255, 1.418]</v>
      </c>
      <c r="K59" s="70"/>
      <c r="L59" s="70"/>
      <c r="M59" s="70"/>
      <c r="N59" s="70"/>
    </row>
    <row r="60" customFormat="false" ht="31.5" hidden="false" customHeight="true" outlineLevel="0" collapsed="false">
      <c r="B60" s="74" t="s">
        <v>616</v>
      </c>
      <c r="C60" s="74"/>
      <c r="D60" s="74"/>
      <c r="E60" s="74"/>
      <c r="F60" s="74"/>
      <c r="G60" s="74"/>
      <c r="H60" s="74"/>
      <c r="I60" s="74"/>
      <c r="J60" s="74"/>
      <c r="K60" s="74"/>
      <c r="L60" s="74"/>
      <c r="M60" s="74"/>
      <c r="N60" s="74"/>
    </row>
  </sheetData>
  <mergeCells count="44">
    <mergeCell ref="B1:N1"/>
    <mergeCell ref="B2:N2"/>
    <mergeCell ref="B4:N4"/>
    <mergeCell ref="B5:N5"/>
    <mergeCell ref="B6:N6"/>
    <mergeCell ref="B7:E7"/>
    <mergeCell ref="B13:N13"/>
    <mergeCell ref="B14:D14"/>
    <mergeCell ref="F14:H14"/>
    <mergeCell ref="J14:L14"/>
    <mergeCell ref="B20:D20"/>
    <mergeCell ref="F20:H20"/>
    <mergeCell ref="J20:L20"/>
    <mergeCell ref="C26:N26"/>
    <mergeCell ref="B27:N27"/>
    <mergeCell ref="B29:E29"/>
    <mergeCell ref="C35:N35"/>
    <mergeCell ref="C36:N36"/>
    <mergeCell ref="C37:N37"/>
    <mergeCell ref="B38:N38"/>
    <mergeCell ref="B39:E39"/>
    <mergeCell ref="B45:N45"/>
    <mergeCell ref="B46:D46"/>
    <mergeCell ref="C52:N52"/>
    <mergeCell ref="B53:N53"/>
    <mergeCell ref="B54:C54"/>
    <mergeCell ref="D54:H54"/>
    <mergeCell ref="J54:N54"/>
    <mergeCell ref="B55:C55"/>
    <mergeCell ref="D55:H55"/>
    <mergeCell ref="J55:N55"/>
    <mergeCell ref="B56:C56"/>
    <mergeCell ref="D56:H56"/>
    <mergeCell ref="J56:N56"/>
    <mergeCell ref="B57:C57"/>
    <mergeCell ref="D57:H57"/>
    <mergeCell ref="J57:N57"/>
    <mergeCell ref="B58:C58"/>
    <mergeCell ref="D58:H58"/>
    <mergeCell ref="J58:N58"/>
    <mergeCell ref="B59:C59"/>
    <mergeCell ref="D59:H59"/>
    <mergeCell ref="J59:N59"/>
    <mergeCell ref="B60:N60"/>
  </mergeCells>
  <conditionalFormatting sqref="C41:E43">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B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617</v>
      </c>
      <c r="C1" s="1"/>
      <c r="D1" s="1"/>
      <c r="E1" s="1"/>
      <c r="F1" s="1"/>
      <c r="G1" s="1"/>
      <c r="H1" s="1"/>
      <c r="I1" s="1"/>
      <c r="J1" s="1"/>
      <c r="K1" s="1"/>
      <c r="L1" s="1"/>
      <c r="M1" s="1"/>
      <c r="N1" s="1"/>
    </row>
    <row r="2" customFormat="false" ht="17.25" hidden="false" customHeight="true" outlineLevel="0" collapsed="false">
      <c r="B2" s="2" t="s">
        <v>618</v>
      </c>
      <c r="C2" s="2"/>
      <c r="D2" s="2"/>
      <c r="E2" s="2"/>
      <c r="F2" s="2"/>
      <c r="G2" s="2"/>
      <c r="H2" s="2"/>
      <c r="I2" s="2"/>
      <c r="J2" s="2"/>
      <c r="K2" s="2"/>
      <c r="L2" s="2"/>
      <c r="M2" s="2"/>
      <c r="N2" s="2"/>
    </row>
    <row r="4" customFormat="false" ht="21.75" hidden="false" customHeight="true" outlineLevel="0" collapsed="false">
      <c r="B4" s="4" t="s">
        <v>619</v>
      </c>
      <c r="C4" s="4"/>
      <c r="D4" s="4"/>
      <c r="E4" s="4"/>
      <c r="F4" s="4"/>
      <c r="G4" s="4"/>
      <c r="H4" s="4"/>
      <c r="I4" s="4"/>
      <c r="J4" s="4"/>
      <c r="K4" s="4"/>
      <c r="L4" s="4"/>
      <c r="M4" s="4"/>
      <c r="N4" s="4"/>
    </row>
    <row r="5" customFormat="false" ht="17.25" hidden="false" customHeight="true" outlineLevel="0" collapsed="false">
      <c r="B5" s="10" t="s">
        <v>620</v>
      </c>
      <c r="C5" s="10"/>
      <c r="D5" s="10"/>
      <c r="E5" s="10" t="s">
        <v>621</v>
      </c>
      <c r="F5" s="10"/>
      <c r="G5" s="10"/>
      <c r="H5" s="10"/>
      <c r="I5" s="10"/>
      <c r="J5" s="10"/>
      <c r="K5" s="10"/>
      <c r="L5" s="10"/>
      <c r="M5" s="10" t="s">
        <v>16</v>
      </c>
      <c r="N5" s="10"/>
    </row>
    <row r="6" customFormat="false" ht="17.25" hidden="false" customHeight="true" outlineLevel="0" collapsed="false">
      <c r="B6" s="18" t="s">
        <v>622</v>
      </c>
      <c r="C6" s="18"/>
      <c r="D6" s="18"/>
      <c r="E6" s="12" t="s">
        <v>623</v>
      </c>
      <c r="F6" s="12"/>
      <c r="G6" s="12"/>
      <c r="H6" s="12"/>
      <c r="I6" s="12"/>
      <c r="J6" s="12"/>
      <c r="K6" s="12"/>
      <c r="L6" s="12"/>
      <c r="M6" s="12" t="s">
        <v>624</v>
      </c>
      <c r="N6" s="12"/>
    </row>
    <row r="7" customFormat="false" ht="17.25" hidden="false" customHeight="true" outlineLevel="0" collapsed="false">
      <c r="B7" s="9" t="s">
        <v>625</v>
      </c>
      <c r="C7" s="9"/>
      <c r="D7" s="9"/>
      <c r="E7" s="15" t="s">
        <v>626</v>
      </c>
      <c r="F7" s="15"/>
      <c r="G7" s="15"/>
      <c r="H7" s="15"/>
      <c r="I7" s="15"/>
      <c r="J7" s="15"/>
      <c r="K7" s="15"/>
      <c r="L7" s="15"/>
      <c r="M7" s="15" t="s">
        <v>627</v>
      </c>
      <c r="N7" s="15"/>
    </row>
    <row r="8" customFormat="false" ht="17.25" hidden="false" customHeight="true" outlineLevel="0" collapsed="false">
      <c r="B8" s="18" t="s">
        <v>628</v>
      </c>
      <c r="C8" s="18"/>
      <c r="D8" s="18"/>
      <c r="E8" s="12" t="s">
        <v>629</v>
      </c>
      <c r="F8" s="12"/>
      <c r="G8" s="12"/>
      <c r="H8" s="12"/>
      <c r="I8" s="12"/>
      <c r="J8" s="12"/>
      <c r="K8" s="12"/>
      <c r="L8" s="12"/>
      <c r="M8" s="12" t="s">
        <v>630</v>
      </c>
      <c r="N8" s="12"/>
    </row>
    <row r="9" customFormat="false" ht="17.25" hidden="false" customHeight="true" outlineLevel="0" collapsed="false">
      <c r="B9" s="9" t="s">
        <v>631</v>
      </c>
      <c r="C9" s="9"/>
      <c r="D9" s="9"/>
      <c r="E9" s="15" t="s">
        <v>632</v>
      </c>
      <c r="F9" s="15"/>
      <c r="G9" s="15"/>
      <c r="H9" s="15"/>
      <c r="I9" s="15"/>
      <c r="J9" s="15"/>
      <c r="K9" s="15"/>
      <c r="L9" s="15"/>
      <c r="M9" s="15" t="s">
        <v>633</v>
      </c>
      <c r="N9" s="15"/>
    </row>
    <row r="10" customFormat="false" ht="17.25" hidden="false" customHeight="true" outlineLevel="0" collapsed="false">
      <c r="B10" s="18" t="s">
        <v>151</v>
      </c>
      <c r="C10" s="18"/>
      <c r="D10" s="18"/>
      <c r="E10" s="12" t="s">
        <v>634</v>
      </c>
      <c r="F10" s="12"/>
      <c r="G10" s="12"/>
      <c r="H10" s="12"/>
      <c r="I10" s="12"/>
      <c r="J10" s="12"/>
      <c r="K10" s="12"/>
      <c r="L10" s="12"/>
      <c r="M10" s="12" t="s">
        <v>633</v>
      </c>
      <c r="N10" s="12"/>
    </row>
    <row r="11" customFormat="false" ht="17.25" hidden="false" customHeight="true" outlineLevel="0" collapsed="false">
      <c r="B11" s="9" t="s">
        <v>76</v>
      </c>
      <c r="C11" s="9"/>
      <c r="D11" s="9"/>
      <c r="E11" s="15" t="s">
        <v>635</v>
      </c>
      <c r="F11" s="15"/>
      <c r="G11" s="15"/>
      <c r="H11" s="15"/>
      <c r="I11" s="15"/>
      <c r="J11" s="15"/>
      <c r="K11" s="15"/>
      <c r="L11" s="15"/>
      <c r="M11" s="15" t="s">
        <v>636</v>
      </c>
      <c r="N11" s="15"/>
    </row>
    <row r="12" customFormat="false" ht="17.25" hidden="false" customHeight="true" outlineLevel="0" collapsed="false">
      <c r="B12" s="18" t="s">
        <v>637</v>
      </c>
      <c r="C12" s="18"/>
      <c r="D12" s="18"/>
      <c r="E12" s="12" t="s">
        <v>638</v>
      </c>
      <c r="F12" s="12"/>
      <c r="G12" s="12"/>
      <c r="H12" s="12"/>
      <c r="I12" s="12"/>
      <c r="J12" s="12"/>
      <c r="K12" s="12"/>
      <c r="L12" s="12"/>
      <c r="M12" s="12" t="s">
        <v>639</v>
      </c>
      <c r="N12" s="12"/>
    </row>
    <row r="13" customFormat="false" ht="17.25" hidden="false" customHeight="true" outlineLevel="0" collapsed="false">
      <c r="B13" s="9" t="s">
        <v>640</v>
      </c>
      <c r="C13" s="9"/>
      <c r="D13" s="9"/>
      <c r="E13" s="15" t="s">
        <v>641</v>
      </c>
      <c r="F13" s="15"/>
      <c r="G13" s="15"/>
      <c r="H13" s="15"/>
      <c r="I13" s="15"/>
      <c r="J13" s="15"/>
      <c r="K13" s="15"/>
      <c r="L13" s="15"/>
      <c r="M13" s="15" t="s">
        <v>642</v>
      </c>
      <c r="N13" s="15"/>
    </row>
    <row r="14" customFormat="false" ht="17.25" hidden="false" customHeight="true" outlineLevel="0" collapsed="false">
      <c r="B14" s="18" t="s">
        <v>643</v>
      </c>
      <c r="C14" s="18"/>
      <c r="D14" s="18"/>
      <c r="E14" s="12" t="s">
        <v>644</v>
      </c>
      <c r="F14" s="12"/>
      <c r="G14" s="12"/>
      <c r="H14" s="12"/>
      <c r="I14" s="12"/>
      <c r="J14" s="12"/>
      <c r="K14" s="12"/>
      <c r="L14" s="12"/>
      <c r="M14" s="12" t="s">
        <v>645</v>
      </c>
      <c r="N14" s="12"/>
    </row>
    <row r="15" customFormat="false" ht="17.25" hidden="false" customHeight="true" outlineLevel="0" collapsed="false">
      <c r="B15" s="9" t="s">
        <v>646</v>
      </c>
      <c r="C15" s="9"/>
      <c r="D15" s="9"/>
      <c r="E15" s="15" t="s">
        <v>647</v>
      </c>
      <c r="F15" s="15"/>
      <c r="G15" s="15"/>
      <c r="H15" s="15"/>
      <c r="I15" s="15"/>
      <c r="J15" s="15"/>
      <c r="K15" s="15"/>
      <c r="L15" s="15"/>
      <c r="M15" s="15" t="s">
        <v>648</v>
      </c>
      <c r="N15" s="15"/>
    </row>
    <row r="16" customFormat="false" ht="17.25" hidden="false" customHeight="true" outlineLevel="0" collapsed="false">
      <c r="B16" s="18" t="s">
        <v>649</v>
      </c>
      <c r="C16" s="18"/>
      <c r="D16" s="18"/>
      <c r="E16" s="12" t="s">
        <v>650</v>
      </c>
      <c r="F16" s="12"/>
      <c r="G16" s="12"/>
      <c r="H16" s="12"/>
      <c r="I16" s="12"/>
      <c r="J16" s="12"/>
      <c r="K16" s="12"/>
      <c r="L16" s="12"/>
      <c r="M16" s="12" t="s">
        <v>630</v>
      </c>
      <c r="N16" s="12"/>
    </row>
    <row r="17" customFormat="false" ht="17.25" hidden="false" customHeight="true" outlineLevel="0" collapsed="false">
      <c r="B17" s="9" t="s">
        <v>79</v>
      </c>
      <c r="C17" s="9"/>
      <c r="D17" s="9"/>
      <c r="E17" s="15" t="s">
        <v>651</v>
      </c>
      <c r="F17" s="15"/>
      <c r="G17" s="15"/>
      <c r="H17" s="15"/>
      <c r="I17" s="15"/>
      <c r="J17" s="15"/>
      <c r="K17" s="15"/>
      <c r="L17" s="15"/>
      <c r="M17" s="15" t="s">
        <v>652</v>
      </c>
      <c r="N17" s="15"/>
    </row>
    <row r="18" customFormat="false" ht="17.25" hidden="false" customHeight="true" outlineLevel="0" collapsed="false">
      <c r="B18" s="18" t="s">
        <v>346</v>
      </c>
      <c r="C18" s="18"/>
      <c r="D18" s="18"/>
      <c r="E18" s="12" t="s">
        <v>653</v>
      </c>
      <c r="F18" s="12"/>
      <c r="G18" s="12"/>
      <c r="H18" s="12"/>
      <c r="I18" s="12"/>
      <c r="J18" s="12"/>
      <c r="K18" s="12"/>
      <c r="L18" s="12"/>
      <c r="M18" s="12" t="s">
        <v>624</v>
      </c>
      <c r="N18" s="12"/>
    </row>
    <row r="19" customFormat="false" ht="17.25" hidden="false" customHeight="true" outlineLevel="0" collapsed="false">
      <c r="B19" s="9" t="s">
        <v>654</v>
      </c>
      <c r="C19" s="9"/>
      <c r="D19" s="9"/>
      <c r="E19" s="15" t="s">
        <v>655</v>
      </c>
      <c r="F19" s="15"/>
      <c r="G19" s="15"/>
      <c r="H19" s="15"/>
      <c r="I19" s="15"/>
      <c r="J19" s="15"/>
      <c r="K19" s="15"/>
      <c r="L19" s="15"/>
      <c r="M19" s="15" t="s">
        <v>624</v>
      </c>
      <c r="N19" s="15"/>
    </row>
    <row r="20" customFormat="false" ht="17.25" hidden="false" customHeight="true" outlineLevel="0" collapsed="false">
      <c r="B20" s="18" t="s">
        <v>656</v>
      </c>
      <c r="C20" s="18"/>
      <c r="D20" s="18"/>
      <c r="E20" s="12" t="s">
        <v>657</v>
      </c>
      <c r="F20" s="12"/>
      <c r="G20" s="12"/>
      <c r="H20" s="12"/>
      <c r="I20" s="12"/>
      <c r="J20" s="12"/>
      <c r="K20" s="12"/>
      <c r="L20" s="12"/>
      <c r="M20" s="12" t="s">
        <v>658</v>
      </c>
      <c r="N20" s="12"/>
    </row>
    <row r="21" customFormat="false" ht="17.25" hidden="false" customHeight="true" outlineLevel="0" collapsed="false">
      <c r="B21" s="9" t="s">
        <v>659</v>
      </c>
      <c r="C21" s="9"/>
      <c r="D21" s="9"/>
      <c r="E21" s="15" t="s">
        <v>660</v>
      </c>
      <c r="F21" s="15"/>
      <c r="G21" s="15"/>
      <c r="H21" s="15"/>
      <c r="I21" s="15"/>
      <c r="J21" s="15"/>
      <c r="K21" s="15"/>
      <c r="L21" s="15"/>
      <c r="M21" s="15" t="s">
        <v>661</v>
      </c>
      <c r="N21" s="15"/>
    </row>
    <row r="22" customFormat="false" ht="17.25" hidden="false" customHeight="true" outlineLevel="0" collapsed="false">
      <c r="B22" s="18" t="s">
        <v>662</v>
      </c>
      <c r="C22" s="18"/>
      <c r="D22" s="18"/>
      <c r="E22" s="12" t="s">
        <v>663</v>
      </c>
      <c r="F22" s="12"/>
      <c r="G22" s="12"/>
      <c r="H22" s="12"/>
      <c r="I22" s="12"/>
      <c r="J22" s="12"/>
      <c r="K22" s="12"/>
      <c r="L22" s="12"/>
      <c r="M22" s="12" t="s">
        <v>664</v>
      </c>
      <c r="N22" s="12"/>
    </row>
    <row r="23" customFormat="false" ht="17.25" hidden="false" customHeight="true" outlineLevel="0" collapsed="false">
      <c r="B23" s="9" t="s">
        <v>342</v>
      </c>
      <c r="C23" s="9"/>
      <c r="D23" s="9"/>
      <c r="E23" s="15" t="s">
        <v>665</v>
      </c>
      <c r="F23" s="15"/>
      <c r="G23" s="15"/>
      <c r="H23" s="15"/>
      <c r="I23" s="15"/>
      <c r="J23" s="15"/>
      <c r="K23" s="15"/>
      <c r="L23" s="15"/>
      <c r="M23" s="15" t="s">
        <v>658</v>
      </c>
      <c r="N23" s="15"/>
    </row>
    <row r="24" customFormat="false" ht="17.25" hidden="false" customHeight="true" outlineLevel="0" collapsed="false">
      <c r="B24" s="18" t="s">
        <v>666</v>
      </c>
      <c r="C24" s="18"/>
      <c r="D24" s="18"/>
      <c r="E24" s="12" t="s">
        <v>667</v>
      </c>
      <c r="F24" s="12"/>
      <c r="G24" s="12"/>
      <c r="H24" s="12"/>
      <c r="I24" s="12"/>
      <c r="J24" s="12"/>
      <c r="K24" s="12"/>
      <c r="L24" s="12"/>
      <c r="M24" s="12" t="s">
        <v>633</v>
      </c>
      <c r="N24" s="12"/>
    </row>
    <row r="25" customFormat="false" ht="17.25" hidden="false" customHeight="true" outlineLevel="0" collapsed="false">
      <c r="B25" s="9" t="s">
        <v>668</v>
      </c>
      <c r="C25" s="9"/>
      <c r="D25" s="9"/>
      <c r="E25" s="15" t="s">
        <v>669</v>
      </c>
      <c r="F25" s="15"/>
      <c r="G25" s="15"/>
      <c r="H25" s="15"/>
      <c r="I25" s="15"/>
      <c r="J25" s="15"/>
      <c r="K25" s="15"/>
      <c r="L25" s="15"/>
      <c r="M25" s="15" t="s">
        <v>630</v>
      </c>
      <c r="N25" s="15"/>
    </row>
    <row r="26" customFormat="false" ht="21.75" hidden="false" customHeight="true" outlineLevel="0" collapsed="false">
      <c r="B26" s="4" t="s">
        <v>670</v>
      </c>
      <c r="C26" s="4"/>
      <c r="D26" s="4"/>
      <c r="E26" s="4"/>
      <c r="F26" s="4"/>
      <c r="G26" s="4"/>
      <c r="H26" s="4"/>
      <c r="I26" s="4"/>
      <c r="J26" s="4"/>
      <c r="K26" s="4"/>
      <c r="L26" s="4"/>
      <c r="M26" s="4"/>
      <c r="N26" s="4"/>
    </row>
    <row r="27" customFormat="false" ht="17.25" hidden="false" customHeight="true" outlineLevel="0" collapsed="false">
      <c r="B27" s="5" t="s">
        <v>671</v>
      </c>
      <c r="C27" s="5"/>
      <c r="D27" s="5"/>
      <c r="E27" s="5"/>
      <c r="F27" s="5"/>
      <c r="G27" s="5"/>
      <c r="H27" s="5"/>
      <c r="I27" s="5"/>
      <c r="J27" s="5"/>
      <c r="K27" s="5"/>
      <c r="L27" s="5"/>
      <c r="M27" s="5"/>
      <c r="N27" s="5"/>
    </row>
    <row r="28" customFormat="false" ht="17.25" hidden="false" customHeight="true" outlineLevel="0" collapsed="false">
      <c r="B28" s="10" t="s">
        <v>672</v>
      </c>
      <c r="C28" s="10"/>
      <c r="D28" s="10"/>
      <c r="E28" s="10"/>
      <c r="F28" s="10" t="s">
        <v>673</v>
      </c>
      <c r="G28" s="10"/>
      <c r="H28" s="10"/>
      <c r="I28" s="10"/>
      <c r="J28" s="10"/>
      <c r="K28" s="10"/>
      <c r="L28" s="10"/>
      <c r="M28" s="10"/>
      <c r="N28" s="10"/>
    </row>
    <row r="29" customFormat="false" ht="17.25" hidden="false" customHeight="true" outlineLevel="0" collapsed="false">
      <c r="B29" s="18" t="s">
        <v>674</v>
      </c>
      <c r="C29" s="18"/>
      <c r="D29" s="18"/>
      <c r="E29" s="18"/>
      <c r="F29" s="12" t="s">
        <v>675</v>
      </c>
      <c r="G29" s="12"/>
      <c r="H29" s="12"/>
      <c r="I29" s="12"/>
      <c r="J29" s="12"/>
      <c r="K29" s="12"/>
      <c r="L29" s="12"/>
      <c r="M29" s="12"/>
      <c r="N29" s="12"/>
    </row>
    <row r="30" customFormat="false" ht="17.25" hidden="false" customHeight="true" outlineLevel="0" collapsed="false">
      <c r="B30" s="9" t="s">
        <v>676</v>
      </c>
      <c r="C30" s="9"/>
      <c r="D30" s="9"/>
      <c r="E30" s="9"/>
      <c r="F30" s="15" t="s">
        <v>677</v>
      </c>
      <c r="G30" s="15"/>
      <c r="H30" s="15"/>
      <c r="I30" s="15"/>
      <c r="J30" s="15"/>
      <c r="K30" s="15"/>
      <c r="L30" s="15"/>
      <c r="M30" s="15"/>
      <c r="N30" s="15"/>
    </row>
    <row r="31" customFormat="false" ht="17.25" hidden="false" customHeight="true" outlineLevel="0" collapsed="false">
      <c r="B31" s="18" t="s">
        <v>678</v>
      </c>
      <c r="C31" s="18"/>
      <c r="D31" s="18"/>
      <c r="E31" s="18"/>
      <c r="F31" s="12" t="s">
        <v>679</v>
      </c>
      <c r="G31" s="12"/>
      <c r="H31" s="12"/>
      <c r="I31" s="12"/>
      <c r="J31" s="12"/>
      <c r="K31" s="12"/>
      <c r="L31" s="12"/>
      <c r="M31" s="12"/>
      <c r="N31" s="12"/>
    </row>
    <row r="32" customFormat="false" ht="17.25" hidden="false" customHeight="true" outlineLevel="0" collapsed="false">
      <c r="B32" s="9" t="s">
        <v>680</v>
      </c>
      <c r="C32" s="9"/>
      <c r="D32" s="9"/>
      <c r="E32" s="9"/>
      <c r="F32" s="15" t="s">
        <v>681</v>
      </c>
      <c r="G32" s="15"/>
      <c r="H32" s="15"/>
      <c r="I32" s="15"/>
      <c r="J32" s="15"/>
      <c r="K32" s="15"/>
      <c r="L32" s="15"/>
      <c r="M32" s="15"/>
      <c r="N32" s="15"/>
    </row>
    <row r="33" customFormat="false" ht="17.25" hidden="false" customHeight="true" outlineLevel="0" collapsed="false">
      <c r="B33" s="18" t="s">
        <v>682</v>
      </c>
      <c r="C33" s="18"/>
      <c r="D33" s="18"/>
      <c r="E33" s="18"/>
      <c r="F33" s="12" t="s">
        <v>683</v>
      </c>
      <c r="G33" s="12"/>
      <c r="H33" s="12"/>
      <c r="I33" s="12"/>
      <c r="J33" s="12"/>
      <c r="K33" s="12"/>
      <c r="L33" s="12"/>
      <c r="M33" s="12"/>
      <c r="N33" s="12"/>
    </row>
    <row r="34" customFormat="false" ht="17.25" hidden="false" customHeight="true" outlineLevel="0" collapsed="false">
      <c r="B34" s="9" t="s">
        <v>684</v>
      </c>
      <c r="C34" s="9"/>
      <c r="D34" s="9"/>
      <c r="E34" s="9"/>
      <c r="F34" s="15" t="s">
        <v>685</v>
      </c>
      <c r="G34" s="15"/>
      <c r="H34" s="15"/>
      <c r="I34" s="15"/>
      <c r="J34" s="15"/>
      <c r="K34" s="15"/>
      <c r="L34" s="15"/>
      <c r="M34" s="15"/>
      <c r="N34" s="15"/>
    </row>
    <row r="35" customFormat="false" ht="17.25" hidden="false" customHeight="true" outlineLevel="0" collapsed="false">
      <c r="B35" s="18" t="s">
        <v>686</v>
      </c>
      <c r="C35" s="18"/>
      <c r="D35" s="18"/>
      <c r="E35" s="18"/>
      <c r="F35" s="12" t="s">
        <v>687</v>
      </c>
      <c r="G35" s="12"/>
      <c r="H35" s="12"/>
      <c r="I35" s="12"/>
      <c r="J35" s="12"/>
      <c r="K35" s="12"/>
      <c r="L35" s="12"/>
      <c r="M35" s="12"/>
      <c r="N35" s="12"/>
    </row>
  </sheetData>
  <mergeCells count="84">
    <mergeCell ref="B1:N1"/>
    <mergeCell ref="B2:N2"/>
    <mergeCell ref="B4:N4"/>
    <mergeCell ref="B5:D5"/>
    <mergeCell ref="E5:L5"/>
    <mergeCell ref="M5:N5"/>
    <mergeCell ref="B6:D6"/>
    <mergeCell ref="E6:L6"/>
    <mergeCell ref="M6:N6"/>
    <mergeCell ref="B7:D7"/>
    <mergeCell ref="E7:L7"/>
    <mergeCell ref="M7:N7"/>
    <mergeCell ref="B8:D8"/>
    <mergeCell ref="E8:L8"/>
    <mergeCell ref="M8:N8"/>
    <mergeCell ref="B9:D9"/>
    <mergeCell ref="E9:L9"/>
    <mergeCell ref="M9:N9"/>
    <mergeCell ref="B10:D10"/>
    <mergeCell ref="E10:L10"/>
    <mergeCell ref="M10:N10"/>
    <mergeCell ref="B11:D11"/>
    <mergeCell ref="E11:L11"/>
    <mergeCell ref="M11:N11"/>
    <mergeCell ref="B12:D12"/>
    <mergeCell ref="E12:L12"/>
    <mergeCell ref="M12:N12"/>
    <mergeCell ref="B13:D13"/>
    <mergeCell ref="E13:L13"/>
    <mergeCell ref="M13:N13"/>
    <mergeCell ref="B14:D14"/>
    <mergeCell ref="E14:L14"/>
    <mergeCell ref="M14:N14"/>
    <mergeCell ref="B15:D15"/>
    <mergeCell ref="E15:L15"/>
    <mergeCell ref="M15:N15"/>
    <mergeCell ref="B16:D16"/>
    <mergeCell ref="E16:L16"/>
    <mergeCell ref="M16:N16"/>
    <mergeCell ref="B17:D17"/>
    <mergeCell ref="E17:L17"/>
    <mergeCell ref="M17:N17"/>
    <mergeCell ref="B18:D18"/>
    <mergeCell ref="E18:L18"/>
    <mergeCell ref="M18:N18"/>
    <mergeCell ref="B19:D19"/>
    <mergeCell ref="E19:L19"/>
    <mergeCell ref="M19:N19"/>
    <mergeCell ref="B20:D20"/>
    <mergeCell ref="E20:L20"/>
    <mergeCell ref="M20:N20"/>
    <mergeCell ref="B21:D21"/>
    <mergeCell ref="E21:L21"/>
    <mergeCell ref="M21:N21"/>
    <mergeCell ref="B22:D22"/>
    <mergeCell ref="E22:L22"/>
    <mergeCell ref="M22:N22"/>
    <mergeCell ref="B23:D23"/>
    <mergeCell ref="E23:L23"/>
    <mergeCell ref="M23:N23"/>
    <mergeCell ref="B24:D24"/>
    <mergeCell ref="E24:L24"/>
    <mergeCell ref="M24:N24"/>
    <mergeCell ref="B25:D25"/>
    <mergeCell ref="E25:L25"/>
    <mergeCell ref="M25:N25"/>
    <mergeCell ref="B26:N26"/>
    <mergeCell ref="B27:N27"/>
    <mergeCell ref="B28:E28"/>
    <mergeCell ref="F28:N28"/>
    <mergeCell ref="B29:E29"/>
    <mergeCell ref="F29:N29"/>
    <mergeCell ref="B30:E30"/>
    <mergeCell ref="F30:N30"/>
    <mergeCell ref="B31:E31"/>
    <mergeCell ref="F31:N31"/>
    <mergeCell ref="B32:E32"/>
    <mergeCell ref="F32:N32"/>
    <mergeCell ref="B33:E33"/>
    <mergeCell ref="F33:N33"/>
    <mergeCell ref="B34:E34"/>
    <mergeCell ref="F34:N34"/>
    <mergeCell ref="B35:E35"/>
    <mergeCell ref="F35:N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2026-09-29T04:08:45Z</dcterms:created>
  <dc:creator>openpyxl</dc:creator>
  <dc:description/>
  <dc:language>en-US</dc:language>
  <cp:lastModifiedBy/>
  <dcterms:modified xsi:type="dcterms:W3CDTF">2026-09-29T04:08:48Z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