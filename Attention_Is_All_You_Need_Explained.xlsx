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Start Here" sheetId="1" state="visible" r:id="rId3"/>
    <sheet name="01 Math Toolkit" sheetId="2" state="visible" r:id="rId4"/>
    <sheet name="02 Big Picture" sheetId="3" state="visible" r:id="rId5"/>
    <sheet name="03 Embeddings" sheetId="4" state="visible" r:id="rId6"/>
    <sheet name="04 Positional Enc" sheetId="5" state="visible" r:id="rId7"/>
    <sheet name="05 Query-Key-Value" sheetId="6" state="visible" r:id="rId8"/>
    <sheet name="06 Scaled Attention" sheetId="7" state="visible" r:id="rId9"/>
    <sheet name="07 Masking" sheetId="8" state="visible" r:id="rId10"/>
    <sheet name="08 Multi-Head" sheetId="9" state="visible" r:id="rId11"/>
    <sheet name="09 Three Attentions" sheetId="10" state="visible" r:id="rId12"/>
    <sheet name="10 Add and Norm" sheetId="11" state="visible" r:id="rId13"/>
    <sheet name="11 Feed-Forward" sheetId="12" state="visible" r:id="rId14"/>
    <sheet name="12 Output and Decoding" sheetId="13" state="visible" r:id="rId15"/>
    <sheet name="13 Loss and Smoothing" sheetId="14" state="visible" r:id="rId16"/>
    <sheet name="14 Optimizer and LR" sheetId="15" state="visible" r:id="rId17"/>
    <sheet name="15 Regularization" sheetId="16" state="visible" r:id="rId18"/>
    <sheet name="16 Why Self-Attention" sheetId="17" state="visible" r:id="rId19"/>
    <sheet name="17 Model Anatomy" sheetId="18" state="visible" r:id="rId20"/>
    <sheet name="18 BLEU Score" sheetId="19" state="visible" r:id="rId21"/>
    <sheet name="19 Results" sheetId="20" state="visible" r:id="rId22"/>
    <sheet name="20 Glossary"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<sst xmlns="http://schemas.openxmlformats.org/spreadsheetml/2006/main" count="2519" uniqueCount="1636">
  <si>
    <t xml:space="preserve">Attention Is All You Need — A Teaching Workbook</t>
  </si>
  <si>
    <t xml:space="preserve">Vaswani, Shazeer, Parmar, Uszkoreit, Jones, Gomez, Kaiser &amp; Polosukhin (2017). NeurIPS 2017. arXiv:1706.03762 (v7). This workbook explains the paper for a newcomer, one concept per sheet.</t>
  </si>
  <si>
    <t xml:space="preserve">BIG IDEA:  In 2017 this paper replaced the step-by-step reading of sentences with a mechanism called attention, letting every word look at every other word at once. That design — the Transformer — is the foundation of today's large language models.</t>
  </si>
  <si>
    <t xml:space="preserve">How each sheet is organised</t>
  </si>
  <si>
    <t xml:space="preserve">•  BIG IDEA — the concept in one or two sentences.</t>
  </si>
  <si>
    <t xml:space="preserve">•  Plain-English explanation and an ANALOGY from everyday life.</t>
  </si>
  <si>
    <t xml:space="preserve">•  The paper's FORMULA, then a table reading it symbol by symbol, with the paper's actual values.</t>
  </si>
  <si>
    <t xml:space="preserve">•  EXAMPLE 1 (simplest) — tiny numbers you could check with a pencil, every step expanded.</t>
  </si>
  <si>
    <t xml:space="preserve">•  EXAMPLE 2+ (moderate) — larger or more realistic cases, often reproducing a number printed in the paper.</t>
  </si>
  <si>
    <t xml:space="preserve">•  CHECK YOURSELF — short questions with answers.</t>
  </si>
  <si>
    <t xml:space="preserve">Colour legend</t>
  </si>
  <si>
    <t xml:space="preserve">Input — blue on yellow. Type over it; everything downstream recalculates.</t>
  </si>
  <si>
    <t xml:space="preserve">Formula — black. Never typed in by hand; always computed.</t>
  </si>
  <si>
    <t xml:space="preserve">Link — green. Pulled live from another sheet (the running example flows between sheets).</t>
  </si>
  <si>
    <t xml:space="preserve">Key result — bold on green.</t>
  </si>
  <si>
    <t xml:space="preserve">Show the work</t>
  </si>
  <si>
    <t xml:space="preserve">Grey rows rebuild the arithmetic as live text, e.g. '1×2 + 0×1 = 2', so you can follow every step.</t>
  </si>
  <si>
    <t xml:space="preserve">The running example: one sentence through a whole encoder layer</t>
  </si>
  <si>
    <t xml:space="preserve">The English sentence 'the cat sat' is carried through the sheets using a tiny model (d_model = 4 numbers per word instead of 512): its tokens are looked up (03), given positions (04), turned into queries/keys/values (05), attended over (06, 08), added and normalised (10), and passed through the feed-forward network (11). Change a word on sheet 03 (e.g. 'sat' → 'cat') and watch every downstream number update.</t>
  </si>
  <si>
    <t xml:space="preserve">Contents (click a sheet name)</t>
  </si>
  <si>
    <t xml:space="preserve">Sheet</t>
  </si>
  <si>
    <t xml:space="preserve">What you'll learn</t>
  </si>
  <si>
    <t xml:space="preserve">Paper section</t>
  </si>
  <si>
    <t xml:space="preserve">Level</t>
  </si>
  <si>
    <t xml:space="preserve">01 Math Toolkit</t>
  </si>
  <si>
    <t xml:space="preserve">Vectors, dot products, matrices, softmax, mean/variance, ReLU, log</t>
  </si>
  <si>
    <t xml:space="preserve">prerequisite</t>
  </si>
  <si>
    <t xml:space="preserve">★☆☆</t>
  </si>
  <si>
    <t xml:space="preserve">02 Big Picture</t>
  </si>
  <si>
    <t xml:space="preserve">The translation task, RNN limits, the Transformer's one big idea, Figure 1</t>
  </si>
  <si>
    <t xml:space="preserve">Abstract, §1–3</t>
  </si>
  <si>
    <t xml:space="preserve">03 Embeddings</t>
  </si>
  <si>
    <t xml:space="preserve">Tokens (BPE), embedding lookup, ×√d_model, shared weights</t>
  </si>
  <si>
    <t xml:space="preserve">§3.4, §5.1</t>
  </si>
  <si>
    <t xml:space="preserve">04 Positional Enc</t>
  </si>
  <si>
    <t xml:space="preserve">Sine/cosine position stamps; why shifts are rotations</t>
  </si>
  <si>
    <t xml:space="preserve">§3.5</t>
  </si>
  <si>
    <t xml:space="preserve">★★☆</t>
  </si>
  <si>
    <t xml:space="preserve">05 Query-Key-Value</t>
  </si>
  <si>
    <t xml:space="preserve">Attention as a soft dictionary lookup; X·W_Q, X·W_K, X·W_V</t>
  </si>
  <si>
    <t xml:space="preserve">§3.2</t>
  </si>
  <si>
    <t xml:space="preserve">06 Scaled Attention</t>
  </si>
  <si>
    <t xml:space="preserve">Equation (1) step by step; why divide by √d_k</t>
  </si>
  <si>
    <t xml:space="preserve">§3.2.1</t>
  </si>
  <si>
    <t xml:space="preserve">07 Masking</t>
  </si>
  <si>
    <t xml:space="preserve">Hiding future words in the decoder; teacher forcing</t>
  </si>
  <si>
    <t xml:space="preserve">§3.1, §3.2.3</t>
  </si>
  <si>
    <t xml:space="preserve">08 Multi-Head</t>
  </si>
  <si>
    <t xml:space="preserve">h parallel heads, concat, W_O; Table 3 rows A/B</t>
  </si>
  <si>
    <t xml:space="preserve">§3.2.2</t>
  </si>
  <si>
    <t xml:space="preserve">09 Three Attentions</t>
  </si>
  <si>
    <t xml:space="preserve">Encoder self-, masked decoder self-, and cross-attention</t>
  </si>
  <si>
    <t xml:space="preserve">§3.2.3</t>
  </si>
  <si>
    <t xml:space="preserve">10 Add and Norm</t>
  </si>
  <si>
    <t xml:space="preserve">Residual connections and layer normalisation</t>
  </si>
  <si>
    <t xml:space="preserve">§3.1</t>
  </si>
  <si>
    <t xml:space="preserve">11 Feed-Forward</t>
  </si>
  <si>
    <t xml:space="preserve">Equation (2); completes a full encoder layer by formula</t>
  </si>
  <si>
    <t xml:space="preserve">§3.3</t>
  </si>
  <si>
    <t xml:space="preserve">12 Output and Decoding</t>
  </si>
  <si>
    <t xml:space="preserve">Logits via shared embeddings, softmax, greedy vs beam search, length penalty</t>
  </si>
  <si>
    <t xml:space="preserve">§3.4, §6.1</t>
  </si>
  <si>
    <t xml:space="preserve">13 Loss and Smoothing</t>
  </si>
  <si>
    <t xml:space="preserve">Cross-entropy, label smoothing, perplexity</t>
  </si>
  <si>
    <t xml:space="preserve">§5.4, Table 3</t>
  </si>
  <si>
    <t xml:space="preserve">14 Optimizer and LR</t>
  </si>
  <si>
    <t xml:space="preserve">Adam and the warm-up schedule (Equation 3)</t>
  </si>
  <si>
    <t xml:space="preserve">§5.2, §5.3</t>
  </si>
  <si>
    <t xml:space="preserve">15 Regularization</t>
  </si>
  <si>
    <t xml:space="preserve">Dropout, checkpoint averaging, Table 3 rows C/D</t>
  </si>
  <si>
    <t xml:space="preserve">§5.4, §6.1</t>
  </si>
  <si>
    <t xml:space="preserve">16 Why Self-Attention</t>
  </si>
  <si>
    <t xml:space="preserve">Table 1: work, parallelism, path length; the n vs d crossover</t>
  </si>
  <si>
    <t xml:space="preserve">§4</t>
  </si>
  <si>
    <t xml:space="preserve">17 Model Anatomy</t>
  </si>
  <si>
    <t xml:space="preserve">Every shape in a forward pass; parameter count vs 65M / 213M</t>
  </si>
  <si>
    <t xml:space="preserve">§3, Table 3</t>
  </si>
  <si>
    <t xml:space="preserve">★★★</t>
  </si>
  <si>
    <t xml:space="preserve">18 BLEU Score</t>
  </si>
  <si>
    <t xml:space="preserve">How translation quality is measured, computed live</t>
  </si>
  <si>
    <t xml:space="preserve">Tables 2–3</t>
  </si>
  <si>
    <t xml:space="preserve">19 Results</t>
  </si>
  <si>
    <t xml:space="preserve">Tables 2 &amp; 4 with the headline claims and FLOP estimates re-derived</t>
  </si>
  <si>
    <t xml:space="preserve">§6</t>
  </si>
  <si>
    <t xml:space="preserve">20 Glossary</t>
  </si>
  <si>
    <t xml:space="preserve">Every symbol and term</t>
  </si>
  <si>
    <t xml:space="preserve">—</t>
  </si>
  <si>
    <t xml:space="preserve">Suggested learning path</t>
  </si>
  <si>
    <t xml:space="preserve">•  Complete beginner: 01 → 02 → 05 → 06 → 08 → 04 → 03 → 09, then the rest in order.</t>
  </si>
  <si>
    <t xml:space="preserve">•  Comfortable with basic linear algebra: 02 → 03 → 04 → 05 → 06 → 07 → 08 → 10 → 11 → 12 → 17.</t>
  </si>
  <si>
    <t xml:space="preserve">•  Interested in training and results: 13 → 14 → 15 → 16 → 18 → 19.</t>
  </si>
  <si>
    <t xml:space="preserve">The paper in one paragraph</t>
  </si>
  <si>
    <t xml:space="preserve">Each input word becomes a vector (embedding) with a position pattern added. In the encoder, six identical layers each let every word gather information from every other word (multi-head self-attention) and then process it individually (feed-forward), with residual connections and layer normalisation around both. The decoder does the same over the words written so far — masked so it can't see the future — plus a cross-attention step that looks at the encoded input. A final softmax over the vocabulary predicts the next word. Trained with Adam, a warm-up learning-rate schedule, dropout and label smoothing, the model beat all previous translation systems at a fraction of their training cost.</t>
  </si>
  <si>
    <t xml:space="preserve">NOTE:  All example numbers (embeddings, weights, probabilities) are small made-up values chosen to be readable, unless a row says 'Source: the paper'. Values quoted from the paper are cited to their section or table.</t>
  </si>
  <si>
    <t xml:space="preserve">01 · The Math Toolkit — every piece of math the paper uses, from zero</t>
  </si>
  <si>
    <t xml:space="preserve">Prerequisite sheet. Nothing here is new research; it is the vocabulary the paper assumes you already speak.</t>
  </si>
  <si>
    <t xml:space="preserve">BIG IDEA:  The whole Transformer is built from only a handful of operations: multiply-and-add (dot products), tables of numbers (matrices), turning scores into percentages (softmax), and a few averages. Master these ten small tools and every equation in the paper becomes readable.</t>
  </si>
  <si>
    <t xml:space="preserve">How to read the colours in every sheet:  BLUE numbers on a yellow background are inputs — type over them.  BLACK numbers are live formulas.  GREEN numbers are pulled from another sheet.  Green-shaded bold cells are the key results.  The grey 'Show the work' lines rebuild the arithmetic as text, so you can check it by hand.</t>
  </si>
  <si>
    <t xml:space="preserve">Tool 1 · A vector is just a list of numbers that describes something</t>
  </si>
  <si>
    <t xml:space="preserve">Imagine describing fruit to a friend who can't see it, using only two scores out of 10: how SWEET it is and how CRUNCHY it is. A mango might be [9, 1] and a carrot [2, 9]. That list is a vector. Each position has a fixed meaning (position 1 = sweetness, position 2 = crunchiness).</t>
  </si>
  <si>
    <t xml:space="preserve">In the paper every word (token) is described by a list of d_model = 512 numbers. Nobody decides what each of the 512 positions means — the model learns it — but the idea is the same as our fruit scores.</t>
  </si>
  <si>
    <t xml:space="preserve">Simplest example — fruit as 2-number vectors</t>
  </si>
  <si>
    <t xml:space="preserve">sweet</t>
  </si>
  <si>
    <t xml:space="preserve">crunchy</t>
  </si>
  <si>
    <t xml:space="preserve">mango</t>
  </si>
  <si>
    <t xml:space="preserve">carrot</t>
  </si>
  <si>
    <t xml:space="preserve">apple</t>
  </si>
  <si>
    <t xml:space="preserve">Tool 2 · The dot product — 'how much do two vectors agree?'</t>
  </si>
  <si>
    <t xml:space="preserve">a · b  =  a₁×b₁ + a₂×b₂ + … + aₙ×bₙ</t>
  </si>
  <si>
    <t xml:space="preserve">Multiply the numbers position by position, then add everything up. The answer is ONE number. It is large and positive when the two lists are high in the same places (they 'agree'), near zero when they are unrelated, and negative when they disagree. Attention is built on this single idea: a word asks 'how well do I match you?' by taking a dot product.</t>
  </si>
  <si>
    <t xml:space="preserve">Example 1 (simplest):  a = [1, 2],  b = [3, 4]</t>
  </si>
  <si>
    <t xml:space="preserve">Vector a</t>
  </si>
  <si>
    <t xml:space="preserve">Vector b</t>
  </si>
  <si>
    <t xml:space="preserve">pos 1</t>
  </si>
  <si>
    <t xml:space="preserve">pos 2</t>
  </si>
  <si>
    <t xml:space="preserve">a₁ × b₁</t>
  </si>
  <si>
    <t xml:space="preserve">first pair multiplied</t>
  </si>
  <si>
    <t xml:space="preserve">a₂ × b₂</t>
  </si>
  <si>
    <t xml:space="preserve">second pair multiplied</t>
  </si>
  <si>
    <t xml:space="preserve">a · b</t>
  </si>
  <si>
    <t xml:space="preserve">add the products</t>
  </si>
  <si>
    <t xml:space="preserve">Example 2 (moderate):  are 'king' and 'queen' more alike than 'king' and 'apple'?</t>
  </si>
  <si>
    <t xml:space="preserve">Below are made-up 4-number word vectors (features could loosely be: royalty, person-ness, food-ness, femaleness). The raw dot product grows with the SIZE of vectors, so we also compute COSINE SIMILARITY = dot ÷ (length of a × length of b), which ignores size and ranges from −1 (opposite) to +1 (same direction). Length = √(sum of squares).</t>
  </si>
  <si>
    <t xml:space="preserve">Word vectors (illustrative)</t>
  </si>
  <si>
    <t xml:space="preserve">royal</t>
  </si>
  <si>
    <t xml:space="preserve">person</t>
  </si>
  <si>
    <t xml:space="preserve">food</t>
  </si>
  <si>
    <t xml:space="preserve">female</t>
  </si>
  <si>
    <t xml:space="preserve">king</t>
  </si>
  <si>
    <t xml:space="preserve">queen</t>
  </si>
  <si>
    <t xml:space="preserve">Pair</t>
  </si>
  <si>
    <t xml:space="preserve">Dot product</t>
  </si>
  <si>
    <t xml:space="preserve">Length of 1st</t>
  </si>
  <si>
    <t xml:space="preserve">Length of 2nd</t>
  </si>
  <si>
    <t xml:space="preserve">Cosine similarity</t>
  </si>
  <si>
    <t xml:space="preserve">Reading</t>
  </si>
  <si>
    <t xml:space="preserve">king · queen</t>
  </si>
  <si>
    <t xml:space="preserve">king · apple</t>
  </si>
  <si>
    <t xml:space="preserve">queen · apple</t>
  </si>
  <si>
    <t xml:space="preserve">Tool 3 · A matrix is a table of vectors; the transpose flips it</t>
  </si>
  <si>
    <t xml:space="preserve">Stack several vectors as rows and you get a matrix. In the paper, a sentence of n words becomes a matrix with n rows (one per word) and 512 columns (one per feature). The TRANSPOSE (written with a superscript T, e.g. Kᵀ) swaps rows and columns: row 1 becomes column 1. The paper needs Kᵀ so that every word's query can be multiplied against every word's key in one go.</t>
  </si>
  <si>
    <t xml:space="preserve">Matrix K (2 rows × 3 columns)</t>
  </si>
  <si>
    <t xml:space="preserve">Kᵀ (3 × 2) — live formulas</t>
  </si>
  <si>
    <t xml:space="preserve">col 1</t>
  </si>
  <si>
    <t xml:space="preserve">col 2</t>
  </si>
  <si>
    <t xml:space="preserve">col 3</t>
  </si>
  <si>
    <t xml:space="preserve">from row 1</t>
  </si>
  <si>
    <t xml:space="preserve">from row 2</t>
  </si>
  <si>
    <t xml:space="preserve">row 1</t>
  </si>
  <si>
    <t xml:space="preserve">col 1→row</t>
  </si>
  <si>
    <t xml:space="preserve">row 2</t>
  </si>
  <si>
    <t xml:space="preserve">col 2→row</t>
  </si>
  <si>
    <t xml:space="preserve">col 3→row</t>
  </si>
  <si>
    <t xml:space="preserve">Tool 4 · Matrix multiplication = many dot products at once</t>
  </si>
  <si>
    <t xml:space="preserve">(A · B)[row i, column j]  =  (row i of A) · (column j of B)</t>
  </si>
  <si>
    <t xml:space="preserve">To multiply A by B, take each ROW of A and dot it with each COLUMN of B. The rule of thumb: an (m × p) matrix times a (p × q) matrix gives an (m × q) matrix — the inner sizes (p) must match and 'cancel'. This is the workhorse of the Transformer: turning words into queries, keys and values is one matrix multiplication each.</t>
  </si>
  <si>
    <t xml:space="preserve">Example 1 (simplest):  2×2 times 2×2</t>
  </si>
  <si>
    <t xml:space="preserve">A</t>
  </si>
  <si>
    <t xml:space="preserve">B</t>
  </si>
  <si>
    <t xml:space="preserve">A · B</t>
  </si>
  <si>
    <t xml:space="preserve">c1</t>
  </si>
  <si>
    <t xml:space="preserve">c2</t>
  </si>
  <si>
    <t xml:space="preserve">r1</t>
  </si>
  <si>
    <t xml:space="preserve">r2</t>
  </si>
  <si>
    <t xml:space="preserve">cell (1,1)</t>
  </si>
  <si>
    <t xml:space="preserve">cell (1,2)</t>
  </si>
  <si>
    <t xml:space="preserve">cell (2,1)</t>
  </si>
  <si>
    <t xml:space="preserve">cell (2,2)</t>
  </si>
  <si>
    <t xml:space="preserve">Example 2 (moderate):  3 words × 4 features, times a 4 × 2 'lens' = 3 words × 2 new features</t>
  </si>
  <si>
    <t xml:space="preserve">This is EXACTLY the shape of the operation Q = X · W_Q in the paper (only smaller): each of 3 words has 4 features; the weight matrix W re-mixes them into 2 new features. Every output number is a weighted blend of one word's original features.</t>
  </si>
  <si>
    <t xml:space="preserve">X (3 words × 4 features)</t>
  </si>
  <si>
    <t xml:space="preserve">W (4 × 2)</t>
  </si>
  <si>
    <t xml:space="preserve">X · W (3 × 2)</t>
  </si>
  <si>
    <t xml:space="preserve">f1</t>
  </si>
  <si>
    <t xml:space="preserve">f2</t>
  </si>
  <si>
    <t xml:space="preserve">f3</t>
  </si>
  <si>
    <t xml:space="preserve">f4</t>
  </si>
  <si>
    <t xml:space="preserve">new 1</t>
  </si>
  <si>
    <t xml:space="preserve">new 2</t>
  </si>
  <si>
    <t xml:space="preserve">word 1</t>
  </si>
  <si>
    <t xml:space="preserve">word 2</t>
  </si>
  <si>
    <t xml:space="preserve">word 3</t>
  </si>
  <si>
    <t xml:space="preserve">word 1, new 1</t>
  </si>
  <si>
    <t xml:space="preserve">word 1, new 2</t>
  </si>
  <si>
    <t xml:space="preserve">word 2, new 1</t>
  </si>
  <si>
    <t xml:space="preserve">word 2, new 2</t>
  </si>
  <si>
    <t xml:space="preserve">word 3, new 1</t>
  </si>
  <si>
    <t xml:space="preserve">word 3, new 2</t>
  </si>
  <si>
    <t xml:space="preserve">Tool 5 · The exponential eˣ — makes everything positive and exaggerates differences</t>
  </si>
  <si>
    <t xml:space="preserve">e ≈ 2.71828 is a special constant. eˣ is always positive (even for negative x), e⁰ = 1, and it grows very fast: every +1 in x multiplies the result by about 2.7. Softmax uses eˣ precisely because of these two properties: positivity (so we can make percentages) and exaggeration (so the best match stands out).</t>
  </si>
  <si>
    <t xml:space="preserve">x</t>
  </si>
  <si>
    <t xml:space="preserve">eˣ (live)</t>
  </si>
  <si>
    <t xml:space="preserve">Plain reading</t>
  </si>
  <si>
    <t xml:space="preserve">small but still positive</t>
  </si>
  <si>
    <t xml:space="preserve">about 1/2.7</t>
  </si>
  <si>
    <t xml:space="preserve">exactly 1</t>
  </si>
  <si>
    <t xml:space="preserve">e itself</t>
  </si>
  <si>
    <t xml:space="preserve">2.7 × 2.7</t>
  </si>
  <si>
    <t xml:space="preserve">already ~148</t>
  </si>
  <si>
    <t xml:space="preserve">~22,000 — tiny changes in x become huge</t>
  </si>
  <si>
    <t xml:space="preserve">Tool 6 · Softmax — turn any list of scores into percentages that add up to 100%</t>
  </si>
  <si>
    <t xml:space="preserve">softmax(xᵢ)  =  e^(xᵢ)  ÷  ( e^(x₁) + e^(x₂) + … + e^(xₙ) )</t>
  </si>
  <si>
    <t xml:space="preserve">Step 1: raise e to each score (everything becomes positive).  Step 2: add them up.  Step 3: divide each by the total. The results are between 0 and 1 and sum to exactly 1, so we can read them as 'how much attention goes to each item'.</t>
  </si>
  <si>
    <t xml:space="preserve">Example 1 (simplest):  scores [2, 1, 0.1]</t>
  </si>
  <si>
    <t xml:space="preserve">Scores</t>
  </si>
  <si>
    <t xml:space="preserve">item 1</t>
  </si>
  <si>
    <t xml:space="preserve">item 2</t>
  </si>
  <si>
    <t xml:space="preserve">item 3</t>
  </si>
  <si>
    <t xml:space="preserve">Step 1: e^score</t>
  </si>
  <si>
    <t xml:space="preserve">Step 2: total</t>
  </si>
  <si>
    <t xml:space="preserve">add the three exponentials</t>
  </si>
  <si>
    <t xml:space="preserve">Step 3: softmax = e^score ÷ total</t>
  </si>
  <si>
    <t xml:space="preserve">Check: sum</t>
  </si>
  <si>
    <t xml:space="preserve">always exactly 1</t>
  </si>
  <si>
    <t xml:space="preserve">Example 2 (moderate):  three experiments that explain later design choices</t>
  </si>
  <si>
    <t xml:space="preserve">(a) Adding the same number to every score changes NOTHING (the extra factor cancels top and bottom) — this is why masking can use '−∞' safely and why real code subtracts the max for numerical safety.  (b) Multiplying scores by 10 makes softmax nearly 'winner-takes-all'.  (c) Dividing by 10 makes it almost uniform. Point (b) is exactly the problem the paper fixes by dividing by √d_k (see sheet 06).</t>
  </si>
  <si>
    <t xml:space="preserve">Shift amount</t>
  </si>
  <si>
    <t xml:space="preserve">added to every score in experiment (a)</t>
  </si>
  <si>
    <t xml:space="preserve">Multiplier</t>
  </si>
  <si>
    <t xml:space="preserve">used in (b); (c) divides by the same number</t>
  </si>
  <si>
    <t xml:space="preserve">Experiment</t>
  </si>
  <si>
    <t xml:space="preserve">What happened</t>
  </si>
  <si>
    <t xml:space="preserve">Original softmax</t>
  </si>
  <si>
    <t xml:space="preserve">baseline from Example 1</t>
  </si>
  <si>
    <t xml:space="preserve">(a) scores + shift</t>
  </si>
  <si>
    <t xml:space="preserve">identical — softmax only cares about DIFFERENCES between scores</t>
  </si>
  <si>
    <t xml:space="preserve">(b) scores × multiplier</t>
  </si>
  <si>
    <t xml:space="preserve">almost all weight on item 1: too 'peaky', gradients vanish</t>
  </si>
  <si>
    <t xml:space="preserve">(c) scores ÷ multiplier</t>
  </si>
  <si>
    <t xml:space="preserve">nearly equal: too 'flat', can't pick anything out</t>
  </si>
  <si>
    <t xml:space="preserve">Tool 7 · Mean, variance, standard deviation (and why √ appears)</t>
  </si>
  <si>
    <t xml:space="preserve">MEAN = the average.  VARIANCE = the average of squared distances from the mean (how spread out the numbers are).  STANDARD DEVIATION (std) = √variance, the spread in the original units. A key fact used in the paper: if you add up d INDEPENDENT random numbers that each have variance 1, the total has variance d, so its typical size is √d. That is why the paper divides attention scores by √d_k.</t>
  </si>
  <si>
    <t xml:space="preserve">Example 1 (simplest):  the numbers 2, 4, 6, 8</t>
  </si>
  <si>
    <t xml:space="preserve">Data</t>
  </si>
  <si>
    <t xml:space="preserve">x1</t>
  </si>
  <si>
    <t xml:space="preserve">x2</t>
  </si>
  <si>
    <t xml:space="preserve">x3</t>
  </si>
  <si>
    <t xml:space="preserve">x4</t>
  </si>
  <si>
    <t xml:space="preserve">Mean</t>
  </si>
  <si>
    <t xml:space="preserve">(2+4+6+8) ÷ 4</t>
  </si>
  <si>
    <t xml:space="preserve">Distance from mean</t>
  </si>
  <si>
    <t xml:space="preserve">Squared distance</t>
  </si>
  <si>
    <t xml:space="preserve">Variance</t>
  </si>
  <si>
    <t xml:space="preserve">average of squared distances (divide by n, the 'population' version LayerNorm uses)</t>
  </si>
  <si>
    <t xml:space="preserve">Std deviation</t>
  </si>
  <si>
    <t xml:space="preserve">√variance</t>
  </si>
  <si>
    <t xml:space="preserve">Example 2 (moderate):  standardising — make any list have mean 0 and spread 1</t>
  </si>
  <si>
    <t xml:space="preserve">Subtract the mean and divide by the std. The new numbers ('z-scores') always have mean 0 and variance 1. Layer Normalization (sheet 10) does exactly this to every word's vector at every layer.</t>
  </si>
  <si>
    <t xml:space="preserve">z = (x − mean) ÷ std</t>
  </si>
  <si>
    <t xml:space="preserve">Mean of z</t>
  </si>
  <si>
    <t xml:space="preserve">≈ 0</t>
  </si>
  <si>
    <t xml:space="preserve">Variance of z</t>
  </si>
  <si>
    <t xml:space="preserve">d (how many numbers are summed)</t>
  </si>
  <si>
    <t xml:space="preserve">Typical size of the sum = √d</t>
  </si>
  <si>
    <t xml:space="preserve">Comment</t>
  </si>
  <si>
    <t xml:space="preserve">one product</t>
  </si>
  <si>
    <t xml:space="preserve">our toy examples</t>
  </si>
  <si>
    <t xml:space="preserve">d_k in the paper → divide by 8</t>
  </si>
  <si>
    <t xml:space="preserve">d_model in the paper</t>
  </si>
  <si>
    <t xml:space="preserve">Tool 8 · ReLU — 'keep positives, zero out negatives'</t>
  </si>
  <si>
    <t xml:space="preserve">ReLU(x) = max(0, x)</t>
  </si>
  <si>
    <t xml:space="preserve">A one-line rule used inside the feed-forward network (sheet 11). It is the 'on/off switch' that lets a network represent things that are not straight lines.</t>
  </si>
  <si>
    <t xml:space="preserve">a</t>
  </si>
  <si>
    <t xml:space="preserve">b</t>
  </si>
  <si>
    <t xml:space="preserve">c</t>
  </si>
  <si>
    <t xml:space="preserve">d</t>
  </si>
  <si>
    <t xml:space="preserve">e</t>
  </si>
  <si>
    <t xml:space="preserve">ReLU(x) = MAX(0, x)</t>
  </si>
  <si>
    <t xml:space="preserve">Tool 9 · The natural log — measuring 'surprise'</t>
  </si>
  <si>
    <t xml:space="preserve">ln(x) undoes eˣ. The quantity −ln(p) is the 'surprise' of an event with probability p: a certain event (p = 1) gives 0 surprise; a 1-in-100 event gives 4.6. Training a Transformer means minimising the average surprise of the correct next word (the cross-entropy loss, sheet 13).</t>
  </si>
  <si>
    <t xml:space="preserve">Probability given to the right answer (p)</t>
  </si>
  <si>
    <t xml:space="preserve">Surprise = −ln(p)</t>
  </si>
  <si>
    <t xml:space="preserve">certain and correct → no penalty</t>
  </si>
  <si>
    <t xml:space="preserve">confident and correct → small penalty</t>
  </si>
  <si>
    <t xml:space="preserve">coin flip → medium penalty</t>
  </si>
  <si>
    <t xml:space="preserve">mostly wrong → big penalty</t>
  </si>
  <si>
    <t xml:space="preserve">very wrong → huge penalty</t>
  </si>
  <si>
    <t xml:space="preserve">Tool 10 · Shapes — the single most useful habit when reading the paper</t>
  </si>
  <si>
    <t xml:space="preserve">Always ask 'how many rows × how many columns?'. With n = number of words and d_model = 512: the sentence is n × 512; W_Q is 512 × 64; so Q = X·W_Q is n × 64; Q·Kᵀ is (n × 64)·(64 × n) = n × n — one score for every pair of words. If you track shapes, the paper's equations can never surprise you. Sheet 17 tracks every shape through the full model.</t>
  </si>
  <si>
    <t xml:space="preserve">Check yourself</t>
  </si>
  <si>
    <t xml:space="preserve">Q1. What is [1, 0, 2] · [3, 5, 1]?</t>
  </si>
  <si>
    <t xml:space="preserve">Answer: 1×3 + 0×5 + 2×1 = 5.</t>
  </si>
  <si>
    <t xml:space="preserve">Q2. Softmax of [5, 5, 5]?</t>
  </si>
  <si>
    <t xml:space="preserve">Answer: [1/3, 1/3, 1/3] — equal scores give equal shares.</t>
  </si>
  <si>
    <t xml:space="preserve">Q3. A (4 × 3) matrix times a (3 × 7) matrix has what shape?</t>
  </si>
  <si>
    <t xml:space="preserve">Answer: 4 × 7. The inner 3s must match and disappear.</t>
  </si>
  <si>
    <t xml:space="preserve">02 · The Big Picture — what problem the paper solves, and its one bold idea</t>
  </si>
  <si>
    <t xml:space="preserve">Paper: Abstract, §1 Introduction, §2 Background, §3 (encoder–decoder), Figure 1</t>
  </si>
  <si>
    <t xml:space="preserve">BIG IDEA:  Before 2017, translation models read a sentence one word at a time, like passing a note down a line of people. The Transformer lets every word look at every other word directly and all at the same time, using only 'attention'. No recurrence, no convolution.</t>
  </si>
  <si>
    <t xml:space="preserve">1. The task: sequence transduction (e.g. translation)</t>
  </si>
  <si>
    <t xml:space="preserve">'Transduction' just means turning one sequence into another: English sentence → German sentence. The paper tests on WMT 2014 English→German (4.5 million sentence pairs) and English→French (36 million sentences).</t>
  </si>
  <si>
    <t xml:space="preserve">The standard design is an ENCODER–DECODER. The encoder reads the whole input and produces a rich numeric summary of each input word, z = (z₁…zₙ). The decoder then writes the output ONE word at a time, each time looking at (i) what it has written so far and (ii) the encoder's summary. Writing one word at a time while feeding your own previous words back in is called AUTO-REGRESSIVE generation.</t>
  </si>
  <si>
    <t xml:space="preserve">ANALOGY:  A human interpreter first listens to the whole English sentence (encoder), then speaks the German translation word by word, glancing back at their notes and at what they have already said (decoder).</t>
  </si>
  <si>
    <t xml:space="preserve">2. The old way (RNNs) and its two problems</t>
  </si>
  <si>
    <t xml:space="preserve">Recurrent network:   hₜ = f( hₜ₋₁ , xₜ )</t>
  </si>
  <si>
    <t xml:space="preserve">A recurrent neural network (RNN, LSTM, GRU) keeps a 'memory' vector hₜ and updates it word by word: the memory after word t depends on the memory after word t−1. The paper names two problems with this:</t>
  </si>
  <si>
    <t xml:space="preserve">•  NO PARALLELISM: you can't compute step 5 until step 4 is done. GPUs are great at doing thousands of things at once, so a strictly sequential chain wastes them. (§1: 'This inherently sequential nature precludes parallelization within training examples.')</t>
  </si>
  <si>
    <t xml:space="preserve">•  LONG PATHS: information from word 1 must survive every intermediate update to influence word 50. The longer the path, the harder it is to learn such long-range links (§4 calls this 'maximum path length').</t>
  </si>
  <si>
    <t xml:space="preserve">ANALOGY:  The children's game of 'telephone': a message whispered down a line of 50 people gets garbled. Attention is like letting person 50 simply ask person 1 directly.</t>
  </si>
  <si>
    <t xml:space="preserve">3. The new way: attention only</t>
  </si>
  <si>
    <t xml:space="preserve">In self-attention, every word computes a match score against every other word, turns the scores into percentages (softmax) and takes a weighted blend of their information. All words do this simultaneously (parallel), and any two words are connected in ONE step (path length 1). The rest of the architecture — embeddings, positional encodings, feed-forward layers, residual connections, layer norm — exists to support this core operation. Each has its own sheet in this workbook.</t>
  </si>
  <si>
    <t xml:space="preserve">Example 1 (simplest):  a 3-word sentence 'the cat sat'</t>
  </si>
  <si>
    <t xml:space="preserve">Words in sentence (n)</t>
  </si>
  <si>
    <t xml:space="preserve">change this number and watch the table update</t>
  </si>
  <si>
    <t xml:space="preserve">Quantity</t>
  </si>
  <si>
    <t xml:space="preserve">RNN</t>
  </si>
  <si>
    <t xml:space="preserve">Self-attention</t>
  </si>
  <si>
    <t xml:space="preserve">Why</t>
  </si>
  <si>
    <t xml:space="preserve">Sequential steps to process the sentence</t>
  </si>
  <si>
    <t xml:space="preserve">RNN must go word by word; attention handles all words at once</t>
  </si>
  <si>
    <t xml:space="preserve">Steps for word 1 to influence word n</t>
  </si>
  <si>
    <t xml:space="preserve">RNN passes the message along; attention connects directly</t>
  </si>
  <si>
    <t xml:space="preserve">Number of word-pair connections made per layer</t>
  </si>
  <si>
    <t xml:space="preserve">attention compares every word with every word (n × n) — the price we pay</t>
  </si>
  <si>
    <t xml:space="preserve">Example 2 (moderate):  a toy 'telephone game' — how fast does a signal fade over distance?</t>
  </si>
  <si>
    <t xml:space="preserve">ILLUSTRATION (not from the paper): suppose each hop through an RNN keeps only a fraction of the useful signal. For attention the distance is always one hop. Change the 'kept per hop' input to explore.</t>
  </si>
  <si>
    <t xml:space="preserve">Signal kept per hop</t>
  </si>
  <si>
    <t xml:space="preserve">assumption for illustration only</t>
  </si>
  <si>
    <t xml:space="preserve">Distance between two words</t>
  </si>
  <si>
    <t xml:space="preserve">Signal left via RNN (keep^distance)</t>
  </si>
  <si>
    <t xml:space="preserve">Signal left via attention</t>
  </si>
  <si>
    <t xml:space="preserve">4. The architecture in one picture (Figure 1, redrawn as a list)</t>
  </si>
  <si>
    <t xml:space="preserve">Read top to bottom. The left column (encoder) runs once over the whole input. The right column (decoder) runs once per output word. 'N×' means the block is stacked N = 6 times.</t>
  </si>
  <si>
    <t xml:space="preserve">ENCODER</t>
  </si>
  <si>
    <t xml:space="preserve">DECODER</t>
  </si>
  <si>
    <t xml:space="preserve">Input words: 'the cat sat'</t>
  </si>
  <si>
    <t xml:space="preserve">Output so far (shifted right): '&lt;s&gt; Die Katze'</t>
  </si>
  <si>
    <t xml:space="preserve">Input Embedding (sheet 03)</t>
  </si>
  <si>
    <t xml:space="preserve">Output Embedding (shared, sheet 03)</t>
  </si>
  <si>
    <t xml:space="preserve">+ Positional Encoding (sheet 04)</t>
  </si>
  <si>
    <t xml:space="preserve">┌ N× encoder layer ┐</t>
  </si>
  <si>
    <t xml:space="preserve">┌ N× decoder layer ┐</t>
  </si>
  <si>
    <t xml:space="preserve">Multi-Head Self-Attention (06, 08)</t>
  </si>
  <si>
    <t xml:space="preserve">MASKED Multi-Head Self-Attention (07)</t>
  </si>
  <si>
    <t xml:space="preserve">Add &amp; Norm (sheet 10)</t>
  </si>
  <si>
    <t xml:space="preserve">Add &amp; Norm</t>
  </si>
  <si>
    <t xml:space="preserve">Feed-Forward (sheet 11)</t>
  </si>
  <si>
    <t xml:space="preserve">Encoder–Decoder Attention (sheet 09)</t>
  </si>
  <si>
    <t xml:space="preserve">└──────────┘</t>
  </si>
  <si>
    <t xml:space="preserve">Feed-Forward, Add &amp; Norm</t>
  </si>
  <si>
    <t xml:space="preserve">→ memory to decoder →</t>
  </si>
  <si>
    <t xml:space="preserve">Linear → Softmax → next word (sheet 12)</t>
  </si>
  <si>
    <t xml:space="preserve">5. The headline results (details on sheet 19)</t>
  </si>
  <si>
    <t xml:space="preserve">•  English→German: 28.4 BLEU (big model), beating the best previous systems — even ensembles — by more than 2 BLEU.</t>
  </si>
  <si>
    <t xml:space="preserve">•  English→French: 41.8 BLEU in Table 2 (the text of §6.1 says 41.0 — a known inconsistency in the paper; see sheet 19).</t>
  </si>
  <si>
    <t xml:space="preserve">•  Cost: the base model trains in about 12 hours on 8 NVIDIA P100 GPUs — a fraction of rivals' cost.</t>
  </si>
  <si>
    <t xml:space="preserve">•  It also generalised to English constituency parsing with little tuning (Table 4).</t>
  </si>
  <si>
    <t xml:space="preserve">Q1. Why can't an RNN use all of a GPU's parallel power on one sentence?</t>
  </si>
  <si>
    <t xml:space="preserve">Answer: Because step t needs the result of step t−1 (hₜ depends on hₜ₋₁), so steps must run one after another.</t>
  </si>
  <si>
    <t xml:space="preserve">Q2. What does 'auto-regressive' mean for the decoder?</t>
  </si>
  <si>
    <t xml:space="preserve">Answer: It generates one word at a time and feeds each generated word back in as input for the next step.</t>
  </si>
  <si>
    <t xml:space="preserve">Q3. What is the cost of letting every word look at every other word?</t>
  </si>
  <si>
    <t xml:space="preserve">Answer: n² comparisons per layer — fine for sentences, expensive for very long inputs (sheet 16).</t>
  </si>
  <si>
    <t xml:space="preserve">03 · Tokens &amp; Embeddings — turning words into numbers</t>
  </si>
  <si>
    <t xml:space="preserve">Paper: §3.4 Embeddings and Softmax, §5.1 Training Data (byte-pair encoding, 37,000-token shared vocabulary)</t>
  </si>
  <si>
    <t xml:space="preserve">BIG IDEA:  A neural network can only do arithmetic, so each word is replaced by a learned list of numbers (its embedding). Words used in similar ways end up with similar lists.</t>
  </si>
  <si>
    <t xml:space="preserve">1. Tokens: the pieces a sentence is cut into</t>
  </si>
  <si>
    <t xml:space="preserve">The paper does not use whole words. It uses BYTE-PAIR ENCODING (BPE), which splits text into frequent sub-word pieces. Common words stay whole ('the'), rare words are split ('unbelievably' → 'un' + 'believ' + 'ably'). This keeps the vocabulary to a fixed size — about 37,000 tokens shared between English and German — while still being able to spell any word. For English–French they used a similar 32,000 'word-piece' vocabulary.</t>
  </si>
  <si>
    <t xml:space="preserve">Word</t>
  </si>
  <si>
    <t xml:space="preserve">Possible BPE tokens (illustrative)</t>
  </si>
  <si>
    <t xml:space="preserve">the</t>
  </si>
  <si>
    <t xml:space="preserve">very common → kept whole</t>
  </si>
  <si>
    <t xml:space="preserve">cats</t>
  </si>
  <si>
    <t xml:space="preserve">cat + s</t>
  </si>
  <si>
    <t xml:space="preserve">stem + common ending</t>
  </si>
  <si>
    <t xml:space="preserve">unbelievably</t>
  </si>
  <si>
    <t xml:space="preserve">un + believ + ably</t>
  </si>
  <si>
    <t xml:space="preserve">rare word → built from frequent pieces</t>
  </si>
  <si>
    <t xml:space="preserve">Katze (German)</t>
  </si>
  <si>
    <t xml:space="preserve">Katze</t>
  </si>
  <si>
    <t xml:space="preserve">shared vocabulary holds both languages</t>
  </si>
  <si>
    <t xml:space="preserve">2. Embeddings: a lookup table with one row per token</t>
  </si>
  <si>
    <t xml:space="preserve">The model keeps a big table: one ROW per token in the vocabulary, d_model = 512 COLUMNS. To embed a sentence you simply look up each token's row. The numbers start random and are LEARNED during training, so tokens that behave alike drift close together.</t>
  </si>
  <si>
    <t xml:space="preserve">embedding(token) = row of the table for that token,   then multiplied by √d_model</t>
  </si>
  <si>
    <t xml:space="preserve">Symbol</t>
  </si>
  <si>
    <t xml:space="preserve">What it means in plain English</t>
  </si>
  <si>
    <t xml:space="preserve">Value in the paper</t>
  </si>
  <si>
    <t xml:space="preserve">vocabulary size</t>
  </si>
  <si>
    <t xml:space="preserve">How many different tokens exist (rows in the table)</t>
  </si>
  <si>
    <t xml:space="preserve">≈ 37,000 (EN–DE)</t>
  </si>
  <si>
    <t xml:space="preserve">d_model</t>
  </si>
  <si>
    <t xml:space="preserve">Length of every token's vector (columns in the table)</t>
  </si>
  <si>
    <t xml:space="preserve">512 (base), 1024 (big)</t>
  </si>
  <si>
    <t xml:space="preserve">√d_model</t>
  </si>
  <si>
    <t xml:space="preserve">Scale factor applied to embeddings (§3.4: 'we multiply those weights by √d_model')</t>
  </si>
  <si>
    <t xml:space="preserve">√512 ≈ 22.6</t>
  </si>
  <si>
    <t xml:space="preserve">Example 1 (simplest):  a tiny 8-token shared vocabulary with d_model = 4</t>
  </si>
  <si>
    <t xml:space="preserve">Below is our whole 'vocabulary'. It holds English AND German tokens, just like the paper's shared BPE vocabulary. The numbers are made up, but deliberately 'cat' and 'Katze' are similar, 'the' ≈ 'die', 'sat' ≈ 'saß' — the kind of structure training produces. These rows are reused by sheets 04–12.</t>
  </si>
  <si>
    <t xml:space="preserve">Embedding table E (8 tokens × d_model 4)</t>
  </si>
  <si>
    <t xml:space="preserve">dim 1</t>
  </si>
  <si>
    <t xml:space="preserve">dim 2</t>
  </si>
  <si>
    <t xml:space="preserve">dim 3</t>
  </si>
  <si>
    <t xml:space="preserve">dim 4</t>
  </si>
  <si>
    <t xml:space="preserve">&lt;s&gt;</t>
  </si>
  <si>
    <t xml:space="preserve">&lt;/s&gt;</t>
  </si>
  <si>
    <t xml:space="preserve">cat</t>
  </si>
  <si>
    <t xml:space="preserve">sat</t>
  </si>
  <si>
    <t xml:space="preserve">die</t>
  </si>
  <si>
    <t xml:space="preserve">saß</t>
  </si>
  <si>
    <t xml:space="preserve">vector length in this toy example (the paper uses 512)</t>
  </si>
  <si>
    <t xml:space="preserve">Sentence to embed — type any vocabulary tokens into the three yellow cells (e.g. 'the', 'cat', 'sat'):</t>
  </si>
  <si>
    <t xml:space="preserve">Token</t>
  </si>
  <si>
    <t xml:space="preserve">Row # in table (MATCH)</t>
  </si>
  <si>
    <t xml:space="preserve">Step 1 — look up each token's row (INDEX)</t>
  </si>
  <si>
    <t xml:space="preserve">Step 2 — multiply by √d_model</t>
  </si>
  <si>
    <t xml:space="preserve">NOTE:  Why multiply by √d_model? The paper states the scaling but not the reason. The common interpretation: learned embeddings start out small, while positional encodings (next sheet) are sines/cosines of size up to 1. Scaling up the embeddings keeps the word's meaning from being drowned out when the two are added.</t>
  </si>
  <si>
    <t xml:space="preserve">Example 2 (moderate):  which tokens are most alike? (cosine similarity on the table)</t>
  </si>
  <si>
    <t xml:space="preserve">Cosine similarity (see sheet 01, Tool 2) close to +1 means 'pointing the same way'. Notice that in a SHARED vocabulary an English word and its German translation can end up neighbours — one reason the paper shares one embedding table across both languages.</t>
  </si>
  <si>
    <t xml:space="preserve">Token pair</t>
  </si>
  <si>
    <t xml:space="preserve">cat vs Katze</t>
  </si>
  <si>
    <t xml:space="preserve">the vs die</t>
  </si>
  <si>
    <t xml:space="preserve">sat vs saß</t>
  </si>
  <si>
    <t xml:space="preserve">cat vs sat</t>
  </si>
  <si>
    <t xml:space="preserve">the vs Katze</t>
  </si>
  <si>
    <t xml:space="preserve">Example 3 (moderate):  how big is the real table, and what does weight sharing save?</t>
  </si>
  <si>
    <t xml:space="preserve">§3.4: 'we share the same weight matrix between the two embedding layers and the pre-softmax linear transformation'. One table is used three times: encoder input, decoder input, and to score the next word at the output (sheet 12).</t>
  </si>
  <si>
    <t xml:space="preserve">Vocabulary size</t>
  </si>
  <si>
    <t xml:space="preserve">§5.1: 'about 37000 tokens' (EN–DE)</t>
  </si>
  <si>
    <t xml:space="preserve">base model</t>
  </si>
  <si>
    <t xml:space="preserve">Parameters in one table</t>
  </si>
  <si>
    <t xml:space="preserve">rows × columns</t>
  </si>
  <si>
    <t xml:space="preserve">Memory at 4 bytes each (MB)</t>
  </si>
  <si>
    <t xml:space="preserve">32-bit floats</t>
  </si>
  <si>
    <t xml:space="preserve">Parameters saved by sharing</t>
  </si>
  <si>
    <t xml:space="preserve">three separate tables would need 3×; sharing uses 1×</t>
  </si>
  <si>
    <t xml:space="preserve">Share of base model (65M)</t>
  </si>
  <si>
    <t xml:space="preserve">the embedding table alone is ~29% of the base model's 65 million parameters (Table 3)</t>
  </si>
  <si>
    <t xml:space="preserve">Q1. Why use sub-word tokens instead of whole words?</t>
  </si>
  <si>
    <t xml:space="preserve">Answer: A fixed, manageable vocabulary that can still spell rare or unseen words from pieces.</t>
  </si>
  <si>
    <t xml:space="preserve">Q2. What is an embedding, physically?</t>
  </si>
  <si>
    <t xml:space="preserve">Answer: Just a row of numbers looked up from a learned table.</t>
  </si>
  <si>
    <t xml:space="preserve">Q3. Name the three places the paper uses the same embedding matrix.</t>
  </si>
  <si>
    <t xml:space="preserve">Answer: Encoder input embedding, decoder input embedding, and the final linear layer before softmax.</t>
  </si>
  <si>
    <t xml:space="preserve">04 · Positional Encoding — telling the model the ORDER of words</t>
  </si>
  <si>
    <t xml:space="preserve">Paper: §3.5 Positional Encoding; Table 3 row (E)</t>
  </si>
  <si>
    <t xml:space="preserve">BIG IDEA:  Attention treats a sentence like a bag of words — 'dog bites man' and 'man bites dog' look identical. So the paper ADDS a unique wave pattern to each position's vector, like stamping each word with a timestamp.</t>
  </si>
  <si>
    <t xml:space="preserve">1. Why it's needed</t>
  </si>
  <si>
    <t xml:space="preserve">Self-attention computes a weighted blend where the weights depend only on WHAT the words are, not WHERE they are. Shuffle the words and each word gets exactly the same result (just in shuffled order). RNNs knew order for free because they read left to right; the Transformer does not, so order must be injected.</t>
  </si>
  <si>
    <t xml:space="preserve">ANALOGY:  A clock. The second hand spins fast, the minute hand slower, the hour hand slowest. Reading all hands together tells you the exact time. Each pair of dimensions in the positional encoding is one 'hand', rotating at its own speed as you move along the sentence.</t>
  </si>
  <si>
    <t xml:space="preserve">2. The formula</t>
  </si>
  <si>
    <t xml:space="preserve">PE(pos, 2i) = sin( pos / 10000^(2i / d_model) )        PE(pos, 2i+1) = cos( pos / 10000^(2i / d_model) )</t>
  </si>
  <si>
    <t xml:space="preserve">pos</t>
  </si>
  <si>
    <t xml:space="preserve">Position of the word in the sentence: 0, 1, 2, …</t>
  </si>
  <si>
    <t xml:space="preserve">any</t>
  </si>
  <si>
    <t xml:space="preserve">i</t>
  </si>
  <si>
    <t xml:space="preserve">Index of the sin/cos PAIR: dimensions (0,1) are pair i=0, (2,3) are i=1, …</t>
  </si>
  <si>
    <t xml:space="preserve">0 … 255</t>
  </si>
  <si>
    <t xml:space="preserve">2i, 2i+1</t>
  </si>
  <si>
    <t xml:space="preserve">Even dimensions use sin, odd dimensions use cos</t>
  </si>
  <si>
    <t xml:space="preserve">10000^(2i/d_model)</t>
  </si>
  <si>
    <t xml:space="preserve">How slowly this pair rotates. i=0 → divide by 1 (fast); last pair → divide by ~10000 (slow)</t>
  </si>
  <si>
    <t xml:space="preserve">wavelength</t>
  </si>
  <si>
    <t xml:space="preserve">Distance (in positions) for one full cycle = 2π × 10000^(2i/d_model): from 2π up to about 10000·2π</t>
  </si>
  <si>
    <t xml:space="preserve">2π … ≈10000·2π</t>
  </si>
  <si>
    <t xml:space="preserve">Once computed, the positional encoding is simply ADDED to the (scaled) word embedding: input = √d_model·E[token] + PE[pos]. Same length (d_model), so they can be summed element by element.</t>
  </si>
  <si>
    <t xml:space="preserve">Example 1 (simplest):  d_model = 4, positions 0 to 5 — every step expanded</t>
  </si>
  <si>
    <t xml:space="preserve">With d_model = 4 there are 2 pairs: i = 0 (dims 1–2) rotates at speed 1; i = 1 (dims 3–4) rotates 100× slower because 10000^(2/4) = 100.</t>
  </si>
  <si>
    <t xml:space="preserve">change to 6 or 8 and the frequencies below update</t>
  </si>
  <si>
    <t xml:space="preserve">Base constant</t>
  </si>
  <si>
    <t xml:space="preserve">the paper's 10000</t>
  </si>
  <si>
    <t xml:space="preserve">Divisor for pair i=0</t>
  </si>
  <si>
    <t xml:space="preserve">10000^(0/d_model) = 1</t>
  </si>
  <si>
    <t xml:space="preserve">Divisor for pair i=1</t>
  </si>
  <si>
    <t xml:space="preserve">10000^(2/d_model) = 100 when d_model = 4</t>
  </si>
  <si>
    <t xml:space="preserve">angle₀ = pos/div₀</t>
  </si>
  <si>
    <t xml:space="preserve">dim1 = sin(angle₀)</t>
  </si>
  <si>
    <t xml:space="preserve">dim2 = cos(angle₀)</t>
  </si>
  <si>
    <t xml:space="preserve">angle₁ = pos/div₁</t>
  </si>
  <si>
    <t xml:space="preserve">dim3 = sin(angle₁)</t>
  </si>
  <si>
    <t xml:space="preserve">dim4 = cos(angle₁)</t>
  </si>
  <si>
    <t xml:space="preserve">pos 2, dim 1</t>
  </si>
  <si>
    <t xml:space="preserve">pos 2, dim 3</t>
  </si>
  <si>
    <t xml:space="preserve">Look down the columns: dims 1–2 swing quickly through positive and negative values (the 'second hand'); dims 3–4 barely move over 6 positions (the 'hour hand'). Every row is a different combination — a unique fingerprint for that position.</t>
  </si>
  <si>
    <t xml:space="preserve">Example 2 (moderate):  adding position to the words 'the cat sat' → the real encoder input X</t>
  </si>
  <si>
    <t xml:space="preserve">This is the exact input the encoder's first layer sees. It takes the scaled embeddings from sheet 03 (green) and adds the positional encodings for positions 0, 1, 2 from the table above. This X feeds sheets 05 → 06 → 08 → 10 → 11.</t>
  </si>
  <si>
    <t xml:space="preserve">√d·E[token] (from sheet 03)</t>
  </si>
  <si>
    <t xml:space="preserve">PE[pos 0,1,2]</t>
  </si>
  <si>
    <t xml:space="preserve">pos 0</t>
  </si>
  <si>
    <t xml:space="preserve">X = √d·E + PE   (encoder input)</t>
  </si>
  <si>
    <t xml:space="preserve">cat, dim 2</t>
  </si>
  <si>
    <t xml:space="preserve">NOTE:  The paper also applies dropout (rate 0.1) to this sum during training (§5.4). We leave it out here so the numbers are deterministic; see sheet 15.</t>
  </si>
  <si>
    <t xml:space="preserve">Example 3 (moderate):  d_model = 8, positions 0–15 — the wave pattern (heat-map + chart)</t>
  </si>
  <si>
    <t xml:space="preserve">four sin/cos pairs</t>
  </si>
  <si>
    <t xml:space="preserve">pos \ dim</t>
  </si>
  <si>
    <t xml:space="preserve">dim 1 (sin, i=0)</t>
  </si>
  <si>
    <t xml:space="preserve">dim 2 (cos, i=0)</t>
  </si>
  <si>
    <t xml:space="preserve">dim 3 (sin, i=1)</t>
  </si>
  <si>
    <t xml:space="preserve">dim 4 (cos, i=1)</t>
  </si>
  <si>
    <t xml:space="preserve">dim 5 (sin, i=2)</t>
  </si>
  <si>
    <t xml:space="preserve">dim 6 (cos, i=2)</t>
  </si>
  <si>
    <t xml:space="preserve">dim 7 (sin, i=3)</t>
  </si>
  <si>
    <t xml:space="preserve">dim 8 (cos, i=3)</t>
  </si>
  <si>
    <t xml:space="preserve">Wavelengths for this d_model = 8 table (positions per full cycle):</t>
  </si>
  <si>
    <t xml:space="preserve">Pair i</t>
  </si>
  <si>
    <t xml:space="preserve">Divisor 10000^(2i/d)</t>
  </si>
  <si>
    <t xml:space="preserve">Wavelength = 2π × divisor</t>
  </si>
  <si>
    <t xml:space="preserve">repeats every ~6 positions</t>
  </si>
  <si>
    <t xml:space="preserve">every ~63 positions</t>
  </si>
  <si>
    <t xml:space="preserve">every ~628 positions</t>
  </si>
  <si>
    <t xml:space="preserve">every ~6,283 positions</t>
  </si>
  <si>
    <t xml:space="preserve">Example 4 (moderate):  why sin &amp; cos? — shifting position is a simple rotation</t>
  </si>
  <si>
    <t xml:space="preserve">§3.5: 'for any fixed offset k, PE(pos+k) can be represented as a linear function of PE(pos)'. Here is that claim verified with numbers. For one sin/cos pair with frequency ω, moving forward k positions is the same as multiplying by a 2×2 ROTATION matrix that depends only on k, never on pos. That makes 'three words to the left' an easy pattern for attention to learn.</t>
  </si>
  <si>
    <t xml:space="preserve">[ sin(ω(p+k)) , cos(ω(p+k)) ]  =  [ sin(ωp)·cos(ωk) + cos(ωp)·sin(ωk) ,  cos(ωp)·cos(ωk) − sin(ωp)·sin(ωk) ]</t>
  </si>
  <si>
    <t xml:space="preserve">pos p</t>
  </si>
  <si>
    <t xml:space="preserve">offset k</t>
  </si>
  <si>
    <t xml:space="preserve">frequency ω</t>
  </si>
  <si>
    <t xml:space="preserve">ω = 1 / 10000^(2i/d_model); i = 0 gives ω = 1</t>
  </si>
  <si>
    <t xml:space="preserve">sin(ωp)</t>
  </si>
  <si>
    <t xml:space="preserve">cos(ωp)</t>
  </si>
  <si>
    <t xml:space="preserve">cos(ωk)</t>
  </si>
  <si>
    <t xml:space="preserve">rotation matrix entry — depends on k only</t>
  </si>
  <si>
    <t xml:space="preserve">sin(ωk)</t>
  </si>
  <si>
    <t xml:space="preserve">Direct: compute at p+k</t>
  </si>
  <si>
    <t xml:space="preserve">Via rotation of PE(p)</t>
  </si>
  <si>
    <t xml:space="preserve">Equal?</t>
  </si>
  <si>
    <t xml:space="preserve">sin component</t>
  </si>
  <si>
    <t xml:space="preserve">cos component</t>
  </si>
  <si>
    <t xml:space="preserve">Bonus: the dot product PE(p)·PE(p+k) = Σ cos(ωᵢ·k) depends only on the distance k, not on where you are. Check with the d_model = 8 table above:</t>
  </si>
  <si>
    <t xml:space="preserve">Distance k</t>
  </si>
  <si>
    <t xml:space="preserve">PE(0) · PE(0+k)</t>
  </si>
  <si>
    <t xml:space="preserve">PE(5) · PE(5+k)</t>
  </si>
  <si>
    <t xml:space="preserve">The two columns match: similarity between positions is a function of their distance only.</t>
  </si>
  <si>
    <t xml:space="preserve">NOTE:  Table 3 row (E): replacing sinusoids with LEARNED position embeddings gave nearly identical BLEU (25.7 vs 25.8). They kept sinusoids because they 'may allow the model to extrapolate to sequence lengths longer than the ones encountered during training'.</t>
  </si>
  <si>
    <t xml:space="preserve">Q1. If you shuffled the input words and removed positional encodings, what would self-attention output?</t>
  </si>
  <si>
    <t xml:space="preserve">Answer: The same vectors, just shuffled — it cannot tell order.</t>
  </si>
  <si>
    <t xml:space="preserve">Q2. Why use many frequencies instead of one?</t>
  </si>
  <si>
    <t xml:space="preserve">Answer: One wave repeats quickly and positions would collide; combining fast and slow waves gives every position a unique pattern (like clock hands).</t>
  </si>
  <si>
    <t xml:space="preserve">Q3. Is the positional encoding learned?</t>
  </si>
  <si>
    <t xml:space="preserve">Answer: No — it is a fixed formula. (A learned version worked equally well.)</t>
  </si>
  <si>
    <t xml:space="preserve">05 · Queries, Keys and Values — attention as a 'soft' dictionary lookup</t>
  </si>
  <si>
    <t xml:space="preserve">Paper: §3.2 Attention ('mapping a query and a set of key-value pairs to an output'), §3.2.2 projections W_Q, W_K, W_V</t>
  </si>
  <si>
    <t xml:space="preserve">BIG IDEA:  Attention is a search. Each word sends out a QUERY ('what am I looking for?'), every word advertises a KEY ('what do I contain?'), and each word also carries a VALUE ('what I will hand over if you pick me'). The answer is a blend of values, weighted by how well each key matches the query.</t>
  </si>
  <si>
    <t xml:space="preserve">§3.2 in the paper's words: 'An attention function can be described as mapping a query and a set of key-value pairs to an output… The output is computed as a weighted sum of the values, where the weight assigned to each value is computed by a compatibility function of the query with the corresponding key.'</t>
  </si>
  <si>
    <t xml:space="preserve">ANALOGY:  A library. Your QUERY is the question in your head. Each book's KEY is the label on its spine. Its VALUE is the content inside. A normal dictionary returns exactly one book (hard lookup). Attention reads a little from every book, more from the ones whose labels match your question best (soft lookup).</t>
  </si>
  <si>
    <t xml:space="preserve">Example 1 (simplest):  a fruit shop with 3 items</t>
  </si>
  <si>
    <t xml:space="preserve">Keys describe each fruit with 2 numbers [sweet, crunchy]. Values are the prices. Our query says 'I want SWEET' = [1, 0]. (No √d_k scaling yet — that arrives on sheet 06.)</t>
  </si>
  <si>
    <t xml:space="preserve">Query q  ('sweet, please')</t>
  </si>
  <si>
    <t xml:space="preserve">Keys K</t>
  </si>
  <si>
    <t xml:space="preserve">Values V (price)</t>
  </si>
  <si>
    <t xml:space="preserve">price</t>
  </si>
  <si>
    <t xml:space="preserve">Step 1</t>
  </si>
  <si>
    <t xml:space="preserve">Score = how well the query matches each key = dot product q · kᵢ.</t>
  </si>
  <si>
    <t xml:space="preserve">q · k</t>
  </si>
  <si>
    <t xml:space="preserve">Step 2</t>
  </si>
  <si>
    <t xml:space="preserve">Softmax turns the scores into attention weights that add up to 1.</t>
  </si>
  <si>
    <t xml:space="preserve">e^score</t>
  </si>
  <si>
    <t xml:space="preserve">e^s</t>
  </si>
  <si>
    <t xml:space="preserve">total</t>
  </si>
  <si>
    <t xml:space="preserve">Weights</t>
  </si>
  <si>
    <t xml:space="preserve">weight</t>
  </si>
  <si>
    <t xml:space="preserve">Step 3</t>
  </si>
  <si>
    <t xml:space="preserve">Output = weighted sum of the values = Σ weightᵢ × valueᵢ.</t>
  </si>
  <si>
    <t xml:space="preserve">Soft answer</t>
  </si>
  <si>
    <t xml:space="preserve">a blend: mostly mango's price, a bit of apple's, a little carrot's</t>
  </si>
  <si>
    <t xml:space="preserve">Hard lookup</t>
  </si>
  <si>
    <t xml:space="preserve">an ordinary dictionary would return ONLY the best match's value</t>
  </si>
  <si>
    <t xml:space="preserve">Why soft instead of hard? A blend can be improved a tiny bit at a time by nudging numbers (it is differentiable), which is how neural networks learn. A hard pick jumps abruptly and can't be trained by gradients.</t>
  </si>
  <si>
    <t xml:space="preserve">TRY IT:  Change the query to [0, 1] ('crunchy, please') and watch the weight move to carrot and the answer drop towards 10.</t>
  </si>
  <si>
    <t xml:space="preserve">Where do Q, K and V come from?  Three learned 'lenses' applied to the same words</t>
  </si>
  <si>
    <t xml:space="preserve">Q = X · W_Q        K = X · W_K        V = X · W_V</t>
  </si>
  <si>
    <t xml:space="preserve">In self-attention there is no separate shop or library: the SAME sentence plays all three roles. Each word's vector x is multiplied by three different learned weight matrices, giving three different views of it. W_Q learns 'what should this word look for?', W_K 'how should this word describe itself to others?', and W_V 'what information should it pass on?'.</t>
  </si>
  <si>
    <t xml:space="preserve">X</t>
  </si>
  <si>
    <t xml:space="preserve">The input: one row per word (n × d_model)</t>
  </si>
  <si>
    <t xml:space="preserve">n × 512</t>
  </si>
  <si>
    <t xml:space="preserve">W_Q, W_K</t>
  </si>
  <si>
    <t xml:space="preserve">Learned matrices producing queries and keys (d_model × d_k)</t>
  </si>
  <si>
    <t xml:space="preserve">512 × 64 per head</t>
  </si>
  <si>
    <t xml:space="preserve">W_V</t>
  </si>
  <si>
    <t xml:space="preserve">Learned matrix producing values (d_model × d_v)</t>
  </si>
  <si>
    <t xml:space="preserve">Q, K, V</t>
  </si>
  <si>
    <t xml:space="preserve">Queries, keys, values: one row per word</t>
  </si>
  <si>
    <t xml:space="preserve">n × 64 per head</t>
  </si>
  <si>
    <t xml:space="preserve">Example 2 (moderate):  real Q, K, V for 'the cat sat' (single head, d_k = d_model = 4)</t>
  </si>
  <si>
    <t xml:space="preserve">X comes live from sheet 04 (embedding + position). The weight matrices below are made up but fixed; in a real model they are learned. Every entry of Q, K and V is one dot product (row of X · column of W).</t>
  </si>
  <si>
    <t xml:space="preserve">X (from sheet 04)</t>
  </si>
  <si>
    <t xml:space="preserve">W_Q (4 × 4)</t>
  </si>
  <si>
    <t xml:space="preserve">W_K (4 × 4)</t>
  </si>
  <si>
    <t xml:space="preserve">q1</t>
  </si>
  <si>
    <t xml:space="preserve">q2</t>
  </si>
  <si>
    <t xml:space="preserve">q3</t>
  </si>
  <si>
    <t xml:space="preserve">q4</t>
  </si>
  <si>
    <t xml:space="preserve">k1</t>
  </si>
  <si>
    <t xml:space="preserve">k2</t>
  </si>
  <si>
    <t xml:space="preserve">k3</t>
  </si>
  <si>
    <t xml:space="preserve">k4</t>
  </si>
  <si>
    <t xml:space="preserve">W_V (4 × 4)</t>
  </si>
  <si>
    <t xml:space="preserve">v1</t>
  </si>
  <si>
    <t xml:space="preserve">v2</t>
  </si>
  <si>
    <t xml:space="preserve">v3</t>
  </si>
  <si>
    <t xml:space="preserve">v4</t>
  </si>
  <si>
    <t xml:space="preserve">Q = X · W_Q</t>
  </si>
  <si>
    <t xml:space="preserve">K = X · W_K</t>
  </si>
  <si>
    <t xml:space="preserve">V = X · W_V</t>
  </si>
  <si>
    <t xml:space="preserve">Show the work for the word 'cat' (row 2):</t>
  </si>
  <si>
    <t xml:space="preserve">Q[cat, q1]</t>
  </si>
  <si>
    <t xml:space="preserve">Q[cat, q2]</t>
  </si>
  <si>
    <t xml:space="preserve">Q[cat, q3]</t>
  </si>
  <si>
    <t xml:space="preserve">Q[cat, q4]</t>
  </si>
  <si>
    <t xml:space="preserve">K[cat, k1]</t>
  </si>
  <si>
    <t xml:space="preserve">K[cat, k2]</t>
  </si>
  <si>
    <t xml:space="preserve">NOTE:  The paper's linear projections may include bias terms; the paper does not specify, and we omit them for clarity. Sheet 06 now uses these Q, K, V to compute attention.</t>
  </si>
  <si>
    <t xml:space="preserve">Q1. In the fruit example, what would a query of [1, 1] return?</t>
  </si>
  <si>
    <t xml:space="preserve">Answer: Scores 2, 2, 2 → equal weights 1/3 → (30+10+20)/3 = 20: it likes everything equally.</t>
  </si>
  <si>
    <t xml:space="preserve">Q2. Why three separate matrices rather than using X directly as Q, K and V?</t>
  </si>
  <si>
    <t xml:space="preserve">Answer: So a word can look for something different from what it advertises, and pass on something different again — more flexible, and learnable.</t>
  </si>
  <si>
    <t xml:space="preserve">06 · Scaled Dot-Product Attention — the paper's Equation (1)</t>
  </si>
  <si>
    <t xml:space="preserve">Paper: §3.2.1, Equation (1), Figure 2 (left), footnote 4</t>
  </si>
  <si>
    <t xml:space="preserve">Attention(Q, K, V)  =  softmax( Q · Kᵀ  /  √d_k ) · V</t>
  </si>
  <si>
    <t xml:space="preserve">BIG IDEA:  Four moves: (1) score every query against every key with a dot product, (2) shrink the scores by √d_k, (3) softmax each row into weights, (4) blend the values with those weights.</t>
  </si>
  <si>
    <t xml:space="preserve">Q</t>
  </si>
  <si>
    <t xml:space="preserve">Queries — one row per word that is 'asking'</t>
  </si>
  <si>
    <t xml:space="preserve">n × d_k</t>
  </si>
  <si>
    <t xml:space="preserve">K</t>
  </si>
  <si>
    <t xml:space="preserve">Keys — one row per word being 'asked about'</t>
  </si>
  <si>
    <t xml:space="preserve">Kᵀ</t>
  </si>
  <si>
    <t xml:space="preserve">K transposed, so Q·Kᵀ gives an n × n table of every query-key dot product</t>
  </si>
  <si>
    <t xml:space="preserve">d_k × n</t>
  </si>
  <si>
    <t xml:space="preserve">√d_k</t>
  </si>
  <si>
    <t xml:space="preserve">Square root of the key length; the scaling factor</t>
  </si>
  <si>
    <t xml:space="preserve">√64 = 8</t>
  </si>
  <si>
    <t xml:space="preserve">softmax(…)</t>
  </si>
  <si>
    <t xml:space="preserve">Applied to each ROW separately: each word's weights sum to 1</t>
  </si>
  <si>
    <t xml:space="preserve">V</t>
  </si>
  <si>
    <t xml:space="preserve">Values — what gets blended</t>
  </si>
  <si>
    <t xml:space="preserve">n × d_v</t>
  </si>
  <si>
    <t xml:space="preserve">Step</t>
  </si>
  <si>
    <t xml:space="preserve">Operation</t>
  </si>
  <si>
    <t xml:space="preserve">Shape (paper sizes)</t>
  </si>
  <si>
    <t xml:space="preserve">Plain meaning</t>
  </si>
  <si>
    <t xml:space="preserve">1</t>
  </si>
  <si>
    <t xml:space="preserve">S = Q · Kᵀ</t>
  </si>
  <si>
    <t xml:space="preserve">n × n</t>
  </si>
  <si>
    <t xml:space="preserve">how much each word matches each other word</t>
  </si>
  <si>
    <t xml:space="preserve">2</t>
  </si>
  <si>
    <t xml:space="preserve">S ÷ √d_k</t>
  </si>
  <si>
    <t xml:space="preserve">tame the size of the scores</t>
  </si>
  <si>
    <t xml:space="preserve">3</t>
  </si>
  <si>
    <t xml:space="preserve">A = softmax(rows)</t>
  </si>
  <si>
    <t xml:space="preserve">attention weights; each row sums to 1</t>
  </si>
  <si>
    <t xml:space="preserve">4</t>
  </si>
  <si>
    <t xml:space="preserve">Output = A · V</t>
  </si>
  <si>
    <t xml:space="preserve">each word's new vector = weighted blend of values</t>
  </si>
  <si>
    <t xml:space="preserve">Example 1 (simplest):  3 words, d_k = 2, Q/K/V given directly</t>
  </si>
  <si>
    <t xml:space="preserve">d1</t>
  </si>
  <si>
    <t xml:space="preserve">d2</t>
  </si>
  <si>
    <t xml:space="preserve">I</t>
  </si>
  <si>
    <t xml:space="preserve">love</t>
  </si>
  <si>
    <t xml:space="preserve">pizza</t>
  </si>
  <si>
    <t xml:space="preserve">d_k</t>
  </si>
  <si>
    <t xml:space="preserve">length of each query/key vector</t>
  </si>
  <si>
    <t xml:space="preserve">Scores S = Q·Kᵀ. Row = the word asking, column = the word being looked at.</t>
  </si>
  <si>
    <t xml:space="preserve">S[I→I]</t>
  </si>
  <si>
    <t xml:space="preserve">S[I→love]</t>
  </si>
  <si>
    <t xml:space="preserve">S[I→pizza]</t>
  </si>
  <si>
    <t xml:space="preserve">S[love→I]</t>
  </si>
  <si>
    <t xml:space="preserve">S[love→love]</t>
  </si>
  <si>
    <t xml:space="preserve">S[love→pizza]</t>
  </si>
  <si>
    <t xml:space="preserve">S[pizza→I]</t>
  </si>
  <si>
    <t xml:space="preserve">S[pizza→love]</t>
  </si>
  <si>
    <t xml:space="preserve">S[pizza→pizza]</t>
  </si>
  <si>
    <t xml:space="preserve">Divide every score by √d_k = √2 ≈ 1.414.</t>
  </si>
  <si>
    <t xml:space="preserve">Softmax each row (exp → divide by the row total). Darker blue = more attention.</t>
  </si>
  <si>
    <t xml:space="preserve">exp(score)</t>
  </si>
  <si>
    <t xml:space="preserve">Attention weights A</t>
  </si>
  <si>
    <t xml:space="preserve">row total</t>
  </si>
  <si>
    <t xml:space="preserve">Row 'I'</t>
  </si>
  <si>
    <t xml:space="preserve">Step 4</t>
  </si>
  <si>
    <t xml:space="preserve">Output = A · V: each word's new vector is a blend of all value vectors.</t>
  </si>
  <si>
    <t xml:space="preserve">Out[I, d1]</t>
  </si>
  <si>
    <t xml:space="preserve">Out[I, d2]</t>
  </si>
  <si>
    <t xml:space="preserve">Out[love, d1]</t>
  </si>
  <si>
    <t xml:space="preserve">Out[love, d2]</t>
  </si>
  <si>
    <t xml:space="preserve">Out[pizza, d1]</t>
  </si>
  <si>
    <t xml:space="preserve">Out[pizza, d2]</t>
  </si>
  <si>
    <t xml:space="preserve">Reading the result: 'I' attends most to itself (its query [1,0] matches key 'I' = [2,0] best), so its output is pulled towards V[I] = [1,0]. 'pizza' spreads attention between 'love' and 'pizza'. Every word now carries information gathered from the others — that is 'context'.</t>
  </si>
  <si>
    <t xml:space="preserve">Example 2 (moderate):  the real Q, K, V of 'the cat sat' from sheet 05 (d_k = 4)</t>
  </si>
  <si>
    <t xml:space="preserve">Q (sheet 05)</t>
  </si>
  <si>
    <t xml:space="preserve">K (sheet 05)</t>
  </si>
  <si>
    <t xml:space="preserve">V (sheet 05)</t>
  </si>
  <si>
    <t xml:space="preserve">√4 = 2</t>
  </si>
  <si>
    <t xml:space="preserve">S[cat→the]</t>
  </si>
  <si>
    <t xml:space="preserve">S[cat→cat]</t>
  </si>
  <si>
    <t xml:space="preserve">S[cat→sat]</t>
  </si>
  <si>
    <t xml:space="preserve">Out[cat, dim 1]</t>
  </si>
  <si>
    <t xml:space="preserve">Out[cat, dim 2]</t>
  </si>
  <si>
    <t xml:space="preserve">Out[cat, dim 3]</t>
  </si>
  <si>
    <t xml:space="preserve">Out[cat, dim 4]</t>
  </si>
  <si>
    <t xml:space="preserve">Each row of the heat-map says where that word 'looked'. With made-up weights the pattern has no linguistic meaning, but in a trained model rows show sensible links — e.g. a pronoun attending to the noun it refers to (the paper's appendix, Figures 3–5).</t>
  </si>
  <si>
    <t xml:space="preserve">Why divide by √d_k?  (footnote 4, worked out)</t>
  </si>
  <si>
    <t xml:space="preserve">Footnote 4: if the entries of q and k are independent random numbers with mean 0 and variance 1, then q·k = Σ qᵢkᵢ has mean 0 and variance d_k. So its typical size (std) is √d_k. With d_k = 64 scores are typically ±8; with 512 they'd be ±22.6. Big scores push softmax into 'winner-takes-all', where its gradient is almost zero and learning stalls. Dividing by √d_k brings the typical score back to about ±1, whatever d_k is.</t>
  </si>
  <si>
    <t xml:space="preserve">Below: three keys scoring +1 std, 0 and −1 std against a query. The softmax 'gradient' for the top item is p(1−p) — when p ≈ 1 it collapses to ≈ 0, meaning the model gets almost no signal to learn from.</t>
  </si>
  <si>
    <t xml:space="preserve">typical score size √d_k</t>
  </si>
  <si>
    <t xml:space="preserve">top weight WITHOUT scaling</t>
  </si>
  <si>
    <t xml:space="preserve">gradient p(1−p) without</t>
  </si>
  <si>
    <t xml:space="preserve">top weight WITH scaling</t>
  </si>
  <si>
    <t xml:space="preserve">gradient p(1−p) with</t>
  </si>
  <si>
    <t xml:space="preserve">Without scaling, at d_k = 64 the gradient is ~0.0003 — over 600× weaker than with scaling (≈0.22). With scaling, the row is identical for every d_k: the problem is solved regardless of size.</t>
  </si>
  <si>
    <t xml:space="preserve">NOTE:  The paper compares two ways to score: ADDITIVE attention (a small neural network scores each pair) and DOT-PRODUCT attention (what they use). Similar in theory, but dot-product is 'much faster and more space-efficient in practice' because it is just matrix multiplication, which GPUs are built for. Without the √d_k scaling, additive attention won for large d_k; the paper suspects large dot products are the cause and scales them 'to counteract this effect'.</t>
  </si>
  <si>
    <t xml:space="preserve">Q1. What does one row of the attention-weight matrix represent?</t>
  </si>
  <si>
    <t xml:space="preserve">Answer: How one word divides its attention (100%) across all the words in the sentence.</t>
  </si>
  <si>
    <t xml:space="preserve">Q2. Why is the output shape n × d_v and not n × n?</t>
  </si>
  <si>
    <t xml:space="preserve">Answer: The n × n weights are multiplied by V (n × d_v), giving each word a d_v-length blended vector.</t>
  </si>
  <si>
    <t xml:space="preserve">Q3. If d_k were 256, what would you divide by?</t>
  </si>
  <si>
    <t xml:space="preserve">Answer: √256 = 16.</t>
  </si>
  <si>
    <t xml:space="preserve">07 · Masking — stopping the decoder from peeking at future words</t>
  </si>
  <si>
    <t xml:space="preserve">Paper: §3.1 (Decoder), §3.2.3 third bullet, Figure 2 ('Mask (opt.)')</t>
  </si>
  <si>
    <t xml:space="preserve">BIG IDEA:  During training the decoder is shown the whole correct translation at once (fast!), but each position must predict its next word WITHOUT seeing it. A mask sets the scores for 'future' words to −∞, so softmax gives them exactly 0 weight.</t>
  </si>
  <si>
    <t xml:space="preserve">ANALOGY:  A student working through an answer sheet with a piece of card covering every line below the one they're on. They may read everything above; nothing below.</t>
  </si>
  <si>
    <t xml:space="preserve">1. Shifted right: what each decoder position sees and predicts</t>
  </si>
  <si>
    <t xml:space="preserve">§3.1: the output embeddings are 'offset by one position', and masking ensures 'the predictions for position i can depend only on the known outputs at positions less than i'. For the target 'Die Katze saß':</t>
  </si>
  <si>
    <t xml:space="preserve">Position</t>
  </si>
  <si>
    <t xml:space="preserve">Decoder INPUT at this position</t>
  </si>
  <si>
    <t xml:space="preserve">Allowed to look at</t>
  </si>
  <si>
    <t xml:space="preserve">Must PREDICT</t>
  </si>
  <si>
    <t xml:space="preserve">&lt;s&gt; (start token)</t>
  </si>
  <si>
    <t xml:space="preserve">Die</t>
  </si>
  <si>
    <t xml:space="preserve">&lt;s&gt;, Die</t>
  </si>
  <si>
    <t xml:space="preserve">&lt;s&gt;, Die, Katze</t>
  </si>
  <si>
    <t xml:space="preserve">&lt;s&gt;, Die, Katze, saß</t>
  </si>
  <si>
    <t xml:space="preserve">&lt;/s&gt; (end)</t>
  </si>
  <si>
    <t xml:space="preserve">This is called 'teacher forcing': all four predictions are trained in parallel in one pass, which is a big part of why the Transformer trains fast. At translation time (inference) the decoder really does go one word at a time.</t>
  </si>
  <si>
    <t xml:space="preserve">masked score[i, j] = score[i, j]  if j ≤ i,   −∞ if j &gt; i      then softmax as usual</t>
  </si>
  <si>
    <t xml:space="preserve">Example 1 (simplest):  3 × 3 scores, apply the mask, softmax</t>
  </si>
  <si>
    <t xml:space="preserve">Raw scores (given)</t>
  </si>
  <si>
    <t xml:space="preserve">Mask (0 = allowed)</t>
  </si>
  <si>
    <t xml:space="preserve">In Excel we use −1,000,000,000 for −∞ (displayed as −∞). e^(−1,000,000,000) is 0 to every decimal place.</t>
  </si>
  <si>
    <t xml:space="preserve">Masked scores = S + mask</t>
  </si>
  <si>
    <t xml:space="preserve">Masked attention weights</t>
  </si>
  <si>
    <t xml:space="preserve">Row &lt;s&gt;</t>
  </si>
  <si>
    <t xml:space="preserve">Row Die</t>
  </si>
  <si>
    <t xml:space="preserve">The weight matrix is 'lower-triangular': everything above the diagonal is exactly 0. Notice the raw score for &lt;s&gt;→Katze was the biggest (3), yet it gets zero weight — the mask wins.</t>
  </si>
  <si>
    <t xml:space="preserve">Example 2 (moderate):  full masked attention for '&lt;s&gt; Die Katze saß' (d_k = 2)</t>
  </si>
  <si>
    <t xml:space="preserve">Masked</t>
  </si>
  <si>
    <t xml:space="preserve">Masked weights A</t>
  </si>
  <si>
    <t xml:space="preserve">Out[Katze, d1]</t>
  </si>
  <si>
    <t xml:space="preserve">Row '&lt;s&gt;' can only see itself, so its output is exactly V[&lt;s&gt;] = [1, 0]. Row 'Katze' blends &lt;s&gt;, Die and Katze — but never saß.</t>
  </si>
  <si>
    <t xml:space="preserve">TRY IT:  Change V for 'saß' (the yellow [5, −5]) to anything. Only the LAST output row changes — proof that no earlier position can see the future.</t>
  </si>
  <si>
    <t xml:space="preserve">Q1. Why not just feed the decoder one word at a time during training too?</t>
  </si>
  <si>
    <t xml:space="preserve">Answer: It would be sequential and slow. Masking lets all positions train in parallel while still being fair.</t>
  </si>
  <si>
    <t xml:space="preserve">Q2. What is e^(−∞)?</t>
  </si>
  <si>
    <t xml:space="preserve">Answer: 0 — so masked positions receive exactly zero attention weight.</t>
  </si>
  <si>
    <t xml:space="preserve">Q3. Does the ENCODER use a mask like this?</t>
  </si>
  <si>
    <t xml:space="preserve">Answer: No. The encoder sees the whole input sentence, so every word may attend to every word (padding masks aside).</t>
  </si>
  <si>
    <t xml:space="preserve">08 · Multi-Head Attention — several attentions in parallel, each with its own 'lens'</t>
  </si>
  <si>
    <t xml:space="preserve">Paper: §3.2.2, Figure 2 (right), Table 3 rows (A) and (B)</t>
  </si>
  <si>
    <t xml:space="preserve">MultiHead(Q, K, V) = Concat(head₁, …, head_h) · W_O,    where headᵢ = Attention(Q·W_Qᵢ, K·W_Kᵢ, V·W_Vᵢ)</t>
  </si>
  <si>
    <t xml:space="preserve">BIG IDEA:  One attention can only produce one blend per word — it has to average everything it cares about. With h heads, each head projects the words into its own smaller space and attends independently (one might track grammar, another meaning, another the neighbouring word). The results are glued side by side and mixed by W_O.</t>
  </si>
  <si>
    <t xml:space="preserve">ANALOGY:  A panel of 8 specialists reading the same sentence: a grammarian, a detective tracking who-did-what, a poet listening for tone… Each writes a short note; the notes are stapled together and an editor (W_O) combines them into one report.</t>
  </si>
  <si>
    <t xml:space="preserve">h</t>
  </si>
  <si>
    <t xml:space="preserve">Number of heads</t>
  </si>
  <si>
    <t xml:space="preserve">8 (base), 16 (big)</t>
  </si>
  <si>
    <t xml:space="preserve">d_k = d_v</t>
  </si>
  <si>
    <t xml:space="preserve">Size of each head's queries/keys/values = d_model / h</t>
  </si>
  <si>
    <t xml:space="preserve">512 / 8 = 64</t>
  </si>
  <si>
    <t xml:space="preserve">W_Qᵢ, W_Kᵢ</t>
  </si>
  <si>
    <t xml:space="preserve">Head i's own projection matrices</t>
  </si>
  <si>
    <t xml:space="preserve">512 × 64 each</t>
  </si>
  <si>
    <t xml:space="preserve">W_Vᵢ</t>
  </si>
  <si>
    <t xml:space="preserve">Head i's value projection</t>
  </si>
  <si>
    <t xml:space="preserve">512 × 64</t>
  </si>
  <si>
    <t xml:space="preserve">Concat</t>
  </si>
  <si>
    <t xml:space="preserve">Place the h outputs side by side: h × d_v columns</t>
  </si>
  <si>
    <t xml:space="preserve">8 × 64 = 512</t>
  </si>
  <si>
    <t xml:space="preserve">W_O</t>
  </si>
  <si>
    <t xml:space="preserve">Final mixing matrix</t>
  </si>
  <si>
    <t xml:space="preserve">512 × 512</t>
  </si>
  <si>
    <t xml:space="preserve">Key point from the paper: 'Due to the reduced dimension of each head, the total computational cost is similar to that of single-head attention with full dimensionality.' 8 heads × 64 dims costs about the same as 1 head × 512.</t>
  </si>
  <si>
    <t xml:space="preserve">Example 1 (simplest possible real case):  'the cat sat', d_model = 4, h = 2 heads, d_k = d_v = 2</t>
  </si>
  <si>
    <t xml:space="preserve">X is live from sheet 04. Each head gets its own 4 × 2 weight matrices (here: head 1 uses the first two columns of sheet 05's matrices, head 2 the last two). Everything else is exactly sheet 06's recipe, done twice.</t>
  </si>
  <si>
    <t xml:space="preserve">d_k per head</t>
  </si>
  <si>
    <t xml:space="preserve">d_model / h = 4 / 2</t>
  </si>
  <si>
    <t xml:space="preserve">Head 1</t>
  </si>
  <si>
    <t xml:space="preserve">W_Q1 (4×2)</t>
  </si>
  <si>
    <t xml:space="preserve">W_K1 (4×2)</t>
  </si>
  <si>
    <t xml:space="preserve">W_V1 (4×2)</t>
  </si>
  <si>
    <t xml:space="preserve">Q1 = X·W_Q1</t>
  </si>
  <si>
    <t xml:space="preserve">K1 = X·W_K1</t>
  </si>
  <si>
    <t xml:space="preserve">V1 = X·W_V1</t>
  </si>
  <si>
    <t xml:space="preserve">Scores ÷ √d_k (head 1)</t>
  </si>
  <si>
    <t xml:space="preserve">Head 1 weights</t>
  </si>
  <si>
    <t xml:space="preserve">head1 = A·V1</t>
  </si>
  <si>
    <t xml:space="preserve">head1[cat, a]</t>
  </si>
  <si>
    <t xml:space="preserve">Head 2</t>
  </si>
  <si>
    <t xml:space="preserve">W_Q2 (4×2)</t>
  </si>
  <si>
    <t xml:space="preserve">W_K2 (4×2)</t>
  </si>
  <si>
    <t xml:space="preserve">W_V2 (4×2)</t>
  </si>
  <si>
    <t xml:space="preserve">Q2 = X·W_Q2</t>
  </si>
  <si>
    <t xml:space="preserve">K2 = X·W_K2</t>
  </si>
  <si>
    <t xml:space="preserve">V2 = X·W_V2</t>
  </si>
  <si>
    <t xml:space="preserve">Scores ÷ √d_k (head 2)</t>
  </si>
  <si>
    <t xml:space="preserve">Head 2 weights</t>
  </si>
  <si>
    <t xml:space="preserve">head2 = A·V2</t>
  </si>
  <si>
    <t xml:space="preserve">head2[cat, a]</t>
  </si>
  <si>
    <t xml:space="preserve">Compare the two heat-maps: the two heads distribute attention DIFFERENTLY over the same sentence. That diversity is the whole point of multiple heads.</t>
  </si>
  <si>
    <t xml:space="preserve">Concatenate and mix with W_O</t>
  </si>
  <si>
    <t xml:space="preserve">Concat(head1, head2)</t>
  </si>
  <si>
    <t xml:space="preserve">W_O (4 × 4)</t>
  </si>
  <si>
    <t xml:space="preserve">h1.a</t>
  </si>
  <si>
    <t xml:space="preserve">h1.b</t>
  </si>
  <si>
    <t xml:space="preserve">h2.a</t>
  </si>
  <si>
    <t xml:space="preserve">h2.b</t>
  </si>
  <si>
    <t xml:space="preserve">MultiHead output = Concat · W_O</t>
  </si>
  <si>
    <t xml:space="preserve">Shape check: 3 words × (2 heads × 2) = 3 × 4, back to d_model — so the result can be added to X in the residual connection (sheet 10). This output feeds sheet 10.</t>
  </si>
  <si>
    <t xml:space="preserve">Example 2 (moderate):  the real base model — parameters and cost</t>
  </si>
  <si>
    <t xml:space="preserve">h (heads)</t>
  </si>
  <si>
    <t xml:space="preserve">n (words)</t>
  </si>
  <si>
    <t xml:space="preserve">a typical sentence length for the cost comparison</t>
  </si>
  <si>
    <t xml:space="preserve">d_k = d_v = d_model / h</t>
  </si>
  <si>
    <t xml:space="preserve">W_Q + W_K + W_V, all heads</t>
  </si>
  <si>
    <t xml:space="preserve">3 matrices × h heads × (d_model × d_k)</t>
  </si>
  <si>
    <t xml:space="preserve">(h·d_v) × d_model</t>
  </si>
  <si>
    <t xml:space="preserve">Total weights per attention block</t>
  </si>
  <si>
    <t xml:space="preserve">equals 4 × d_model² = 1,048,576 (biases, if any, add only ~2k)</t>
  </si>
  <si>
    <t xml:space="preserve">Score multiplications, 8 heads</t>
  </si>
  <si>
    <t xml:space="preserve">h × n² × d_k</t>
  </si>
  <si>
    <t xml:space="preserve">Score multiplications, 1 big head</t>
  </si>
  <si>
    <t xml:space="preserve">n² × d_model — identical: splitting into heads is 'free'</t>
  </si>
  <si>
    <t xml:space="preserve">What the paper found when it varied the heads (Table 3, rows A &amp; B — English→German dev set)</t>
  </si>
  <si>
    <t xml:space="preserve">Setting</t>
  </si>
  <si>
    <t xml:space="preserve">d_v</t>
  </si>
  <si>
    <t xml:space="preserve">PPL (lower better)</t>
  </si>
  <si>
    <t xml:space="preserve">BLEU (higher better)</t>
  </si>
  <si>
    <t xml:space="preserve">base</t>
  </si>
  <si>
    <t xml:space="preserve">(A)</t>
  </si>
  <si>
    <t xml:space="preserve">(B) smaller keys</t>
  </si>
  <si>
    <t xml:space="preserve">Source: the paper's Table 3. Reading: one head is 0.9 BLEU worse than the best; too many tiny heads (32 × 16) also hurts. Shrinking only the key size (rows B) hurts too — 'determining compatibility is not easy'.</t>
  </si>
  <si>
    <t xml:space="preserve">Q1. With d_model = 512 and h = 8, why is d_k 64?</t>
  </si>
  <si>
    <t xml:space="preserve">Answer: Each head gets an equal slice: 512 / 8 = 64.</t>
  </si>
  <si>
    <t xml:space="preserve">Q2. Why is multi-head no more expensive than single-head?</t>
  </si>
  <si>
    <t xml:space="preserve">Answer: h heads × d_k = d_model, so the total multiplications are the same; they're just split into parallel groups.</t>
  </si>
  <si>
    <t xml:space="preserve">Q3. What does W_O do?</t>
  </si>
  <si>
    <t xml:space="preserve">Answer: Mixes the concatenated head outputs back into one d_model-sized vector per word.</t>
  </si>
  <si>
    <t xml:space="preserve">09 · The Three Uses of Attention in the Transformer</t>
  </si>
  <si>
    <t xml:space="preserve">Paper: §3.2.3 Applications of Attention in our Model</t>
  </si>
  <si>
    <t xml:space="preserve">BIG IDEA:  The same attention machine is used in three places. What changes is only WHERE the queries, keys and values come from, and whether a mask is applied.</t>
  </si>
  <si>
    <t xml:space="preserve">Type</t>
  </si>
  <si>
    <t xml:space="preserve">Where</t>
  </si>
  <si>
    <t xml:space="preserve">Queries from</t>
  </si>
  <si>
    <t xml:space="preserve">Keys &amp; values from</t>
  </si>
  <si>
    <t xml:space="preserve">Mask?</t>
  </si>
  <si>
    <t xml:space="preserve">Question it answers</t>
  </si>
  <si>
    <t xml:space="preserve">Encoder self-attention</t>
  </si>
  <si>
    <t xml:space="preserve">every encoder layer</t>
  </si>
  <si>
    <t xml:space="preserve">encoder (previous layer)</t>
  </si>
  <si>
    <t xml:space="preserve">encoder (same place)</t>
  </si>
  <si>
    <t xml:space="preserve">no</t>
  </si>
  <si>
    <t xml:space="preserve">'Which input words help me understand this input word?'</t>
  </si>
  <si>
    <t xml:space="preserve">Masked decoder self-attention</t>
  </si>
  <si>
    <t xml:space="preserve">every decoder layer (1st sub-layer)</t>
  </si>
  <si>
    <t xml:space="preserve">decoder</t>
  </si>
  <si>
    <t xml:space="preserve">yes (causal)</t>
  </si>
  <si>
    <t xml:space="preserve">'Which of the words I've already written matter now?'</t>
  </si>
  <si>
    <t xml:space="preserve">Encoder–decoder (cross) attention</t>
  </si>
  <si>
    <t xml:space="preserve">every decoder layer (2nd sub-layer)</t>
  </si>
  <si>
    <t xml:space="preserve">decoder (previous layer)</t>
  </si>
  <si>
    <t xml:space="preserve">ENCODER OUTPUT (the 'memory')</t>
  </si>
  <si>
    <t xml:space="preserve">'Which input words should I translate right now?'</t>
  </si>
  <si>
    <t xml:space="preserve">§3.2.3: in encoder-decoder attention 'the queries come from the previous decoder layer, and the memory keys and values come from the output of the encoder. This allows every position in the decoder to attend over all positions in the input sequence.'</t>
  </si>
  <si>
    <t xml:space="preserve">ANALOGY:  Encoder self-attention = students discussing the English text among themselves. Masked self-attention = the writer re-reading their own half-written German sentence. Cross-attention = the writer glancing back at the English original to decide the next word.</t>
  </si>
  <si>
    <t xml:space="preserve">Example 1 (simplest):  cross-attention — the decoder is about to write 'Katze'</t>
  </si>
  <si>
    <t xml:space="preserve">Encoder memory for 'the cat sat' (2 numbers per word, made up). The decoder's current query comes from the German side. For simplicity we use the memory directly as keys AND values; in the real model each is first multiplied by its own W_K / W_V.</t>
  </si>
  <si>
    <t xml:space="preserve">Encoder memory (keys = values)</t>
  </si>
  <si>
    <t xml:space="preserve">Decoder query ('Katze' slot)</t>
  </si>
  <si>
    <t xml:space="preserve">m1</t>
  </si>
  <si>
    <t xml:space="preserve">m2</t>
  </si>
  <si>
    <t xml:space="preserve">query</t>
  </si>
  <si>
    <t xml:space="preserve">Score ÷ √d_k</t>
  </si>
  <si>
    <t xml:space="preserve">Weight</t>
  </si>
  <si>
    <t xml:space="preserve">score</t>
  </si>
  <si>
    <t xml:space="preserve">score the</t>
  </si>
  <si>
    <t xml:space="preserve">score cat</t>
  </si>
  <si>
    <t xml:space="preserve">score sat</t>
  </si>
  <si>
    <t xml:space="preserve">Context vector = Σ weight × memory</t>
  </si>
  <si>
    <t xml:space="preserve">The decoder 'looks' mostly at 'cat' — exactly the English word it should be translating into 'Katze'. In real models these cross-attention maps often look like a soft word-alignment between the two languages.</t>
  </si>
  <si>
    <t xml:space="preserve">Example 2 (moderate):  shapes and counts in the full base model</t>
  </si>
  <si>
    <t xml:space="preserve">n = input length (words)</t>
  </si>
  <si>
    <t xml:space="preserve">m = output length so far</t>
  </si>
  <si>
    <t xml:space="preserve">N = layers per stack</t>
  </si>
  <si>
    <t xml:space="preserve">h = heads</t>
  </si>
  <si>
    <t xml:space="preserve">Attention type</t>
  </si>
  <si>
    <t xml:space="preserve">Score matrix shape</t>
  </si>
  <si>
    <t xml:space="preserve">Entries per head</t>
  </si>
  <si>
    <t xml:space="preserve">Blocks in the model</t>
  </si>
  <si>
    <t xml:space="preserve">Heads in the model</t>
  </si>
  <si>
    <t xml:space="preserve">Encoder–decoder attention</t>
  </si>
  <si>
    <t xml:space="preserve">TOTAL</t>
  </si>
  <si>
    <t xml:space="preserve">Note the cross-attention matrix is m × n — it need not be square, because the German and English sentences can have different lengths. The base model contains 18 attention blocks and 144 heads in total.</t>
  </si>
  <si>
    <t xml:space="preserve">Q1. In cross-attention, which side supplies the keys and values?</t>
  </si>
  <si>
    <t xml:space="preserve">Answer: The encoder output (the input sentence).</t>
  </si>
  <si>
    <t xml:space="preserve">Q2. Which of the three attentions needs a causal mask?</t>
  </si>
  <si>
    <t xml:space="preserve">Answer: Only the decoder's self-attention.</t>
  </si>
  <si>
    <t xml:space="preserve">10 · Add &amp; Norm — residual connections and layer normalisation</t>
  </si>
  <si>
    <t xml:space="preserve">Paper: §3.1 ('LayerNorm(x + Sublayer(x))'), references [11] residual learning and [1] layer normalization</t>
  </si>
  <si>
    <t xml:space="preserve">output of every sub-layer  =  LayerNorm( x + Sublayer(x) )</t>
  </si>
  <si>
    <t xml:space="preserve">BIG IDEA:  Two stabilisers wrapped around EVERY attention and feed-forward block. ADD (residual): keep the input and add the sub-layer's correction on top. NORM: rescale each word's vector to mean 0 and spread 1, so numbers never drift out of control across 6 + 6 layers.</t>
  </si>
  <si>
    <t xml:space="preserve">ANALOGY:  Residual = editing a document with 'track changes': you keep the original text and add edits on top, rather than rewriting it from scratch each time. LayerNorm = re-centring and re-scaling a photo's brightness after each edit so it never ends up all white or all black.</t>
  </si>
  <si>
    <t xml:space="preserve">1. The LayerNorm formula</t>
  </si>
  <si>
    <t xml:space="preserve">LN(v) = γ ⊙ (v − μ) / √(σ² + ε)  +  β        μ = mean of v's entries,   σ² = their variance</t>
  </si>
  <si>
    <t xml:space="preserve">v</t>
  </si>
  <si>
    <t xml:space="preserve">One word's vector (d_model numbers)</t>
  </si>
  <si>
    <t xml:space="preserve">512 numbers</t>
  </si>
  <si>
    <t xml:space="preserve">μ, σ²</t>
  </si>
  <si>
    <t xml:space="preserve">Mean and variance across THAT word's own numbers (not across words or sentences)</t>
  </si>
  <si>
    <t xml:space="preserve">computed</t>
  </si>
  <si>
    <t xml:space="preserve">ε</t>
  </si>
  <si>
    <t xml:space="preserve">Tiny number to avoid dividing by zero; the paper doesn't state it — 1e-6 is common</t>
  </si>
  <si>
    <t xml:space="preserve">not stated</t>
  </si>
  <si>
    <t xml:space="preserve">γ, β</t>
  </si>
  <si>
    <t xml:space="preserve">Learned per-dimension scale and shift (start at 1 and 0)</t>
  </si>
  <si>
    <t xml:space="preserve">learned</t>
  </si>
  <si>
    <t xml:space="preserve">Example 1 (simplest):  one word, d_model = 4</t>
  </si>
  <si>
    <t xml:space="preserve">x (sub-layer input)</t>
  </si>
  <si>
    <t xml:space="preserve">Sublayer(x) (e.g. attention output)</t>
  </si>
  <si>
    <t xml:space="preserve">ADD</t>
  </si>
  <si>
    <t xml:space="preserve">Residual: add input and sub-layer output element by element.</t>
  </si>
  <si>
    <t xml:space="preserve">v = x + Sublayer(x)</t>
  </si>
  <si>
    <t xml:space="preserve">NORM</t>
  </si>
  <si>
    <t xml:space="preserve">Compute this word's mean and variance, then standardise.</t>
  </si>
  <si>
    <t xml:space="preserve">mean μ</t>
  </si>
  <si>
    <t xml:space="preserve">variance σ²</t>
  </si>
  <si>
    <t xml:space="preserve">average squared distance from μ (divide by 4)</t>
  </si>
  <si>
    <t xml:space="preserve">assumed (the paper does not specify)</t>
  </si>
  <si>
    <t xml:space="preserve">√(σ² + ε)</t>
  </si>
  <si>
    <t xml:space="preserve">(v − μ) ÷ √(σ²+ε)</t>
  </si>
  <si>
    <t xml:space="preserve">γ (scale)</t>
  </si>
  <si>
    <t xml:space="preserve">β (shift)</t>
  </si>
  <si>
    <t xml:space="preserve">LayerNorm output</t>
  </si>
  <si>
    <t xml:space="preserve">Check: mean of output</t>
  </si>
  <si>
    <t xml:space="preserve">0 (when γ=1, β=0)</t>
  </si>
  <si>
    <t xml:space="preserve">Check: variance</t>
  </si>
  <si>
    <t xml:space="preserve">≈ 1</t>
  </si>
  <si>
    <t xml:space="preserve">Example 2 (moderate):  Add &amp; Norm after multi-head attention for 'the cat sat'</t>
  </si>
  <si>
    <t xml:space="preserve">x = the encoder input X (sheet 04); Sublayer(x) = the multi-head attention output (sheet 08). Each word (row) is normalised on its own. This result feeds the feed-forward network on sheet 11.</t>
  </si>
  <si>
    <t xml:space="preserve">x = X (sheet 04)</t>
  </si>
  <si>
    <t xml:space="preserve">Sublayer(x) = MultiHead (sheet 08)</t>
  </si>
  <si>
    <t xml:space="preserve">√(σ²+ε)</t>
  </si>
  <si>
    <t xml:space="preserve">LayerNorm(x + MultiHead(x))   (γ = 1, β = 0)</t>
  </si>
  <si>
    <t xml:space="preserve">cat, dim 1</t>
  </si>
  <si>
    <t xml:space="preserve">Example 3 (moderate):  why residual connections make deep stacks trainable</t>
  </si>
  <si>
    <t xml:space="preserve">ILLUSTRATION: when learning, a correction signal (gradient) travels backwards through every layer and gets multiplied by each layer's local 'sensitivity'. Without a residual path, 12 sub-layers mean 12 multiplications — if each is below 1 the signal vanishes. With x + Sublayer(x), there is always a direct path with factor exactly 1 (the '+ x' part), so the signal can reach the bottom layers intact.</t>
  </si>
  <si>
    <t xml:space="preserve">Sensitivity per sub-layer</t>
  </si>
  <si>
    <t xml:space="preserve">assumed for illustration</t>
  </si>
  <si>
    <t xml:space="preserve">Sub-layers passed through</t>
  </si>
  <si>
    <t xml:space="preserve">Signal via plain stack (sens^L)</t>
  </si>
  <si>
    <t xml:space="preserve">Signal via the residual 'highway'</t>
  </si>
  <si>
    <t xml:space="preserve">NOTE:  The paper uses 'post-norm' (normalise AFTER adding). Many later models moved LayerNorm before the sub-layer ('pre-norm'), which trains more stably at great depth — but the idea of Add &amp; Norm is unchanged.</t>
  </si>
  <si>
    <t xml:space="preserve">Q1. LayerNorm normalises across what, exactly?</t>
  </si>
  <si>
    <t xml:space="preserve">Answer: Across the d_model numbers of ONE word's vector — each word, each layer, separately.</t>
  </si>
  <si>
    <t xml:space="preserve">Q2. Why must every sub-layer output exactly d_model = 512 numbers?</t>
  </si>
  <si>
    <t xml:space="preserve">Answer: So it can be added to its input x in the residual connection.</t>
  </si>
  <si>
    <t xml:space="preserve">11 · Position-wise Feed-Forward Network — each word 'thinks' on its own</t>
  </si>
  <si>
    <t xml:space="preserve">Paper: §3.3, Equation (2)</t>
  </si>
  <si>
    <t xml:space="preserve">FFN(x) = max(0, x·W₁ + b₁) · W₂ + b₂</t>
  </si>
  <si>
    <t xml:space="preserve">BIG IDEA:  Attention lets words SHARE information. The feed-forward network then processes each word INDIVIDUALLY: expand its vector to 4× the size, switch off the negative parts (ReLU), and compress back. The same weights are used for every position.</t>
  </si>
  <si>
    <t xml:space="preserve">ANALOGY:  After a group meeting (attention), everyone goes back to their own desk and works through what they heard, using the same method (same weights) — but each on their own notes.</t>
  </si>
  <si>
    <t xml:space="preserve">One word's vector (after Add &amp; Norm)</t>
  </si>
  <si>
    <t xml:space="preserve">512</t>
  </si>
  <si>
    <t xml:space="preserve">W₁, b₁</t>
  </si>
  <si>
    <t xml:space="preserve">Expand: d_model → d_ff</t>
  </si>
  <si>
    <t xml:space="preserve">512 × 2048, 2048</t>
  </si>
  <si>
    <t xml:space="preserve">max(0, ·)</t>
  </si>
  <si>
    <t xml:space="preserve">ReLU: negative numbers become 0</t>
  </si>
  <si>
    <t xml:space="preserve">W₂, b₂</t>
  </si>
  <si>
    <t xml:space="preserve">Compress: d_ff → d_model</t>
  </si>
  <si>
    <t xml:space="preserve">2048 × 512, 512</t>
  </si>
  <si>
    <t xml:space="preserve">position-wise</t>
  </si>
  <si>
    <t xml:space="preserve">Applied separately and identically to every word; 'two convolutions with kernel size 1'</t>
  </si>
  <si>
    <t xml:space="preserve">Example 1 (simplest):  d_model = 2, d_ff = 4 (the paper's 4× expansion ratio)</t>
  </si>
  <si>
    <t xml:space="preserve">W₁ (2 × 4)</t>
  </si>
  <si>
    <t xml:space="preserve">h1</t>
  </si>
  <si>
    <t xml:space="preserve">h2</t>
  </si>
  <si>
    <t xml:space="preserve">h3</t>
  </si>
  <si>
    <t xml:space="preserve">h4</t>
  </si>
  <si>
    <t xml:space="preserve">b₁</t>
  </si>
  <si>
    <t xml:space="preserve">Expand: pre = x·W₁ + b₁ (4 numbers).</t>
  </si>
  <si>
    <t xml:space="preserve">pre-activation</t>
  </si>
  <si>
    <t xml:space="preserve">ReLU: keep positives, zero out negatives.</t>
  </si>
  <si>
    <t xml:space="preserve">hidden = max(0, pre)</t>
  </si>
  <si>
    <t xml:space="preserve">Compress: out = hidden·W₂ + b₂ (back to 2 numbers).</t>
  </si>
  <si>
    <t xml:space="preserve">W₂ (4 × 2)</t>
  </si>
  <si>
    <t xml:space="preserve">b₂</t>
  </si>
  <si>
    <t xml:space="preserve">o1</t>
  </si>
  <si>
    <t xml:space="preserve">o2</t>
  </si>
  <si>
    <t xml:space="preserve">FFN(x)</t>
  </si>
  <si>
    <t xml:space="preserve">Notice h3 and h4 were negative, so ReLU switched them off — the large numbers in rows h3 and h4 of W₂ had no effect this time. For a different input they might switch on. This on/off behaviour is what lets the network represent complicated, non-linear patterns.</t>
  </si>
  <si>
    <t xml:space="preserve">Example 2 (moderate):  the FFN applied to all three words of 'the cat sat' (d_model = 4, d_ff = 8)</t>
  </si>
  <si>
    <t xml:space="preserve">Input = the Add &amp; Norm output from sheet 10. The SAME W₁, b₁, W₂, b₂ are applied to each word (that is what 'position-wise' means). Afterwards comes another Add &amp; Norm — completing one full encoder layer.</t>
  </si>
  <si>
    <t xml:space="preserve">Input (sheet 10)</t>
  </si>
  <si>
    <t xml:space="preserve">W₁ (4 × 8)</t>
  </si>
  <si>
    <t xml:space="preserve">h5</t>
  </si>
  <si>
    <t xml:space="preserve">h6</t>
  </si>
  <si>
    <t xml:space="preserve">h7</t>
  </si>
  <si>
    <t xml:space="preserve">h8</t>
  </si>
  <si>
    <t xml:space="preserve">b₁ (8)</t>
  </si>
  <si>
    <t xml:space="preserve">hidden = max(0, x·W₁ + b₁)   (3 × 8)</t>
  </si>
  <si>
    <t xml:space="preserve">cat, h1</t>
  </si>
  <si>
    <t xml:space="preserve">W₂ (8 × 4)</t>
  </si>
  <si>
    <t xml:space="preserve">b₂ (4)</t>
  </si>
  <si>
    <t xml:space="preserve">FFN output (3 × 4)</t>
  </si>
  <si>
    <t xml:space="preserve">Second Add &amp; Norm → the output of ENCODER LAYER 1</t>
  </si>
  <si>
    <t xml:space="preserve">v = input + FFN</t>
  </si>
  <si>
    <t xml:space="preserve">ENCODER LAYER 1 OUTPUT</t>
  </si>
  <si>
    <t xml:space="preserve">You have now computed, by formula, one complete encoder layer: embeddings (03) → + position (04) → Q, K, V (05) → multi-head attention (08) → Add &amp; Norm (10) → feed-forward → Add &amp; Norm. The real encoder repeats this 6 times with different weights, feeding each layer's output into the next.</t>
  </si>
  <si>
    <t xml:space="preserve">Example 3 (moderate):  how many weights does the FFN hold?</t>
  </si>
  <si>
    <t xml:space="preserve">d_ff</t>
  </si>
  <si>
    <t xml:space="preserve">Weights per FFN</t>
  </si>
  <si>
    <t xml:space="preserve">W₁ + W₂ + b₁ + b₂ = 2·d_model·d_ff + d_ff + d_model</t>
  </si>
  <si>
    <t xml:space="preserve">Number of FFNs in the model</t>
  </si>
  <si>
    <t xml:space="preserve">one per encoder layer (6) and decoder layer (6)</t>
  </si>
  <si>
    <t xml:space="preserve">Total FFN weights</t>
  </si>
  <si>
    <t xml:space="preserve">about 25 million of the base model's 65 million — the FFNs are the single biggest block</t>
  </si>
  <si>
    <t xml:space="preserve">Q1. What does 'position-wise' mean?</t>
  </si>
  <si>
    <t xml:space="preserve">Answer: The same small network is applied separately to every word's vector.</t>
  </si>
  <si>
    <t xml:space="preserve">Q2. Why expand to 2048 and shrink back instead of staying at 512?</t>
  </si>
  <si>
    <t xml:space="preserve">Answer: The wider hidden layer gives room to detect many patterns (each ReLU unit is a detector) before summarising them.</t>
  </si>
  <si>
    <t xml:space="preserve">12 · From Vectors Back to Words — the output layer, softmax and beam search</t>
  </si>
  <si>
    <t xml:space="preserve">Paper: §3.4 (shared weights, pre-softmax linear transformation), §6.1 (beam size 4, length penalty α = 0.6)</t>
  </si>
  <si>
    <t xml:space="preserve">BIG IDEA:  The decoder's final vector for a position is compared (dot product) with EVERY token's embedding. The best matches get the highest scores ('logits'); softmax turns the logits into next-word probabilities. Then a search strategy picks the actual words.</t>
  </si>
  <si>
    <t xml:space="preserve">P(next token) = softmax( h · Eᵀ )        h = decoder's final vector,   E = the shared embedding table</t>
  </si>
  <si>
    <t xml:space="preserve">Because the same table E is used for input embeddings and here, 'is this output vector similar to the embedding of Katze?' is literally the question being asked (§3.4: 'we share the same weight matrix between the two embedding layers and the pre-softmax linear transformation').</t>
  </si>
  <si>
    <t xml:space="preserve">Example 1 (simplest):  scoring our 8-token vocabulary</t>
  </si>
  <si>
    <t xml:space="preserve">Pretend the decoder, having produced '&lt;s&gt; Die', outputs the vector h below for the next position. Each token's row of E comes live from sheet 03 (green).</t>
  </si>
  <si>
    <t xml:space="preserve">Decoder output h</t>
  </si>
  <si>
    <t xml:space="preserve">E rows (sheet 03)</t>
  </si>
  <si>
    <t xml:space="preserve">logit = h·E[token]</t>
  </si>
  <si>
    <t xml:space="preserve">e^logit</t>
  </si>
  <si>
    <t xml:space="preserve">probability</t>
  </si>
  <si>
    <t xml:space="preserve">logit Katze</t>
  </si>
  <si>
    <t xml:space="preserve">logit cat</t>
  </si>
  <si>
    <t xml:space="preserve">Most likely token</t>
  </si>
  <si>
    <t xml:space="preserve">greedy choice = the highest probability</t>
  </si>
  <si>
    <t xml:space="preserve">Notice English 'cat' is a close second: with a shared vocabulary, the model must LEARN not to output English tokens in a German sentence. In a trained model the logits are far larger and the right token dominates.</t>
  </si>
  <si>
    <t xml:space="preserve">Example 2 (moderate):  greedy search vs beam search (beam size 2)</t>
  </si>
  <si>
    <t xml:space="preserve">Greedy search takes the single best word at each step — but a good first word can lead to a poor sentence. Beam search keeps the B best partial sentences at every step (the paper uses B = 4) and compares complete sequences by their TOTAL probability (sum of log-probabilities). Toy probabilities below (inputs):</t>
  </si>
  <si>
    <t xml:space="preserve">Beam size B</t>
  </si>
  <si>
    <t xml:space="preserve">the paper uses 4; 2 keeps this example small</t>
  </si>
  <si>
    <t xml:space="preserve">Step 1 — probabilities of the first word:</t>
  </si>
  <si>
    <t xml:space="preserve">First word</t>
  </si>
  <si>
    <t xml:space="preserve">P(first word)</t>
  </si>
  <si>
    <t xml:space="preserve">Rank</t>
  </si>
  <si>
    <t xml:space="preserve">Kept by the beam?</t>
  </si>
  <si>
    <t xml:space="preserve">Eine</t>
  </si>
  <si>
    <t xml:space="preserve">Der</t>
  </si>
  <si>
    <t xml:space="preserve">Step 2 — probabilities of the second word given the first, and the score of each full sequence:</t>
  </si>
  <si>
    <t xml:space="preserve">First</t>
  </si>
  <si>
    <t xml:space="preserve">Second</t>
  </si>
  <si>
    <t xml:space="preserve">P(2nd | 1st)</t>
  </si>
  <si>
    <t xml:space="preserve">P(sequence)</t>
  </si>
  <si>
    <t xml:space="preserve">log P</t>
  </si>
  <si>
    <t xml:space="preserve">Beam keeps first?</t>
  </si>
  <si>
    <t xml:space="preserve">Greedy path?</t>
  </si>
  <si>
    <t xml:space="preserve">helper: greedy</t>
  </si>
  <si>
    <t xml:space="preserve">helper: beam</t>
  </si>
  <si>
    <t xml:space="preserve">Kater</t>
  </si>
  <si>
    <t xml:space="preserve">Hund</t>
  </si>
  <si>
    <t xml:space="preserve">Greedy result</t>
  </si>
  <si>
    <t xml:space="preserve">take the single best first word, then the best second word after it</t>
  </si>
  <si>
    <t xml:space="preserve">Greedy probability</t>
  </si>
  <si>
    <t xml:space="preserve">Beam result</t>
  </si>
  <si>
    <t xml:space="preserve">best complete sequence among those whose first word survived the beam</t>
  </si>
  <si>
    <t xml:space="preserve">Beam probability</t>
  </si>
  <si>
    <t xml:space="preserve">Greedy grabbed 'Die' (0.5) and got stuck with a weak continuation; the beam kept 'Eine' alive and found the far better 'Eine Katze'.</t>
  </si>
  <si>
    <t xml:space="preserve">Length penalty: stopping beam search from preferring short sentences</t>
  </si>
  <si>
    <t xml:space="preserve">Every extra word multiplies in another probability below 1, so longer sentences always look worse. The paper uses the length penalty from Wu et al. [38] with α = 0.6: divide log P by lp(Y) = ((5 + |Y|) / (5 + 1))^α.</t>
  </si>
  <si>
    <t xml:space="preserve">score(Y) = log P(Y) / lp(Y),        lp(Y) = ( (5 + |Y|) / 6 )^α</t>
  </si>
  <si>
    <t xml:space="preserve">α</t>
  </si>
  <si>
    <t xml:space="preserve">§6.1: length penalty α = 0.6</t>
  </si>
  <si>
    <t xml:space="preserve">Hypothesis</t>
  </si>
  <si>
    <t xml:space="preserve">Length |Y|</t>
  </si>
  <si>
    <t xml:space="preserve">log P(Y)</t>
  </si>
  <si>
    <t xml:space="preserve">lp(Y)</t>
  </si>
  <si>
    <t xml:space="preserve">score = log P / lp</t>
  </si>
  <si>
    <t xml:space="preserve">Winner?</t>
  </si>
  <si>
    <t xml:space="preserve">short translation</t>
  </si>
  <si>
    <t xml:space="preserve">complete translation</t>
  </si>
  <si>
    <t xml:space="preserve">Raw log P prefers the short one (−1.4 &gt; −1.5); after the penalty the complete translation wins. The paper also caps output length at input length + 50 and stops early when possible.</t>
  </si>
  <si>
    <t xml:space="preserve">Q1. Why is the output layer 'free' in terms of extra parameters?</t>
  </si>
  <si>
    <t xml:space="preserve">Answer: It reuses (the transpose of) the embedding table instead of learning a separate matrix.</t>
  </si>
  <si>
    <t xml:space="preserve">Q2. What does beam size 4 mean?</t>
  </si>
  <si>
    <t xml:space="preserve">Answer: At each step, keep the 4 highest-scoring partial translations.</t>
  </si>
  <si>
    <t xml:space="preserve">13 · How the Model Learns: Cross-Entropy Loss and Label Smoothing</t>
  </si>
  <si>
    <t xml:space="preserve">Paper: §5.4 Label Smoothing (ε_ls = 0.1), Table 3 (perplexity PPL), reference [36]</t>
  </si>
  <si>
    <t xml:space="preserve">BIG IDEA:  Training = show the model a sentence pair, ask it to predict each next word, and penalise it by −ln(probability it gave the correct word). Label smoothing tells the model the right answer is only '90% sure', which stops it becoming arrogantly over-confident.</t>
  </si>
  <si>
    <t xml:space="preserve">Loss = − Σ_tokens  q(token) · ln p(token)          hard target: q = 1 for the right word, 0 otherwise</t>
  </si>
  <si>
    <t xml:space="preserve">Label smoothing (ε):   q(right) = (1 − ε) + ε/K,     q(each other) = ε/K,     K = vocabulary size</t>
  </si>
  <si>
    <t xml:space="preserve">p</t>
  </si>
  <si>
    <t xml:space="preserve">The model's predicted probabilities (from softmax, sheet 12)</t>
  </si>
  <si>
    <t xml:space="preserve">q</t>
  </si>
  <si>
    <t xml:space="preserve">The target distribution we train towards</t>
  </si>
  <si>
    <t xml:space="preserve">ε_ls</t>
  </si>
  <si>
    <t xml:space="preserve">How much probability is spread evenly over all tokens</t>
  </si>
  <si>
    <t xml:space="preserve">0.1</t>
  </si>
  <si>
    <t xml:space="preserve">Number of tokens in the vocabulary</t>
  </si>
  <si>
    <t xml:space="preserve">≈ 37,000</t>
  </si>
  <si>
    <t xml:space="preserve">PPL</t>
  </si>
  <si>
    <t xml:space="preserve">Perplexity = e^(average loss): 'as uncertain as choosing among PPL equally likely tokens'</t>
  </si>
  <si>
    <t xml:space="preserve">4.92 (base, dev)</t>
  </si>
  <si>
    <t xml:space="preserve">Example 1 (simplest):  4-word vocabulary, correct answer 'Katze'</t>
  </si>
  <si>
    <t xml:space="preserve">ε (label smoothing)</t>
  </si>
  <si>
    <t xml:space="preserve">the paper's value</t>
  </si>
  <si>
    <t xml:space="preserve">K (vocabulary size)</t>
  </si>
  <si>
    <t xml:space="preserve">Targets</t>
  </si>
  <si>
    <t xml:space="preserve">hard (one-hot)</t>
  </si>
  <si>
    <t xml:space="preserve">smoothed</t>
  </si>
  <si>
    <t xml:space="preserve">Three models' predictions p</t>
  </si>
  <si>
    <t xml:space="preserve">A: over-confident, right</t>
  </si>
  <si>
    <t xml:space="preserve">B: calibrated, right</t>
  </si>
  <si>
    <t xml:space="preserve">C: over-confident, WRONG</t>
  </si>
  <si>
    <t xml:space="preserve">Model</t>
  </si>
  <si>
    <t xml:space="preserve">Hard loss = −ln p(Katze)</t>
  </si>
  <si>
    <t xml:space="preserve">Smoothed loss = −Σ q·ln p</t>
  </si>
  <si>
    <t xml:space="preserve">Which loss prefers it?</t>
  </si>
  <si>
    <t xml:space="preserve">C</t>
  </si>
  <si>
    <t xml:space="preserve">B, smoothed</t>
  </si>
  <si>
    <t xml:space="preserve">Plain hard loss rewards pushing p(Katze) to 0.997 (Model A). Label smoothing prefers B: once the model is right, extra confidence is punished because the smoothed target wants a little probability left on the alternatives. Paper: this 'hurts perplexity, as the model learns to be more unsure, but improves accuracy and BLEU score'.</t>
  </si>
  <si>
    <t xml:space="preserve">Best possible smoothed loss</t>
  </si>
  <si>
    <t xml:space="preserve">achieved only when p exactly equals q — you can never reach 0 with smoothing</t>
  </si>
  <si>
    <t xml:space="preserve">Example 2 (moderate):  averaging over a sentence, and what perplexity means</t>
  </si>
  <si>
    <t xml:space="preserve">The loss is averaged over every target token. Suppose while translating 'Die Katze saß .' the model gave the correct token these probabilities:</t>
  </si>
  <si>
    <t xml:space="preserve">p(correct token)</t>
  </si>
  <si>
    <t xml:space="preserve">.</t>
  </si>
  <si>
    <t xml:space="preserve">loss = −ln p</t>
  </si>
  <si>
    <t xml:space="preserve">Average loss (nats)</t>
  </si>
  <si>
    <t xml:space="preserve">Perplexity = e^avg</t>
  </si>
  <si>
    <t xml:space="preserve">as uncertain, on average, as picking among this many equally likely tokens</t>
  </si>
  <si>
    <t xml:space="preserve">Same thing: geometric mean of 1/p</t>
  </si>
  <si>
    <t xml:space="preserve">Reading the paper's perplexities (Table 3, per word-piece on the dev set)</t>
  </si>
  <si>
    <t xml:space="preserve">PPL in paper</t>
  </si>
  <si>
    <t xml:space="preserve">Average loss = ln(PPL)</t>
  </si>
  <si>
    <t xml:space="preserve">Average p(correct) implied (geometric)</t>
  </si>
  <si>
    <t xml:space="preserve">big</t>
  </si>
  <si>
    <t xml:space="preserve">(A) 1 head</t>
  </si>
  <si>
    <t xml:space="preserve">(D) no dropout</t>
  </si>
  <si>
    <t xml:space="preserve">Label smoothing at real scale</t>
  </si>
  <si>
    <t xml:space="preserve">K (real vocabulary)</t>
  </si>
  <si>
    <t xml:space="preserve">Target for the right token</t>
  </si>
  <si>
    <t xml:space="preserve">Target for each other token</t>
  </si>
  <si>
    <t xml:space="preserve">0.1 spread over 37,000 tokens: tiny each, but together 10%</t>
  </si>
  <si>
    <t xml:space="preserve">Q1. If the model gives the right word probability 1, what is the hard loss?</t>
  </si>
  <si>
    <t xml:space="preserve">Answer: −ln(1) = 0.</t>
  </si>
  <si>
    <t xml:space="preserve">Q2. Why does label smoothing make perplexity worse but BLEU better?</t>
  </si>
  <si>
    <t xml:space="preserve">Answer: Perplexity rewards confidence in the reference word; smoothing deliberately keeps the model less confident, which generalises better and helps beam search produce better translations.</t>
  </si>
  <si>
    <t xml:space="preserve">14 · Training Schedule: Adam and the Warm-up Learning Rate</t>
  </si>
  <si>
    <t xml:space="preserve">Paper: §5.2 Hardware and Schedule, §5.3 Optimizer, Equation (3)</t>
  </si>
  <si>
    <t xml:space="preserve">BIG IDEA:  Learning = repeatedly nudging every weight a little in the direction that lowers the loss. The LEARNING RATE sets the size of the nudge. The paper ramps it UP for the first 4,000 steps (warm-up), then slowly DOWN.</t>
  </si>
  <si>
    <t xml:space="preserve">lrate = d_model^(−0.5) · min( step^(−0.5) ,  step · warmup^(−1.5) )</t>
  </si>
  <si>
    <t xml:space="preserve">d_model^(−0.5)</t>
  </si>
  <si>
    <t xml:space="preserve">1/√d_model — bigger models take smaller steps</t>
  </si>
  <si>
    <t xml:space="preserve">1/√512 ≈ 0.0442</t>
  </si>
  <si>
    <t xml:space="preserve">step · warmup^(−1.5)</t>
  </si>
  <si>
    <t xml:space="preserve">Warm-up branch: grows in a straight line with the step number</t>
  </si>
  <si>
    <t xml:space="preserve">used while step &lt; 4000</t>
  </si>
  <si>
    <t xml:space="preserve">step^(−0.5)</t>
  </si>
  <si>
    <t xml:space="preserve">Decay branch: shrinks like 1/√step</t>
  </si>
  <si>
    <t xml:space="preserve">used after step 4000</t>
  </si>
  <si>
    <t xml:space="preserve">min(…)</t>
  </si>
  <si>
    <t xml:space="preserve">Whichever branch is smaller wins; they cross exactly at step = warmup</t>
  </si>
  <si>
    <t xml:space="preserve">warmup</t>
  </si>
  <si>
    <t xml:space="preserve">Number of warm-up steps</t>
  </si>
  <si>
    <t xml:space="preserve">4000</t>
  </si>
  <si>
    <t xml:space="preserve">ANALOGY:  Driving out of a car park: accelerate gently at first (the model's early guesses are wild, so big steps are dangerous), cruise, then ease off as you approach the destination to park precisely.</t>
  </si>
  <si>
    <t xml:space="preserve">Example 1 (simplest):  d_model = 4, warmup = 4, steps 1–12</t>
  </si>
  <si>
    <t xml:space="preserve">step</t>
  </si>
  <si>
    <t xml:space="preserve">warm-up branch step·warmup^−1.5</t>
  </si>
  <si>
    <t xml:space="preserve">decay branch step^−0.5</t>
  </si>
  <si>
    <t xml:space="preserve">min of the two</t>
  </si>
  <si>
    <t xml:space="preserve">× d_model^−0.5 = lrate</t>
  </si>
  <si>
    <t xml:space="preserve">phase</t>
  </si>
  <si>
    <t xml:space="preserve">step 2</t>
  </si>
  <si>
    <t xml:space="preserve">step 8</t>
  </si>
  <si>
    <t xml:space="preserve">Example 2 (moderate):  the paper's real schedule (d_model = 512, warmup = 4000)</t>
  </si>
  <si>
    <t xml:space="preserve">Peak learning rate (at step = warmup)</t>
  </si>
  <si>
    <t xml:space="preserve">i.e. 1/√(512 × 4000) ≈ 0.0007</t>
  </si>
  <si>
    <t xml:space="preserve">learning rate</t>
  </si>
  <si>
    <t xml:space="preserve">comment</t>
  </si>
  <si>
    <t xml:space="preserve">Chart data (steps 0 → 100,000 in 1,000s) is at the bottom of this sheet; the chart is drawn here:</t>
  </si>
  <si>
    <t xml:space="preserve">Example 3 (moderate):  Adam — one weight, three steps, fully expanded</t>
  </si>
  <si>
    <t xml:space="preserve">Adam doesn't just step down the slope (gradient g). It keeps a running average of recent gradients (momentum m, the 'direction') and of their squares (v, the 'bumpiness'), and divides one by the square root of the other, so every weight gets a sensibly sized step. Early averages start at 0 and are biased small, so they are corrected by dividing by (1 − βᵗ).</t>
  </si>
  <si>
    <t xml:space="preserve">m ← β₁·m + (1−β₁)·g     v ← β₂·v + (1−β₂)·g²     m̂ = m/(1−β₁ᵗ)     v̂ = v/(1−β₂ᵗ)     θ ← θ − lr · m̂ / (√v̂ + ε)</t>
  </si>
  <si>
    <t xml:space="preserve">β₁</t>
  </si>
  <si>
    <t xml:space="preserve">§5.3</t>
  </si>
  <si>
    <t xml:space="preserve">β₂</t>
  </si>
  <si>
    <t xml:space="preserve">§5.3 (note: 0.98, not the usual 0.999)</t>
  </si>
  <si>
    <t xml:space="preserve">lr (fixed here for clarity)</t>
  </si>
  <si>
    <t xml:space="preserve">starting weight θ₀</t>
  </si>
  <si>
    <t xml:space="preserve">t</t>
  </si>
  <si>
    <t xml:space="preserve">gradient g</t>
  </si>
  <si>
    <t xml:space="preserve">m</t>
  </si>
  <si>
    <t xml:space="preserve">m̂</t>
  </si>
  <si>
    <t xml:space="preserve">v̂</t>
  </si>
  <si>
    <t xml:space="preserve">step = lr·m̂/(√v̂+ε)</t>
  </si>
  <si>
    <t xml:space="preserve">θ after</t>
  </si>
  <si>
    <t xml:space="preserve">t = 1</t>
  </si>
  <si>
    <t xml:space="preserve">Notice step 1 moves the weight by exactly lr (0.001): Adam's first step is always about lr in size, whatever the gradient's scale. That self-normalisation is why Adam is robust.</t>
  </si>
  <si>
    <t xml:space="preserve">Example 4 (simple arithmetic):  checking the paper's training times</t>
  </si>
  <si>
    <t xml:space="preserve">Steps</t>
  </si>
  <si>
    <t xml:space="preserve">Seconds per step</t>
  </si>
  <si>
    <t xml:space="preserve">Total hours</t>
  </si>
  <si>
    <t xml:space="preserve">Total days</t>
  </si>
  <si>
    <t xml:space="preserve">Paper says</t>
  </si>
  <si>
    <t xml:space="preserve">12 hours</t>
  </si>
  <si>
    <t xml:space="preserve">3.5 days</t>
  </si>
  <si>
    <t xml:space="preserve">Each batch held about 25,000 source + 25,000 target tokens, on one machine with 8 NVIDIA P100 GPUs (§5.1–5.2).</t>
  </si>
  <si>
    <t xml:space="preserve">Q1. At which step is the learning rate highest?</t>
  </si>
  <si>
    <t xml:space="preserve">Answer: At step = warmup_steps (4000), where the two branches meet.</t>
  </si>
  <si>
    <t xml:space="preserve">Q2. Why warm up at all?</t>
  </si>
  <si>
    <t xml:space="preserve">Answer: Early in training the weights are random and Adam's statistics are unreliable; big steps then can derail training.</t>
  </si>
  <si>
    <t xml:space="preserve">Chart data: learning rate vs step (d_model and warmup from Example 2)</t>
  </si>
  <si>
    <t xml:space="preserve">lrate</t>
  </si>
  <si>
    <t xml:space="preserve">15 · Regularisation: Dropout, Label Smoothing and Checkpoint Averaging</t>
  </si>
  <si>
    <t xml:space="preserve">Paper: §5.4 (Residual Dropout P_drop = 0.1, Label Smoothing ε_ls = 0.1), §6.1 checkpoint averaging, Table 3 rows (C) (D)</t>
  </si>
  <si>
    <t xml:space="preserve">BIG IDEA:  A big model can memorise its training data instead of learning general rules (over-fitting). Regularisation adds deliberate handicaps during training so the model must learn robust patterns.</t>
  </si>
  <si>
    <t xml:space="preserve">1. Residual dropout</t>
  </si>
  <si>
    <t xml:space="preserve">§5.4: 'We apply dropout to the output of each sub-layer, before it is added to the sub-layer input and normalized. In addition, we apply dropout to the sums of the embeddings and the positional encodings in both the encoder and decoder stacks.' Dropout randomly sets a fraction P_drop of numbers to zero on each training step, so no single number can be relied on.</t>
  </si>
  <si>
    <t xml:space="preserve">x → Sublayer(x) → Dropout → (+ x) → LayerNorm</t>
  </si>
  <si>
    <t xml:space="preserve">ANALOGY:  A football team that trains with random players benched each session: everyone must learn to cover for everyone else, so the team never depends on one star.</t>
  </si>
  <si>
    <t xml:space="preserve">Example 1 (simplest):  dropout on 6 numbers</t>
  </si>
  <si>
    <t xml:space="preserve">The 'random draws' are fixed numbers here (pretend a die was rolled) so the sheet is repeatable. A number is DROPPED when its draw is below P_drop. Survivors are scaled up by 1/(1 − P_drop) so the average size stays the same — the standard 'inverted dropout' used by TensorFlow, the paper's framework (the paper doesn't spell this detail out). At test time dropout is switched off.</t>
  </si>
  <si>
    <t xml:space="preserve">P_drop</t>
  </si>
  <si>
    <t xml:space="preserve">0.3 here for visibility; paper base model uses 0.1</t>
  </si>
  <si>
    <t xml:space="preserve">Sub-layer output</t>
  </si>
  <si>
    <t xml:space="preserve">x5</t>
  </si>
  <si>
    <t xml:space="preserve">x6</t>
  </si>
  <si>
    <t xml:space="preserve">Random draw (fixed)</t>
  </si>
  <si>
    <t xml:space="preserve">Keep? (1 = yes)</t>
  </si>
  <si>
    <t xml:space="preserve">After dropout = x × keep ÷ (1 − p)</t>
  </si>
  <si>
    <t xml:space="preserve">Example 2 (moderate):  why scale by 1/(1−p)? Average over many training steps</t>
  </si>
  <si>
    <t xml:space="preserve">Take a single activation of 2.0 and ten fixed random draws. Averaged over the ten steps, the dropped-and-scaled value comes out equal to the original — so the next layer sees the same size signal in training as at test time (when dropout is off).</t>
  </si>
  <si>
    <t xml:space="preserve">activation</t>
  </si>
  <si>
    <t xml:space="preserve">Random draws for 10 steps</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</si>
  <si>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</si>
  <si>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</si>
  <si>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</si>
  <si>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</si>
  <si>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</si>
  <si>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</si>
  <si>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</si>
  <si>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</si>
  <si>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</si>
  <si>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</si>
  <si>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Value passed on</t>
  </si>
  <si>
    <t xml:space="preserve">Average over 10 steps</t>
  </si>
  <si>
    <t xml:space="preserve">equals the original activation when exactly 30% of draws are below 0.3</t>
  </si>
  <si>
    <t xml:space="preserve">2. Label smoothing (ε_ls = 0.1)</t>
  </si>
  <si>
    <t xml:space="preserve">Covered with full numbers on sheet 13: the target for the correct word is softened from 100% to about 90%, which 'hurts perplexity … but improves accuracy and BLEU score'.</t>
  </si>
  <si>
    <t xml:space="preserve">3. Checkpoint averaging (§6.1)</t>
  </si>
  <si>
    <t xml:space="preserve">Instead of using only the final weights, the paper averages the last 5 checkpoints (saved every 10 minutes) for base models and the last 20 for big models. Averaging smooths out the random wobble of the last few training steps.</t>
  </si>
  <si>
    <t xml:space="preserve">One weight at the last 5 checkpoints</t>
  </si>
  <si>
    <t xml:space="preserve">ckpt −4</t>
  </si>
  <si>
    <t xml:space="preserve">ckpt −3</t>
  </si>
  <si>
    <t xml:space="preserve">ckpt −2</t>
  </si>
  <si>
    <t xml:space="preserve">ckpt −1</t>
  </si>
  <si>
    <t xml:space="preserve">final</t>
  </si>
  <si>
    <t xml:space="preserve">Averaged weight used</t>
  </si>
  <si>
    <t xml:space="preserve">done for every one of the model's millions of weights</t>
  </si>
  <si>
    <t xml:space="preserve">4. Evidence from the paper (Table 3, English→German dev set)</t>
  </si>
  <si>
    <t xml:space="preserve">Variation</t>
  </si>
  <si>
    <t xml:space="preserve">BLEU</t>
  </si>
  <si>
    <t xml:space="preserve">Lesson</t>
  </si>
  <si>
    <t xml:space="preserve">reference point</t>
  </si>
  <si>
    <t xml:space="preserve">−1.2 BLEU: dropout matters a lot</t>
  </si>
  <si>
    <t xml:space="preserve">(D) more dropout</t>
  </si>
  <si>
    <t xml:space="preserve">a little worse than 0.1</t>
  </si>
  <si>
    <t xml:space="preserve">(D) no label smoothing</t>
  </si>
  <si>
    <t xml:space="preserve">better PPL but worse BLEU</t>
  </si>
  <si>
    <t xml:space="preserve">(D) more smoothing</t>
  </si>
  <si>
    <t xml:space="preserve">PPL worse, BLEU about the same</t>
  </si>
  <si>
    <t xml:space="preserve">Source: the paper's Table 3. The big model used P_drop = 0.3 for English→German and 0.1 for English→French.</t>
  </si>
  <si>
    <t xml:space="preserve">Q1. Is dropout used when translating new sentences?</t>
  </si>
  <si>
    <t xml:space="preserve">Answer: No — only during training.</t>
  </si>
  <si>
    <t xml:space="preserve">Q2. Why does 'no label smoothing' have better perplexity but worse BLEU?</t>
  </si>
  <si>
    <t xml:space="preserve">Answer: Without smoothing the model is more confident on the reference words (better PPL) but generalises less well.</t>
  </si>
  <si>
    <t xml:space="preserve">16 · Why Self-Attention? Cost, Parallelism and Path Length (Table 1)</t>
  </si>
  <si>
    <t xml:space="preserve">Paper: §4 Why Self-Attention, Table 1</t>
  </si>
  <si>
    <t xml:space="preserve">BIG IDEA:  The paper judges a layer type on three things: total work per layer, how much of that work can run in parallel, and how many steps a signal needs to travel between any two words. Self-attention wins on the last two outright, and on the first whenever sentences are shorter than the vector size (n &lt; d).</t>
  </si>
  <si>
    <t xml:space="preserve">Layer type</t>
  </si>
  <si>
    <t xml:space="preserve">Work per layer</t>
  </si>
  <si>
    <t xml:space="preserve">Sequential operations</t>
  </si>
  <si>
    <t xml:space="preserve">Maximum path length</t>
  </si>
  <si>
    <t xml:space="preserve">O(n² · d)</t>
  </si>
  <si>
    <t xml:space="preserve">O(1)</t>
  </si>
  <si>
    <t xml:space="preserve">Recurrent (RNN)</t>
  </si>
  <si>
    <t xml:space="preserve">O(n · d²)</t>
  </si>
  <si>
    <t xml:space="preserve">O(n)</t>
  </si>
  <si>
    <t xml:space="preserve">Convolutional</t>
  </si>
  <si>
    <t xml:space="preserve">O(k · n · d²)</t>
  </si>
  <si>
    <t xml:space="preserve">O(log_k(n))</t>
  </si>
  <si>
    <t xml:space="preserve">Self-attention (restricted to r neighbours)</t>
  </si>
  <si>
    <t xml:space="preserve">O(r · n · d)</t>
  </si>
  <si>
    <t xml:space="preserve">O(n / r)</t>
  </si>
  <si>
    <t xml:space="preserve">Source: Table 1. n = sequence length, d = representation size, k = convolution kernel width, r = neighbourhood size. 'O(…)' means 'grows roughly like' — constants are ignored.</t>
  </si>
  <si>
    <t xml:space="preserve">•  WORK: self-attention compares all n² pairs, each costing d multiplications → n²·d. An RNN does n steps, each a d × d matrix multiply → n·d².</t>
  </si>
  <si>
    <t xml:space="preserve">•  SEQUENTIAL OPS: self-attention does everything at once (1); an RNN needs n steps in a row.</t>
  </si>
  <si>
    <t xml:space="preserve">•  PATH LENGTH: in self-attention any word reaches any other in 1 hop; in an RNN up to n hops; with stacked (dilated) convolutions about log_k(n) hops.</t>
  </si>
  <si>
    <t xml:space="preserve">Example 1 (simplest):  n = 5 words, d = 8, k = 3, r = 2</t>
  </si>
  <si>
    <t xml:space="preserve">n</t>
  </si>
  <si>
    <t xml:space="preserve">k</t>
  </si>
  <si>
    <t xml:space="preserve">r</t>
  </si>
  <si>
    <t xml:space="preserve">Sequential ops</t>
  </si>
  <si>
    <t xml:space="preserve">Max path length</t>
  </si>
  <si>
    <t xml:space="preserve">Show the work (work per layer)</t>
  </si>
  <si>
    <t xml:space="preserve">Recurrent</t>
  </si>
  <si>
    <t xml:space="preserve">Restricted self-attention</t>
  </si>
  <si>
    <t xml:space="preserve">Example 2 (moderate):  real sizes — where is the crossover?</t>
  </si>
  <si>
    <t xml:space="preserve">With d = 512 (the base model), self-attention is cheaper than an RNN layer exactly when n &lt; d, i.e. for sequences shorter than 512 tokens — 'which is most often the case with sentence representations' (§4). For very long inputs (documents, audio, images) the n² term dominates, which is why the paper suggests restricted attention for future work.</t>
  </si>
  <si>
    <t xml:space="preserve">n (tokens)</t>
  </si>
  <si>
    <t xml:space="preserve">Self-attention n²·d</t>
  </si>
  <si>
    <t xml:space="preserve">RNN n·d²</t>
  </si>
  <si>
    <t xml:space="preserve">Self-attn ÷ RNN</t>
  </si>
  <si>
    <t xml:space="preserve">Verdict</t>
  </si>
  <si>
    <t xml:space="preserve">Even where an RNN does less total work, it still needs n SEQUENTIAL steps, so on a GPU the Transformer usually finishes first. The paper also notes a side benefit: attention weights can be inspected, making the model more interpretable.</t>
  </si>
  <si>
    <t xml:space="preserve">Q1. For n = 20 and d = 512, which layer does less work?</t>
  </si>
  <si>
    <t xml:space="preserve">Answer: Self-attention: 20²×512 = 204,800 vs 20×512² = 5,242,880.</t>
  </si>
  <si>
    <t xml:space="preserve">Q2. What is self-attention's weakness?</t>
  </si>
  <si>
    <t xml:space="preserve">Answer: Work and memory grow with n², so very long sequences get expensive.</t>
  </si>
  <si>
    <t xml:space="preserve">17 · Putting It Together — shapes, sizes and parameter counts of the full model</t>
  </si>
  <si>
    <t xml:space="preserve">Paper: §3 (all), Figure 1, Table 3 (base and big rows)</t>
  </si>
  <si>
    <t xml:space="preserve">BIG IDEA:  Every number in the paper's architecture, tracked through one forward pass, and a from-scratch parameter count that lands within a few percent of the paper's 65M (base) and 213M (big).</t>
  </si>
  <si>
    <t xml:space="preserve">1. The two configurations (Table 3)</t>
  </si>
  <si>
    <t xml:space="preserve">Hyper-parameter</t>
  </si>
  <si>
    <t xml:space="preserve">Meaning</t>
  </si>
  <si>
    <t xml:space="preserve">N</t>
  </si>
  <si>
    <t xml:space="preserve">layers in encoder and in decoder</t>
  </si>
  <si>
    <t xml:space="preserve">vector size everywhere</t>
  </si>
  <si>
    <t xml:space="preserve">feed-forward inner size</t>
  </si>
  <si>
    <t xml:space="preserve">attention heads</t>
  </si>
  <si>
    <t xml:space="preserve">per-head size</t>
  </si>
  <si>
    <t xml:space="preserve">dropout rate</t>
  </si>
  <si>
    <t xml:space="preserve">label smoothing</t>
  </si>
  <si>
    <t xml:space="preserve">train steps</t>
  </si>
  <si>
    <t xml:space="preserve">optimiser updates</t>
  </si>
  <si>
    <t xml:space="preserve">100K</t>
  </si>
  <si>
    <t xml:space="preserve">300K</t>
  </si>
  <si>
    <t xml:space="preserve">params</t>
  </si>
  <si>
    <t xml:space="preserve">total weights (paper)</t>
  </si>
  <si>
    <t xml:space="preserve">65 × 10⁶</t>
  </si>
  <si>
    <t xml:space="preserve">213 × 10⁶</t>
  </si>
  <si>
    <t xml:space="preserve">2. Shape tracker (base model) — follow one sentence through</t>
  </si>
  <si>
    <t xml:space="preserve">n (English tokens)</t>
  </si>
  <si>
    <t xml:space="preserve">m (German tokens so far)</t>
  </si>
  <si>
    <t xml:space="preserve">vocabulary</t>
  </si>
  <si>
    <t xml:space="preserve">Stage</t>
  </si>
  <si>
    <t xml:space="preserve">Shape (rows × columns)</t>
  </si>
  <si>
    <t xml:space="preserve">Where explained</t>
  </si>
  <si>
    <t xml:space="preserve">Token ids</t>
  </si>
  <si>
    <t xml:space="preserve">one integer per token</t>
  </si>
  <si>
    <t xml:space="preserve">Embedding × √d_model</t>
  </si>
  <si>
    <t xml:space="preserve">look up rows of the shared table (sheet 03)</t>
  </si>
  <si>
    <t xml:space="preserve">+ positional encoding</t>
  </si>
  <si>
    <t xml:space="preserve">same shape, added (sheet 04)</t>
  </si>
  <si>
    <t xml:space="preserve">Q, K, V per head</t>
  </si>
  <si>
    <t xml:space="preserve">X·W (sheet 05); d_k = d_model/h</t>
  </si>
  <si>
    <t xml:space="preserve">Scores per head Q·Kᵀ</t>
  </si>
  <si>
    <t xml:space="preserve">every word vs every word (sheet 06)</t>
  </si>
  <si>
    <t xml:space="preserve">Head output A·V</t>
  </si>
  <si>
    <t xml:space="preserve">blend of values</t>
  </si>
  <si>
    <t xml:space="preserve">Concat of h heads</t>
  </si>
  <si>
    <t xml:space="preserve">back to d_model (sheet 08)</t>
  </si>
  <si>
    <t xml:space="preserve">× W_O, Add &amp; Norm</t>
  </si>
  <si>
    <t xml:space="preserve">sheet 10</t>
  </si>
  <si>
    <t xml:space="preserve">FFN hidden</t>
  </si>
  <si>
    <t xml:space="preserve">expanded 4× (sheet 11)</t>
  </si>
  <si>
    <t xml:space="preserve">FFN out, Add &amp; Norm</t>
  </si>
  <si>
    <t xml:space="preserve">encoder layer output; repeat 6×</t>
  </si>
  <si>
    <t xml:space="preserve">Decoder masked self-attn scores</t>
  </si>
  <si>
    <t xml:space="preserve">lower-triangular (sheet 07)</t>
  </si>
  <si>
    <t xml:space="preserve">Cross-attention scores</t>
  </si>
  <si>
    <t xml:space="preserve">German positions × English positions (sheet 09)</t>
  </si>
  <si>
    <t xml:space="preserve">Decoder output</t>
  </si>
  <si>
    <t xml:space="preserve">after 6 decoder layers</t>
  </si>
  <si>
    <t xml:space="preserve">Logits (× Eᵀ)</t>
  </si>
  <si>
    <t xml:space="preserve">one score per vocabulary token (sheet 12)</t>
  </si>
  <si>
    <t xml:space="preserve">Probabilities (softmax)</t>
  </si>
  <si>
    <t xml:space="preserve">each row sums to 1</t>
  </si>
  <si>
    <t xml:space="preserve">3. Counting every parameter (moderate example)</t>
  </si>
  <si>
    <t xml:space="preserve">Assumptions (the paper doesn't list them): every linear layer has a bias; each LayerNorm has γ and β; one shared 37,000-token embedding table; sinusoidal positions have no parameters. Change the blue inputs to switch between base and big.</t>
  </si>
  <si>
    <t xml:space="preserve">Component</t>
  </si>
  <si>
    <t xml:space="preserve">Formula</t>
  </si>
  <si>
    <t xml:space="preserve">input</t>
  </si>
  <si>
    <t xml:space="preserve">Shared embedding</t>
  </si>
  <si>
    <t xml:space="preserve">V × d</t>
  </si>
  <si>
    <t xml:space="preserve">One attention block</t>
  </si>
  <si>
    <t xml:space="preserve">4·d² + 4·d  (W_Q, W_K, W_V, W_O + biases)</t>
  </si>
  <si>
    <t xml:space="preserve">One FFN</t>
  </si>
  <si>
    <t xml:space="preserve">2·d·d_ff + d_ff + d</t>
  </si>
  <si>
    <t xml:space="preserve">One LayerNorm</t>
  </si>
  <si>
    <t xml:space="preserve">2·d  (γ and β)</t>
  </si>
  <si>
    <t xml:space="preserve">Encoder layer</t>
  </si>
  <si>
    <t xml:space="preserve">1 attention + 1 FFN + 2 LayerNorms</t>
  </si>
  <si>
    <t xml:space="preserve">Decoder layer</t>
  </si>
  <si>
    <t xml:space="preserve">2 attentions + 1 FFN + 3 LayerNorms</t>
  </si>
  <si>
    <t xml:space="preserve">Encoder stack</t>
  </si>
  <si>
    <t xml:space="preserve">N × encoder layer</t>
  </si>
  <si>
    <t xml:space="preserve">Decoder stack</t>
  </si>
  <si>
    <t xml:space="preserve">N × decoder layer</t>
  </si>
  <si>
    <t xml:space="preserve">TOTAL (our count)</t>
  </si>
  <si>
    <t xml:space="preserve">embedding + encoder + decoder</t>
  </si>
  <si>
    <t xml:space="preserve">Paper (Table 3)</t>
  </si>
  <si>
    <t xml:space="preserve">reported</t>
  </si>
  <si>
    <t xml:space="preserve">Difference</t>
  </si>
  <si>
    <t xml:space="preserve">our count ÷ paper − 1</t>
  </si>
  <si>
    <t xml:space="preserve">Our count lands within about 3% of the paper for both models. The small gap comes from details the paper doesn't state (exact vocabulary size, whether biases are used, etc.). Notice where the weights live: in the base model roughly 30% is the embedding table, 40% the feed-forward networks and 30% attention.</t>
  </si>
  <si>
    <t xml:space="preserve">Q1. Why is the decoder layer bigger than the encoder layer?</t>
  </si>
  <si>
    <t xml:space="preserve">Answer: It has a second attention block (cross-attention) and a third LayerNorm.</t>
  </si>
  <si>
    <t xml:space="preserve">Q2. Which single hyper-parameter change roughly quadruples most of the weights?</t>
  </si>
  <si>
    <t xml:space="preserve">Answer: Doubling d_model (and d_ff with it): most weight matrices scale with d².</t>
  </si>
  <si>
    <t xml:space="preserve">18 · Measuring Translation Quality: the BLEU Score</t>
  </si>
  <si>
    <t xml:space="preserve">Used for every result in the paper (Tables 2 and 3). BLEU itself is from Papineni et al. (2002), not this paper.</t>
  </si>
  <si>
    <t xml:space="preserve">BIG IDEA:  BLEU asks: how many word sequences (1, 2, 3 and 4 words long) in the machine's translation also appear in a human reference translation? It combines these four overlap rates and penalises translations that are too short. Scores are usually shown ×100: the paper's 28.4 means 0.284.</t>
  </si>
  <si>
    <t xml:space="preserve">BLEU = BP × exp( (ln p₁ + ln p₂ + ln p₃ + ln p₄) / 4 ),      BP = 1 if c &gt; r, else e^(1 − r/c)</t>
  </si>
  <si>
    <t xml:space="preserve">pₙ</t>
  </si>
  <si>
    <t xml:space="preserve">'Clipped' precision for n-word sequences: matches ÷ total n-grams in the candidate</t>
  </si>
  <si>
    <t xml:space="preserve">clipping</t>
  </si>
  <si>
    <t xml:space="preserve">A candidate n-gram can be credited at most as many times as it appears in the reference</t>
  </si>
  <si>
    <t xml:space="preserve">c, r</t>
  </si>
  <si>
    <t xml:space="preserve">Length of candidate and of reference (in words)</t>
  </si>
  <si>
    <t xml:space="preserve">BP</t>
  </si>
  <si>
    <t xml:space="preserve">Brevity penalty: punishes candidates shorter than the reference</t>
  </si>
  <si>
    <t xml:space="preserve">Example 1 (simplest):  why 'clipping' is needed</t>
  </si>
  <si>
    <t xml:space="preserve">Reference: 'the cat is on the mat'. A silly candidate 'the the the the' has 4 words that all appear in the reference — naive precision would be 100%! Clipping: 'the' occurs only 2 times in the reference, so at most 2 of the candidate's 'the's count.</t>
  </si>
  <si>
    <t xml:space="preserve">Reference words</t>
  </si>
  <si>
    <t xml:space="preserve">is</t>
  </si>
  <si>
    <t xml:space="preserve">on</t>
  </si>
  <si>
    <t xml:space="preserve">mat</t>
  </si>
  <si>
    <t xml:space="preserve">Candidate words</t>
  </si>
  <si>
    <t xml:space="preserve">Naive matches</t>
  </si>
  <si>
    <t xml:space="preserve">candidate words found anywhere in the reference</t>
  </si>
  <si>
    <t xml:space="preserve">'the' in candidate</t>
  </si>
  <si>
    <t xml:space="preserve">'the' in reference</t>
  </si>
  <si>
    <t xml:space="preserve">Naive precision</t>
  </si>
  <si>
    <t xml:space="preserve">Clipped precision</t>
  </si>
  <si>
    <t xml:space="preserve">min(4, 2) ÷ 4</t>
  </si>
  <si>
    <t xml:space="preserve">Example 2 (moderate):  full BLEU-4 for 'the cat sat on mat' vs 'the cat sat on the mat'</t>
  </si>
  <si>
    <t xml:space="preserve">Type any words (one per yellow cell, leave the rest blank). n-grams are built automatically with formulas; the 'credit' columns apply clipping.</t>
  </si>
  <si>
    <t xml:space="preserve">#</t>
  </si>
  <si>
    <t xml:space="preserve">Candidate word</t>
  </si>
  <si>
    <t xml:space="preserve">cand 2-gram</t>
  </si>
  <si>
    <t xml:space="preserve">cand 3-gram</t>
  </si>
  <si>
    <t xml:space="preserve">cand 4-gram</t>
  </si>
  <si>
    <t xml:space="preserve">Reference word</t>
  </si>
  <si>
    <t xml:space="preserve">ref 2-gram</t>
  </si>
  <si>
    <t xml:space="preserve">ref 3-gram</t>
  </si>
  <si>
    <t xml:space="preserve">ref 4-gram</t>
  </si>
  <si>
    <t xml:space="preserve">Clipped credit per candidate n-gram = min(count in candidate, count in reference) ÷ count in candidate (summing these over all copies gives the clipped match total):</t>
  </si>
  <si>
    <t xml:space="preserve">1-gram credit</t>
  </si>
  <si>
    <t xml:space="preserve">2-gram credit</t>
  </si>
  <si>
    <t xml:space="preserve">3-gram credit</t>
  </si>
  <si>
    <t xml:space="preserve">4-gram credit</t>
  </si>
  <si>
    <t xml:space="preserve">clipped matches</t>
  </si>
  <si>
    <t xml:space="preserve">candidate n-grams</t>
  </si>
  <si>
    <t xml:space="preserve">precision pₙ</t>
  </si>
  <si>
    <t xml:space="preserve">ln pₙ</t>
  </si>
  <si>
    <t xml:space="preserve">1-grams</t>
  </si>
  <si>
    <t xml:space="preserve">2-grams</t>
  </si>
  <si>
    <t xml:space="preserve">3-grams</t>
  </si>
  <si>
    <t xml:space="preserve">4-grams</t>
  </si>
  <si>
    <t xml:space="preserve">candidate length c</t>
  </si>
  <si>
    <t xml:space="preserve">reference length r</t>
  </si>
  <si>
    <t xml:space="preserve">brevity penalty BP</t>
  </si>
  <si>
    <t xml:space="preserve">candidate is shorter than the reference → penalised</t>
  </si>
  <si>
    <t xml:space="preserve">BLEU × 100</t>
  </si>
  <si>
    <t xml:space="preserve">the way papers report it</t>
  </si>
  <si>
    <t xml:space="preserve">NOTE:  Real BLEU is computed over a whole test set (all sentences' counts pooled), often with several references. As a rough rule of thumb (not a formal test), gains of 1–2 BLEU on WMT are treated as substantial, which is why the paper's +2.0 over all previous systems stood out.</t>
  </si>
  <si>
    <t xml:space="preserve">Q1. A candidate identical to the reference scores what?</t>
  </si>
  <si>
    <t xml:space="preserve">Answer: BLEU = 1 (100): all precisions 1, no brevity penalty.</t>
  </si>
  <si>
    <t xml:space="preserve">Q2. Why use 2-, 3-, 4-grams and not just single words?</t>
  </si>
  <si>
    <t xml:space="preserve">Answer: Single words ignore order and fluency; longer n-grams reward correct phrasing.</t>
  </si>
  <si>
    <t xml:space="preserve">19 · What the Paper Achieved — results, verified with arithmetic</t>
  </si>
  <si>
    <t xml:space="preserve">Paper: §6 Results, Table 2, Table 4, footnote 5</t>
  </si>
  <si>
    <t xml:space="preserve">BIG IDEA:  The Transformer set new records in translation while costing a fraction of the compute of rivals, and transferred to a different task (parsing) with little tuning.</t>
  </si>
  <si>
    <t xml:space="preserve">1. Table 2 — translation quality and training cost</t>
  </si>
  <si>
    <t xml:space="preserve">BLEU EN-DE</t>
  </si>
  <si>
    <t xml:space="preserve">BLEU EN-FR</t>
  </si>
  <si>
    <t xml:space="preserve">Training FLOPs EN-DE</t>
  </si>
  <si>
    <t xml:space="preserve">Training FLOPs EN-FR</t>
  </si>
  <si>
    <t xml:space="preserve">ByteNet [18]</t>
  </si>
  <si>
    <t xml:space="preserve">Deep-Att + PosUnk [39]</t>
  </si>
  <si>
    <t xml:space="preserve">GNMT + RL [38]</t>
  </si>
  <si>
    <t xml:space="preserve">ConvS2S [9]</t>
  </si>
  <si>
    <t xml:space="preserve">MoE [32]</t>
  </si>
  <si>
    <t xml:space="preserve">Deep-Att + PosUnk Ensemble [39]</t>
  </si>
  <si>
    <t xml:space="preserve">GNMT + RL Ensemble [38]</t>
  </si>
  <si>
    <t xml:space="preserve">ConvS2S Ensemble [9]</t>
  </si>
  <si>
    <t xml:space="preserve">Transformer (base model)</t>
  </si>
  <si>
    <t xml:space="preserve">Transformer (big)</t>
  </si>
  <si>
    <t xml:space="preserve">Source: the paper's Table 2 (newstest2014). The Transformer has a single training cost figure; the paper prints it spanning both columns.</t>
  </si>
  <si>
    <t xml:space="preserve">Checking the headline claims with formulas</t>
  </si>
  <si>
    <t xml:space="preserve">Best previous EN-DE (incl. ensembles)</t>
  </si>
  <si>
    <t xml:space="preserve">ConvS2S Ensemble</t>
  </si>
  <si>
    <t xml:space="preserve">Big Transformer gain, EN-DE</t>
  </si>
  <si>
    <t xml:space="preserve">'outperforms the best previously reported models (including ensembles) by more than 2.0 BLEU'</t>
  </si>
  <si>
    <t xml:space="preserve">Base Transformer gain, EN-DE</t>
  </si>
  <si>
    <t xml:space="preserve">even the base model beats every previous model and ensemble</t>
  </si>
  <si>
    <t xml:space="preserve">Big vs best previous single model EN-FR</t>
  </si>
  <si>
    <t xml:space="preserve">compared with single models (MoE 40.56)</t>
  </si>
  <si>
    <t xml:space="preserve">Cost ratio: ConvS2S Ens. ÷ Transformer base (EN-DE)</t>
  </si>
  <si>
    <t xml:space="preserve">times cheaper to train, while scoring higher</t>
  </si>
  <si>
    <t xml:space="preserve">Big EN-FR cost ÷ MoE's cost</t>
  </si>
  <si>
    <t xml:space="preserve">'at less than 1/4 the training cost of the previous state-of-the-art model' — MoE was the best previous single model on EN-FR</t>
  </si>
  <si>
    <t xml:space="preserve">NOTE:  Inconsistency in the paper (v7): Table 2 lists the big model's EN-FR BLEU as 41.8, while §6.1's text says 41.0. We use the table's 41.8.</t>
  </si>
  <si>
    <t xml:space="preserve">How the FLOPs were estimated (footnote 5) — verified</t>
  </si>
  <si>
    <t xml:space="preserve">Training FLOPs ≈ training time × number of GPUs × sustained single-precision speed per GPU. For P100 the paper uses 9.5 TFLOPS.</t>
  </si>
  <si>
    <t xml:space="preserve">Hours</t>
  </si>
  <si>
    <t xml:space="preserve">GPUs</t>
  </si>
  <si>
    <t xml:space="preserve">TFLOPS per GPU</t>
  </si>
  <si>
    <t xml:space="preserve">Our estimate (FLOPs)</t>
  </si>
  <si>
    <t xml:space="preserve">Paper (Table 2)</t>
  </si>
  <si>
    <t xml:space="preserve">Big model: 3.5 days = 84 hours. Both estimates reproduce the paper's figures.</t>
  </si>
  <si>
    <t xml:space="preserve">2. Table 4 — English constituency parsing (does it generalise?)</t>
  </si>
  <si>
    <t xml:space="preserve">Parsing = turning a sentence into its grammatical tree, written as a sequence. Output is much longer than input and strictly structured. A 4-layer Transformer (d_model = 1024) was trained on ~40K WSJ sentences, and semi-supervised on ~17M sentences, with minimal tuning.</t>
  </si>
  <si>
    <t xml:space="preserve">Parser</t>
  </si>
  <si>
    <t xml:space="preserve">Training</t>
  </si>
  <si>
    <t xml:space="preserve">WSJ 23 F1</t>
  </si>
  <si>
    <t xml:space="preserve">Vinyals &amp; Kaiser et al. (2014)</t>
  </si>
  <si>
    <t xml:space="preserve">WSJ only, discriminative</t>
  </si>
  <si>
    <t xml:space="preserve">Petrov et al. (2006)</t>
  </si>
  <si>
    <t xml:space="preserve">Zhu et al. (2013)</t>
  </si>
  <si>
    <t xml:space="preserve">Dyer et al. (2016)</t>
  </si>
  <si>
    <t xml:space="preserve">Transformer (4 layers)</t>
  </si>
  <si>
    <t xml:space="preserve">semi-supervised</t>
  </si>
  <si>
    <t xml:space="preserve">Huang &amp; Harper (2009)</t>
  </si>
  <si>
    <t xml:space="preserve">McClosky et al. (2006)</t>
  </si>
  <si>
    <t xml:space="preserve">Luong et al. (2015)</t>
  </si>
  <si>
    <t xml:space="preserve">multi-task</t>
  </si>
  <si>
    <t xml:space="preserve">generative</t>
  </si>
  <si>
    <t xml:space="preserve">Source: the paper's Table 4. The Transformer beats every earlier model except the Recurrent Neural Network Grammar (Dyer et al.), and beats the BerkeleyParser even with only 40K training sentences.</t>
  </si>
  <si>
    <t xml:space="preserve">3. Why this paper mattered</t>
  </si>
  <si>
    <t xml:space="preserve">•  It showed attention alone is enough — recurrence and convolution are optional.</t>
  </si>
  <si>
    <t xml:space="preserve">•  Its parallelism made training on far larger datasets practical, the basis of BERT, GPT and nearly every modern large language model (an encoder-only or decoder-only stack of exactly these layers).</t>
  </si>
  <si>
    <t xml:space="preserve">•  The paper's closing line anticipated this: they planned to apply attention to 'images, audio and video'.</t>
  </si>
  <si>
    <t xml:space="preserve">20 · Glossary — every term and symbol in one place</t>
  </si>
  <si>
    <t xml:space="preserve">Alphabetical within each group. Sheet numbers point to the full explanation.</t>
  </si>
  <si>
    <t xml:space="preserve">Symbols</t>
  </si>
  <si>
    <t xml:space="preserve">Base value</t>
  </si>
  <si>
    <t xml:space="preserve">input sequence length (tokens)</t>
  </si>
  <si>
    <t xml:space="preserve">varies</t>
  </si>
  <si>
    <t xml:space="preserve">02, 16</t>
  </si>
  <si>
    <t xml:space="preserve">output sequence length</t>
  </si>
  <si>
    <t xml:space="preserve">09</t>
  </si>
  <si>
    <t xml:space="preserve">layers per stack</t>
  </si>
  <si>
    <t xml:space="preserve">6</t>
  </si>
  <si>
    <t xml:space="preserve">17</t>
  </si>
  <si>
    <t xml:space="preserve">vector size throughout the model</t>
  </si>
  <si>
    <t xml:space="preserve">03</t>
  </si>
  <si>
    <t xml:space="preserve">query/key size per head</t>
  </si>
  <si>
    <t xml:space="preserve">64</t>
  </si>
  <si>
    <t xml:space="preserve">06</t>
  </si>
  <si>
    <t xml:space="preserve">value size per head</t>
  </si>
  <si>
    <t xml:space="preserve">08</t>
  </si>
  <si>
    <t xml:space="preserve">2048</t>
  </si>
  <si>
    <t xml:space="preserve">11</t>
  </si>
  <si>
    <t xml:space="preserve">number of attention heads</t>
  </si>
  <si>
    <t xml:space="preserve">8</t>
  </si>
  <si>
    <t xml:space="preserve">queries, keys, values</t>
  </si>
  <si>
    <t xml:space="preserve">05</t>
  </si>
  <si>
    <t xml:space="preserve">W_Q, W_K, W_V, W_O</t>
  </si>
  <si>
    <t xml:space="preserve">learned projection matrices</t>
  </si>
  <si>
    <t xml:space="preserve">05, 08</t>
  </si>
  <si>
    <t xml:space="preserve">PE</t>
  </si>
  <si>
    <t xml:space="preserve">positional encoding</t>
  </si>
  <si>
    <t xml:space="preserve">04</t>
  </si>
  <si>
    <t xml:space="preserve">15</t>
  </si>
  <si>
    <t xml:space="preserve">label smoothing amount</t>
  </si>
  <si>
    <t xml:space="preserve">13</t>
  </si>
  <si>
    <t xml:space="preserve">β₁, β₂, ε</t>
  </si>
  <si>
    <t xml:space="preserve">Adam optimiser settings</t>
  </si>
  <si>
    <t xml:space="preserve">0.9, 0.98, 1e-9</t>
  </si>
  <si>
    <t xml:space="preserve">14</t>
  </si>
  <si>
    <t xml:space="preserve">warmup_steps</t>
  </si>
  <si>
    <t xml:space="preserve">learning-rate warm-up length</t>
  </si>
  <si>
    <t xml:space="preserve">beam-search length penalty</t>
  </si>
  <si>
    <t xml:space="preserve">0.6</t>
  </si>
  <si>
    <t xml:space="preserve">12</t>
  </si>
  <si>
    <t xml:space="preserve">Terms</t>
  </si>
  <si>
    <t xml:space="preserve">Term</t>
  </si>
  <si>
    <t xml:space="preserve">Plain-English meaning</t>
  </si>
  <si>
    <t xml:space="preserve">Attention</t>
  </si>
  <si>
    <t xml:space="preserve">A weighted blend of values, with weights from query–key match scores.</t>
  </si>
  <si>
    <t xml:space="preserve">05, 06</t>
  </si>
  <si>
    <t xml:space="preserve">Auto-regressive</t>
  </si>
  <si>
    <t xml:space="preserve">Generating one token at a time, feeding each output back in as input.</t>
  </si>
  <si>
    <t xml:space="preserve">02, 07</t>
  </si>
  <si>
    <t xml:space="preserve">Beam search</t>
  </si>
  <si>
    <t xml:space="preserve">Decoding that keeps the B best partial outputs at each step.</t>
  </si>
  <si>
    <t xml:space="preserve">Translation quality score based on n-gram overlap with a reference.</t>
  </si>
  <si>
    <t xml:space="preserve">18</t>
  </si>
  <si>
    <t xml:space="preserve">BPE (byte-pair encoding)</t>
  </si>
  <si>
    <t xml:space="preserve">Splits text into frequent sub-word pieces to fix the vocabulary size.</t>
  </si>
  <si>
    <t xml:space="preserve">Checkpoint averaging</t>
  </si>
  <si>
    <t xml:space="preserve">Averaging the weights saved at the end of training.</t>
  </si>
  <si>
    <t xml:space="preserve">Cross-attention</t>
  </si>
  <si>
    <t xml:space="preserve">Decoder queries attend to encoder keys/values.</t>
  </si>
  <si>
    <t xml:space="preserve">Cross-entropy loss</t>
  </si>
  <si>
    <t xml:space="preserve">Average −ln(probability given to the correct token).</t>
  </si>
  <si>
    <t xml:space="preserve">Decoder</t>
  </si>
  <si>
    <t xml:space="preserve">The stack that writes the output sequence.</t>
  </si>
  <si>
    <t xml:space="preserve">02</t>
  </si>
  <si>
    <t xml:space="preserve">Multiply two vectors element-wise and sum; a similarity score.</t>
  </si>
  <si>
    <t xml:space="preserve">01</t>
  </si>
  <si>
    <t xml:space="preserve">Dropout</t>
  </si>
  <si>
    <t xml:space="preserve">Randomly zeroing values in training to prevent over-reliance.</t>
  </si>
  <si>
    <t xml:space="preserve">Embedding</t>
  </si>
  <si>
    <t xml:space="preserve">A learned vector for each token.</t>
  </si>
  <si>
    <t xml:space="preserve">Encoder</t>
  </si>
  <si>
    <t xml:space="preserve">The stack that reads and represents the input sequence.</t>
  </si>
  <si>
    <t xml:space="preserve">Feed-forward network (FFN)</t>
  </si>
  <si>
    <t xml:space="preserve">Two linear layers with ReLU, applied to each position.</t>
  </si>
  <si>
    <t xml:space="preserve">Label smoothing</t>
  </si>
  <si>
    <t xml:space="preserve">Softening the one-hot target to (1−ε) on the right token.</t>
  </si>
  <si>
    <t xml:space="preserve">Layer normalisation</t>
  </si>
  <si>
    <t xml:space="preserve">Rescale each token's vector to mean 0, variance 1 (then γ, β).</t>
  </si>
  <si>
    <t xml:space="preserve">10</t>
  </si>
  <si>
    <t xml:space="preserve">Logits</t>
  </si>
  <si>
    <t xml:space="preserve">Raw scores before softmax.</t>
  </si>
  <si>
    <t xml:space="preserve">Masking</t>
  </si>
  <si>
    <t xml:space="preserve">Setting disallowed scores to −∞ so they get 0 attention.</t>
  </si>
  <si>
    <t xml:space="preserve">07</t>
  </si>
  <si>
    <t xml:space="preserve">Multi-head attention</t>
  </si>
  <si>
    <t xml:space="preserve">Several attentions in parallel on lower-dimensional projections.</t>
  </si>
  <si>
    <t xml:space="preserve">Perplexity</t>
  </si>
  <si>
    <t xml:space="preserve">e^(average loss); effective number of equally likely choices.</t>
  </si>
  <si>
    <t xml:space="preserve">Positional encoding</t>
  </si>
  <si>
    <t xml:space="preserve">Sine/cosine patterns added to embeddings to convey order.</t>
  </si>
  <si>
    <t xml:space="preserve">Residual connection</t>
  </si>
  <si>
    <t xml:space="preserve">Adding a block's input to its output: x + Sublayer(x).</t>
  </si>
  <si>
    <t xml:space="preserve">Recurrent neural network: processes tokens one after another.</t>
  </si>
  <si>
    <t xml:space="preserve">Attention where Q, K, V all come from the same sequence.</t>
  </si>
  <si>
    <t xml:space="preserve">05, 09</t>
  </si>
  <si>
    <t xml:space="preserve">Softmax</t>
  </si>
  <si>
    <t xml:space="preserve">Turns scores into positive weights summing to 1.</t>
  </si>
  <si>
    <t xml:space="preserve">Teacher forcing</t>
  </si>
  <si>
    <t xml:space="preserve">Training the decoder on the true previous tokens, in parallel.</t>
  </si>
  <si>
    <t xml:space="preserve">A unit of text (word or sub-word) the model reads.</t>
  </si>
  <si>
    <t xml:space="preserve">Transformer</t>
  </si>
  <si>
    <t xml:space="preserve">Encoder–decoder model built entirely from attention and feed-forward layers.</t>
  </si>
  <si>
    <t xml:space="preserve">all</t>
  </si>
</sst>
</file>

<file path=xl/styles.xml><?xml version="1.0" encoding="utf-8"?>
<styleSheet xmlns="http://schemas.openxmlformats.org/spreadsheetml/2006/main">
  <numFmts count="21">
    <numFmt numFmtId="164" formatCode="General"/>
    <numFmt numFmtId="165" formatCode="0.0"/>
    <numFmt numFmtId="166" formatCode="0"/>
    <numFmt numFmtId="167" formatCode="0.###"/>
    <numFmt numFmtId="168" formatCode="0.00"/>
    <numFmt numFmtId="169" formatCode="0.000"/>
    <numFmt numFmtId="170" formatCode="0.##"/>
    <numFmt numFmtId="171" formatCode="#,##0.000"/>
    <numFmt numFmtId="172" formatCode="#,##0"/>
    <numFmt numFmtId="173" formatCode="0%"/>
    <numFmt numFmtId="174" formatCode="0.0000"/>
    <numFmt numFmtId="175" formatCode="#,##0.0"/>
    <numFmt numFmtId="176" formatCode="0.0%"/>
    <numFmt numFmtId="177" formatCode="0.000000"/>
    <numFmt numFmtId="178" formatCode="0.00000"/>
    <numFmt numFmtId="179" formatCode="[&lt;-1000000]&quot;−∞&quot;;0.000"/>
    <numFmt numFmtId="180" formatCode="0.0E+00"/>
    <numFmt numFmtId="181" formatCode="0.0000000"/>
    <numFmt numFmtId="182" formatCode="0.00E+00"/>
    <numFmt numFmtId="183" formatCode="\+0.0%;\-0.0%"/>
    <numFmt numFmtId="184" formatCode="\+0.00"/>
  </numFmts>
  <fonts count="2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color rgb="FF1F3864"/>
      <name val="Arial"/>
      <family val="0"/>
      <charset val="1"/>
    </font>
    <font>
      <b val="true"/>
      <sz val="12"/>
      <color rgb="FFFFFFFF"/>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00"/>
      <name val="Arial"/>
      <family val="0"/>
      <charset val="1"/>
    </font>
    <font>
      <b val="true"/>
      <sz val="10"/>
      <color rgb="FF1F3864"/>
      <name val="Arial"/>
      <family val="0"/>
      <charset val="1"/>
    </font>
    <font>
      <b val="true"/>
      <sz val="10"/>
      <color rgb="FFFFFFFF"/>
      <name val="Arial"/>
      <family val="0"/>
      <charset val="1"/>
    </font>
    <font>
      <b val="true"/>
      <u val="single"/>
      <sz val="10"/>
      <color rgb="FF2E75B6"/>
      <name val="Arial"/>
      <family val="0"/>
      <charset val="1"/>
    </font>
    <font>
      <i val="true"/>
      <sz val="10"/>
      <color rgb="FF7F3F00"/>
      <name val="Arial"/>
      <family val="0"/>
      <charset val="1"/>
    </font>
    <font>
      <i val="true"/>
      <sz val="10"/>
      <color rgb="FF000000"/>
      <name val="Arial"/>
      <family val="0"/>
      <charset val="1"/>
    </font>
    <font>
      <b val="true"/>
      <sz val="12"/>
      <color rgb="FF1F3864"/>
      <name val="Arial"/>
      <family val="0"/>
      <charset val="1"/>
    </font>
    <font>
      <sz val="10"/>
      <color rgb="FF404040"/>
      <name val="Arial"/>
      <family val="0"/>
      <charset val="1"/>
    </font>
    <font>
      <b val="true"/>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10"/>
      <color rgb="FF808080"/>
      <name val="Arial"/>
      <family val="0"/>
      <charset val="1"/>
    </font>
    <font>
      <sz val="10"/>
      <color rgb="FF808080"/>
      <name val="Arial"/>
      <family val="0"/>
      <charset val="1"/>
    </font>
    <font>
      <b val="true"/>
      <sz val="10"/>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F2F2F2"/>
        <bgColor rgb="FFE2EFDA"/>
      </patternFill>
    </fill>
    <fill>
      <patternFill patternType="solid">
        <fgColor rgb="FFDEEBF7"/>
        <bgColor rgb="FFD9E2F3"/>
      </patternFill>
    </fill>
    <fill>
      <patternFill patternType="solid">
        <fgColor rgb="FF2E75B6"/>
        <bgColor rgb="FF0066CC"/>
      </patternFill>
    </fill>
    <fill>
      <patternFill patternType="solid">
        <fgColor rgb="FFFFF2CC"/>
        <bgColor rgb="FFFBE5D6"/>
      </patternFill>
    </fill>
    <fill>
      <patternFill patternType="solid">
        <fgColor rgb="FFE2EFDA"/>
        <bgColor rgb="FFDEEBF7"/>
      </patternFill>
    </fill>
    <fill>
      <patternFill patternType="solid">
        <fgColor rgb="FFFBE5D6"/>
        <bgColor rgb="FFFFF2CC"/>
      </patternFill>
    </fill>
    <fill>
      <patternFill patternType="solid">
        <fgColor rgb="FFD9E2F3"/>
        <bgColor rgb="FFDEEBF7"/>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5" fontId="11" fillId="7"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5" fillId="8" borderId="0"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6" fontId="9" fillId="6" borderId="1" xfId="0" applyFont="true" applyBorder="true" applyAlignment="true" applyProtection="false">
      <alignment horizontal="center" vertical="top" textRotation="0" wrapText="false" indent="0" shrinkToFit="false"/>
      <protection locked="true" hidden="false"/>
    </xf>
    <xf numFmtId="164" fontId="17" fillId="3" borderId="0" xfId="0" applyFont="true" applyBorder="true" applyAlignment="true" applyProtection="false">
      <alignment horizontal="center" vertical="center" textRotation="0" wrapText="true" indent="0" shrinkToFit="false"/>
      <protection locked="true" hidden="false"/>
    </xf>
    <xf numFmtId="164" fontId="6" fillId="9" borderId="0" xfId="0" applyFont="true" applyBorder="true" applyAlignment="true" applyProtection="false">
      <alignment horizontal="left" vertical="center" textRotation="0" wrapText="tru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7" fontId="11" fillId="7" borderId="1" xfId="0" applyFont="true" applyBorder="true" applyAlignment="true" applyProtection="false">
      <alignment horizontal="center" vertical="top" textRotation="0" wrapText="fals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8" fontId="9" fillId="6" borderId="1" xfId="0" applyFont="true" applyBorder="true" applyAlignment="true" applyProtection="false">
      <alignment horizontal="center" vertical="top" textRotation="0" wrapText="false" indent="0" shrinkToFit="false"/>
      <protection locked="true" hidden="false"/>
    </xf>
    <xf numFmtId="169" fontId="8" fillId="0" borderId="1" xfId="0" applyFont="true" applyBorder="true" applyAlignment="true" applyProtection="false">
      <alignment horizontal="center" vertical="top" textRotation="0" wrapText="true" indent="0" shrinkToFit="false"/>
      <protection locked="true" hidden="false"/>
    </xf>
    <xf numFmtId="169" fontId="11" fillId="7" borderId="1" xfId="0" applyFont="true" applyBorder="true" applyAlignment="true" applyProtection="false">
      <alignment horizontal="center" vertical="top" textRotation="0" wrapText="true" indent="0" shrinkToFit="false"/>
      <protection locked="true" hidden="false"/>
    </xf>
    <xf numFmtId="169" fontId="8" fillId="3" borderId="1" xfId="0" applyFont="true" applyBorder="true" applyAlignment="true" applyProtection="false">
      <alignment horizontal="center" vertical="top" textRotation="0" wrapText="true" indent="0" shrinkToFit="false"/>
      <protection locked="true" hidden="false"/>
    </xf>
    <xf numFmtId="166" fontId="8" fillId="10" borderId="1" xfId="0" applyFont="true" applyBorder="true" applyAlignment="true" applyProtection="false">
      <alignment horizontal="center" vertical="top" textRotation="0" wrapText="false" indent="0" shrinkToFit="false"/>
      <protection locked="true" hidden="false"/>
    </xf>
    <xf numFmtId="170" fontId="9" fillId="6" borderId="1" xfId="0" applyFont="true" applyBorder="true" applyAlignment="true" applyProtection="false">
      <alignment horizontal="center" vertical="top" textRotation="0" wrapText="false" indent="0" shrinkToFit="false"/>
      <protection locked="true" hidden="false"/>
    </xf>
    <xf numFmtId="171" fontId="8" fillId="0" borderId="1" xfId="0" applyFont="true" applyBorder="true" applyAlignment="true" applyProtection="false">
      <alignment horizontal="center" vertical="top" textRotation="0" wrapText="true" indent="0" shrinkToFit="false"/>
      <protection locked="true" hidden="false"/>
    </xf>
    <xf numFmtId="171" fontId="8" fillId="3" borderId="1" xfId="0" applyFont="true" applyBorder="true" applyAlignment="true" applyProtection="false">
      <alignment horizontal="center" vertical="top" textRotation="0" wrapText="true" indent="0" shrinkToFit="false"/>
      <protection locked="true" hidden="false"/>
    </xf>
    <xf numFmtId="167" fontId="9" fillId="6" borderId="1" xfId="0" applyFont="true" applyBorder="true" applyAlignment="true" applyProtection="false">
      <alignment horizontal="center" vertical="top" textRotation="0" wrapText="false" indent="0" shrinkToFit="false"/>
      <protection locked="true" hidden="false"/>
    </xf>
    <xf numFmtId="169" fontId="8" fillId="10" borderId="1" xfId="0" applyFont="true" applyBorder="true" applyAlignment="true" applyProtection="false">
      <alignment horizontal="center" vertical="top" textRotation="0" wrapText="false" indent="0" shrinkToFit="false"/>
      <protection locked="true" hidden="false"/>
    </xf>
    <xf numFmtId="169" fontId="8" fillId="0" borderId="1" xfId="0" applyFont="true" applyBorder="true" applyAlignment="true" applyProtection="false">
      <alignment horizontal="center" vertical="top" textRotation="0" wrapText="false" indent="0" shrinkToFit="false"/>
      <protection locked="true" hidden="false"/>
    </xf>
    <xf numFmtId="169" fontId="11" fillId="7" borderId="1" xfId="0" applyFont="true" applyBorder="true" applyAlignment="true" applyProtection="false">
      <alignment horizontal="center" vertical="top" textRotation="0" wrapText="false" indent="0" shrinkToFit="false"/>
      <protection locked="true" hidden="false"/>
    </xf>
    <xf numFmtId="170" fontId="11" fillId="7" borderId="1" xfId="0" applyFont="true" applyBorder="true" applyAlignment="true" applyProtection="false">
      <alignment horizontal="center" vertical="top"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6" fillId="3" borderId="0" xfId="0" applyFont="true" applyBorder="true" applyAlignment="true" applyProtection="false">
      <alignment horizontal="left" vertical="top" textRotation="0" wrapText="true" indent="0" shrinkToFit="false"/>
      <protection locked="true" hidden="false"/>
    </xf>
    <xf numFmtId="172" fontId="8" fillId="0" borderId="1" xfId="0" applyFont="true" applyBorder="true" applyAlignment="true" applyProtection="false">
      <alignment horizontal="center" vertical="top" textRotation="0" wrapText="true" indent="0" shrinkToFit="false"/>
      <protection locked="true" hidden="false"/>
    </xf>
    <xf numFmtId="172" fontId="8" fillId="3" borderId="1" xfId="0" applyFont="true" applyBorder="true" applyAlignment="true" applyProtection="false">
      <alignment horizontal="center" vertical="top" textRotation="0" wrapText="true" indent="0" shrinkToFit="false"/>
      <protection locked="true" hidden="false"/>
    </xf>
    <xf numFmtId="173" fontId="9" fillId="6" borderId="1" xfId="0" applyFont="true" applyBorder="true" applyAlignment="true" applyProtection="false">
      <alignment horizontal="center" vertical="top" textRotation="0" wrapText="false" indent="0" shrinkToFit="false"/>
      <protection locked="true" hidden="false"/>
    </xf>
    <xf numFmtId="174" fontId="8" fillId="0" borderId="1" xfId="0" applyFont="true" applyBorder="true" applyAlignment="true" applyProtection="false">
      <alignment horizontal="center" vertical="top" textRotation="0" wrapText="true" indent="0" shrinkToFit="false"/>
      <protection locked="true" hidden="false"/>
    </xf>
    <xf numFmtId="174" fontId="8" fillId="3" borderId="1" xfId="0" applyFont="true" applyBorder="true" applyAlignment="true" applyProtection="false">
      <alignment horizontal="center" vertical="top" textRotation="0" wrapText="true" indent="0" shrinkToFit="false"/>
      <protection locked="true" hidden="false"/>
    </xf>
    <xf numFmtId="164" fontId="13" fillId="2" borderId="0"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8" fontId="8" fillId="10" borderId="1" xfId="0" applyFont="true" applyBorder="true" applyAlignment="true" applyProtection="false">
      <alignment horizontal="center" vertical="top" textRotation="0" wrapText="false" indent="0" shrinkToFit="false"/>
      <protection locked="true" hidden="false"/>
    </xf>
    <xf numFmtId="169" fontId="11" fillId="0" borderId="1" xfId="0" applyFont="true" applyBorder="true" applyAlignment="true" applyProtection="false">
      <alignment horizontal="center" vertical="top" textRotation="0" wrapText="true" indent="0" shrinkToFit="false"/>
      <protection locked="true" hidden="false"/>
    </xf>
    <xf numFmtId="169" fontId="11" fillId="3" borderId="1" xfId="0" applyFont="true" applyBorder="true" applyAlignment="true" applyProtection="false">
      <alignment horizontal="center" vertical="top" textRotation="0" wrapText="true" indent="0" shrinkToFit="false"/>
      <protection locked="true" hidden="false"/>
    </xf>
    <xf numFmtId="172" fontId="9" fillId="6" borderId="1" xfId="0" applyFont="true" applyBorder="true" applyAlignment="true" applyProtection="false">
      <alignment horizontal="center" vertical="top" textRotation="0" wrapText="false" indent="0" shrinkToFit="false"/>
      <protection locked="true" hidden="false"/>
    </xf>
    <xf numFmtId="172" fontId="8" fillId="0" borderId="1" xfId="0" applyFont="true" applyBorder="true" applyAlignment="true" applyProtection="false">
      <alignment horizontal="center" vertical="top" textRotation="0" wrapText="false" indent="0" shrinkToFit="false"/>
      <protection locked="true" hidden="false"/>
    </xf>
    <xf numFmtId="175" fontId="8" fillId="0" borderId="1" xfId="0" applyFont="true" applyBorder="true" applyAlignment="true" applyProtection="false">
      <alignment horizontal="center" vertical="top" textRotation="0" wrapText="false" indent="0" shrinkToFit="false"/>
      <protection locked="true" hidden="false"/>
    </xf>
    <xf numFmtId="172" fontId="11" fillId="7" borderId="1" xfId="0" applyFont="true" applyBorder="true" applyAlignment="true" applyProtection="false">
      <alignment horizontal="center" vertical="top" textRotation="0" wrapText="false" indent="0" shrinkToFit="false"/>
      <protection locked="true" hidden="false"/>
    </xf>
    <xf numFmtId="176" fontId="8" fillId="0" borderId="1" xfId="0" applyFont="true" applyBorder="true" applyAlignment="true" applyProtection="false">
      <alignment horizontal="center" vertical="top" textRotation="0" wrapText="false" indent="0" shrinkToFit="false"/>
      <protection locked="true" hidden="false"/>
    </xf>
    <xf numFmtId="171" fontId="8" fillId="0" borderId="1" xfId="0" applyFont="true" applyBorder="true" applyAlignment="true" applyProtection="false">
      <alignment horizontal="center" vertical="top" textRotation="0" wrapText="false" indent="0" shrinkToFit="false"/>
      <protection locked="true" hidden="false"/>
    </xf>
    <xf numFmtId="169" fontId="8" fillId="7" borderId="1" xfId="0" applyFont="true" applyBorder="true" applyAlignment="true" applyProtection="false">
      <alignment horizontal="center" vertical="top" textRotation="0" wrapText="true" indent="0" shrinkToFit="false"/>
      <protection locked="true" hidden="false"/>
    </xf>
    <xf numFmtId="169" fontId="10" fillId="10" borderId="1" xfId="0" applyFont="true" applyBorder="true" applyAlignment="true" applyProtection="false">
      <alignment horizontal="center" vertical="top" textRotation="0" wrapText="fals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xf numFmtId="175" fontId="8" fillId="0" borderId="1" xfId="0" applyFont="true" applyBorder="true" applyAlignment="true" applyProtection="false">
      <alignment horizontal="center" vertical="top" textRotation="0" wrapText="true" indent="0" shrinkToFit="false"/>
      <protection locked="true" hidden="false"/>
    </xf>
    <xf numFmtId="175" fontId="8" fillId="3" borderId="1" xfId="0" applyFont="true" applyBorder="true" applyAlignment="true" applyProtection="false">
      <alignment horizontal="center" vertical="top" textRotation="0" wrapText="true" indent="0" shrinkToFit="false"/>
      <protection locked="true" hidden="false"/>
    </xf>
    <xf numFmtId="169" fontId="9" fillId="6" borderId="1" xfId="0" applyFont="true" applyBorder="true" applyAlignment="true" applyProtection="false">
      <alignment horizontal="center" vertical="top" textRotation="0" wrapText="false" indent="0" shrinkToFit="false"/>
      <protection locked="true" hidden="false"/>
    </xf>
    <xf numFmtId="177" fontId="8" fillId="0" borderId="1" xfId="0" applyFont="true" applyBorder="true" applyAlignment="true" applyProtection="false">
      <alignment horizontal="center" vertical="top" textRotation="0" wrapText="true" indent="0" shrinkToFit="false"/>
      <protection locked="true" hidden="false"/>
    </xf>
    <xf numFmtId="177" fontId="11" fillId="7" borderId="1" xfId="0" applyFont="true" applyBorder="true" applyAlignment="true" applyProtection="false">
      <alignment horizontal="center" vertical="top" textRotation="0" wrapText="true" indent="0" shrinkToFit="false"/>
      <protection locked="true" hidden="false"/>
    </xf>
    <xf numFmtId="177" fontId="8" fillId="3" borderId="1" xfId="0" applyFont="true" applyBorder="true" applyAlignment="true" applyProtection="false">
      <alignment horizontal="center" vertical="top" textRotation="0" wrapText="true" indent="0" shrinkToFit="false"/>
      <protection locked="true" hidden="false"/>
    </xf>
    <xf numFmtId="164" fontId="12" fillId="9" borderId="0" xfId="0" applyFont="true" applyBorder="false" applyAlignment="true" applyProtection="false">
      <alignment horizontal="left" vertical="top" textRotation="0" wrapText="true" indent="0" shrinkToFit="false"/>
      <protection locked="true" hidden="false"/>
    </xf>
    <xf numFmtId="167" fontId="8" fillId="10" borderId="1" xfId="0" applyFont="true" applyBorder="true" applyAlignment="true" applyProtection="false">
      <alignment horizontal="center" vertical="top" textRotation="0" wrapText="false" indent="0" shrinkToFit="false"/>
      <protection locked="true" hidden="false"/>
    </xf>
    <xf numFmtId="168" fontId="11" fillId="7" borderId="1" xfId="0" applyFont="true" applyBorder="true" applyAlignment="true" applyProtection="false">
      <alignment horizontal="center" vertical="top" textRotation="0" wrapText="false" indent="0" shrinkToFit="false"/>
      <protection locked="true" hidden="false"/>
    </xf>
    <xf numFmtId="168" fontId="8" fillId="0" borderId="1" xfId="0" applyFont="true" applyBorder="true" applyAlignment="true" applyProtection="false">
      <alignment horizontal="center" vertical="top" textRotation="0" wrapText="false" indent="0" shrinkToFit="false"/>
      <protection locked="true" hidden="false"/>
    </xf>
    <xf numFmtId="164" fontId="19" fillId="6" borderId="0" xfId="0" applyFont="true" applyBorder="true" applyAlignment="true" applyProtection="false">
      <alignment horizontal="left" vertical="top" textRotation="0" wrapText="true" indent="0" shrinkToFit="false"/>
      <protection locked="true" hidden="false"/>
    </xf>
    <xf numFmtId="178" fontId="8" fillId="0" borderId="1" xfId="0" applyFont="true" applyBorder="true" applyAlignment="true" applyProtection="false">
      <alignment horizontal="center" vertical="top" textRotation="0" wrapText="true" indent="0" shrinkToFit="false"/>
      <protection locked="true" hidden="false"/>
    </xf>
    <xf numFmtId="168" fontId="8" fillId="3" borderId="1" xfId="0" applyFont="true" applyBorder="true" applyAlignment="true" applyProtection="false">
      <alignment horizontal="center" vertical="top" textRotation="0" wrapText="true" indent="0" shrinkToFit="false"/>
      <protection locked="true" hidden="false"/>
    </xf>
    <xf numFmtId="178" fontId="8" fillId="3" borderId="1" xfId="0" applyFont="true" applyBorder="true" applyAlignment="true" applyProtection="false">
      <alignment horizontal="center" vertical="top" textRotation="0" wrapText="true" indent="0" shrinkToFit="false"/>
      <protection locked="true" hidden="false"/>
    </xf>
    <xf numFmtId="179" fontId="8" fillId="10" borderId="1" xfId="0" applyFont="true" applyBorder="true" applyAlignment="true" applyProtection="false">
      <alignment horizontal="center" vertical="top" textRotation="0" wrapText="false" indent="0" shrinkToFit="false"/>
      <protection locked="true" hidden="false"/>
    </xf>
    <xf numFmtId="170" fontId="10" fillId="10" borderId="1" xfId="0" applyFont="true" applyBorder="true" applyAlignment="true" applyProtection="false">
      <alignment horizontal="center"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6" fontId="8" fillId="3" borderId="1" xfId="0" applyFont="true" applyBorder="true" applyAlignment="true" applyProtection="false">
      <alignment horizontal="center" vertical="top" textRotation="0" wrapText="true" indent="0" shrinkToFit="false"/>
      <protection locked="true" hidden="false"/>
    </xf>
    <xf numFmtId="180" fontId="9" fillId="6" borderId="1" xfId="0" applyFont="true" applyBorder="true" applyAlignment="true" applyProtection="false">
      <alignment horizontal="center" vertical="top" textRotation="0" wrapText="fals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4" fontId="11" fillId="7" borderId="0" xfId="0" applyFont="true" applyBorder="true" applyAlignment="true" applyProtection="false">
      <alignment horizontal="left" vertical="top" textRotation="0" wrapText="true" indent="0" shrinkToFit="false"/>
      <protection locked="true" hidden="false"/>
    </xf>
    <xf numFmtId="168" fontId="10" fillId="10" borderId="1" xfId="0" applyFont="true" applyBorder="true" applyAlignment="true" applyProtection="false">
      <alignment horizontal="center" vertical="top" textRotation="0" wrapText="false" indent="0" shrinkToFit="false"/>
      <protection locked="true" hidden="false"/>
    </xf>
    <xf numFmtId="176" fontId="11" fillId="7"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false" indent="0" shrinkToFit="false"/>
      <protection locked="true" hidden="false"/>
    </xf>
    <xf numFmtId="168" fontId="9" fillId="6" borderId="1" xfId="0" applyFont="true" applyBorder="true" applyAlignment="true" applyProtection="false">
      <alignment horizontal="center" vertical="top" textRotation="0" wrapText="true" indent="0" shrinkToFit="false"/>
      <protection locked="true" hidden="false"/>
    </xf>
    <xf numFmtId="164" fontId="23" fillId="0" borderId="0" xfId="0" applyFont="true" applyBorder="false" applyAlignment="true" applyProtection="false">
      <alignment horizontal="left" vertical="top" textRotation="0" wrapText="true" indent="0" shrinkToFit="false"/>
      <protection locked="true" hidden="false"/>
    </xf>
    <xf numFmtId="169" fontId="24" fillId="0" borderId="0" xfId="0" applyFont="true" applyBorder="fals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9" fillId="6" borderId="1" xfId="0" applyFont="true" applyBorder="true" applyAlignment="true" applyProtection="false">
      <alignment horizontal="center" vertical="top" textRotation="0" wrapText="false" indent="0" shrinkToFit="false"/>
      <protection locked="true" hidden="false"/>
    </xf>
    <xf numFmtId="174" fontId="11" fillId="0" borderId="1" xfId="0" applyFont="true" applyBorder="true" applyAlignment="true" applyProtection="false">
      <alignment horizontal="center" vertical="top" textRotation="0" wrapText="true" indent="0" shrinkToFit="false"/>
      <protection locked="true" hidden="false"/>
    </xf>
    <xf numFmtId="174" fontId="11" fillId="3" borderId="1" xfId="0" applyFont="true" applyBorder="true" applyAlignment="true" applyProtection="false">
      <alignment horizontal="center" vertical="top" textRotation="0" wrapText="true" indent="0" shrinkToFit="false"/>
      <protection locked="true" hidden="false"/>
    </xf>
    <xf numFmtId="174" fontId="11" fillId="7" borderId="1" xfId="0" applyFont="true" applyBorder="true" applyAlignment="true" applyProtection="false">
      <alignment horizontal="center" vertical="top" textRotation="0" wrapText="true" indent="0" shrinkToFit="false"/>
      <protection locked="true" hidden="false"/>
    </xf>
    <xf numFmtId="174" fontId="8" fillId="0" borderId="1" xfId="0" applyFont="true" applyBorder="true" applyAlignment="true" applyProtection="false">
      <alignment horizontal="center" vertical="top" textRotation="0" wrapText="false" indent="0" shrinkToFit="false"/>
      <protection locked="true" hidden="false"/>
    </xf>
    <xf numFmtId="176" fontId="8" fillId="0" borderId="1" xfId="0" applyFont="true" applyBorder="true" applyAlignment="true" applyProtection="false">
      <alignment horizontal="center" vertical="top" textRotation="0" wrapText="true" indent="0" shrinkToFit="false"/>
      <protection locked="true" hidden="false"/>
    </xf>
    <xf numFmtId="176" fontId="8" fillId="3" borderId="1" xfId="0" applyFont="true" applyBorder="true" applyAlignment="true" applyProtection="false">
      <alignment horizontal="center" vertical="top" textRotation="0" wrapText="true" indent="0" shrinkToFit="false"/>
      <protection locked="true" hidden="false"/>
    </xf>
    <xf numFmtId="181" fontId="8" fillId="0" borderId="1" xfId="0" applyFont="true" applyBorder="true" applyAlignment="true" applyProtection="false">
      <alignment horizontal="center" vertical="top" textRotation="0" wrapText="false" indent="0" shrinkToFit="false"/>
      <protection locked="true" hidden="false"/>
    </xf>
    <xf numFmtId="182" fontId="8" fillId="0" borderId="1" xfId="0" applyFont="true" applyBorder="true" applyAlignment="true" applyProtection="false">
      <alignment horizontal="center" vertical="top" textRotation="0" wrapText="false" indent="0" shrinkToFit="false"/>
      <protection locked="true" hidden="false"/>
    </xf>
    <xf numFmtId="177" fontId="11" fillId="7" borderId="1" xfId="0" applyFont="true" applyBorder="true" applyAlignment="true" applyProtection="false">
      <alignment horizontal="center" vertical="top" textRotation="0" wrapText="false" indent="0" shrinkToFit="false"/>
      <protection locked="true" hidden="false"/>
    </xf>
    <xf numFmtId="172" fontId="9" fillId="6" borderId="1" xfId="0" applyFont="true" applyBorder="true" applyAlignment="true" applyProtection="false">
      <alignment horizontal="center" vertical="top" textRotation="0" wrapText="true" indent="0" shrinkToFit="false"/>
      <protection locked="true" hidden="false"/>
    </xf>
    <xf numFmtId="172" fontId="8" fillId="0" borderId="1" xfId="0" applyFont="true" applyBorder="true" applyAlignment="true" applyProtection="false">
      <alignment horizontal="left" vertical="top" textRotation="0" wrapText="true" indent="0" shrinkToFit="false"/>
      <protection locked="true" hidden="false"/>
    </xf>
    <xf numFmtId="177" fontId="8" fillId="0" borderId="1" xfId="0" applyFont="true" applyBorder="true" applyAlignment="true" applyProtection="false">
      <alignment horizontal="left" vertical="top" textRotation="0" wrapText="true" indent="0" shrinkToFit="false"/>
      <protection locked="true" hidden="false"/>
    </xf>
    <xf numFmtId="174" fontId="11" fillId="7" borderId="1" xfId="0" applyFont="true" applyBorder="true" applyAlignment="true" applyProtection="false">
      <alignment horizontal="center" vertical="top" textRotation="0" wrapText="false" indent="0" shrinkToFit="false"/>
      <protection locked="true" hidden="false"/>
    </xf>
    <xf numFmtId="168" fontId="11" fillId="0" borderId="1" xfId="0" applyFont="true" applyBorder="true" applyAlignment="true" applyProtection="false">
      <alignment horizontal="center" vertical="top" textRotation="0" wrapText="true" indent="0" shrinkToFit="false"/>
      <protection locked="true" hidden="false"/>
    </xf>
    <xf numFmtId="168" fontId="11" fillId="3"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72" fontId="25" fillId="7" borderId="1" xfId="0" applyFont="true" applyBorder="true" applyAlignment="true" applyProtection="false">
      <alignment horizontal="center" vertical="top" textRotation="0" wrapText="true" indent="0" shrinkToFit="false"/>
      <protection locked="true" hidden="false"/>
    </xf>
    <xf numFmtId="183" fontId="8" fillId="0" borderId="1" xfId="0" applyFont="true" applyBorder="true" applyAlignment="true" applyProtection="false">
      <alignment horizontal="center" vertical="top" textRotation="0" wrapText="true" indent="0" shrinkToFit="false"/>
      <protection locked="true" hidden="false"/>
    </xf>
    <xf numFmtId="173" fontId="8" fillId="0" borderId="1" xfId="0" applyFont="true" applyBorder="true" applyAlignment="true" applyProtection="false">
      <alignment horizontal="center" vertical="top" textRotation="0" wrapText="false" indent="0" shrinkToFit="false"/>
      <protection locked="true" hidden="false"/>
    </xf>
    <xf numFmtId="173" fontId="11" fillId="7" borderId="1" xfId="0" applyFont="true" applyBorder="true" applyAlignment="true" applyProtection="false">
      <alignment horizontal="center" vertical="top" textRotation="0" wrapText="false" indent="0" shrinkToFit="false"/>
      <protection locked="true" hidden="false"/>
    </xf>
    <xf numFmtId="170" fontId="8" fillId="0" borderId="1" xfId="0" applyFont="true" applyBorder="true" applyAlignment="true" applyProtection="false">
      <alignment horizontal="center" vertical="top" textRotation="0" wrapText="true" indent="0" shrinkToFit="false"/>
      <protection locked="true" hidden="false"/>
    </xf>
    <xf numFmtId="170" fontId="8" fillId="3" borderId="1" xfId="0" applyFont="true" applyBorder="true" applyAlignment="true" applyProtection="false">
      <alignment horizontal="center" vertical="top" textRotation="0" wrapText="true" indent="0" shrinkToFit="false"/>
      <protection locked="true" hidden="false"/>
    </xf>
    <xf numFmtId="165" fontId="11" fillId="7" borderId="1" xfId="0" applyFont="true" applyBorder="true" applyAlignment="true" applyProtection="false">
      <alignment horizontal="center" vertical="top" textRotation="0" wrapText="false" indent="0" shrinkToFit="false"/>
      <protection locked="true" hidden="false"/>
    </xf>
    <xf numFmtId="180" fontId="8" fillId="0" borderId="1" xfId="0" applyFont="true" applyBorder="true" applyAlignment="true" applyProtection="false">
      <alignment horizontal="center" vertical="top" textRotation="0" wrapText="true" indent="0" shrinkToFit="false"/>
      <protection locked="true" hidden="false"/>
    </xf>
    <xf numFmtId="180" fontId="8" fillId="3" borderId="1" xfId="0" applyFont="true" applyBorder="true" applyAlignment="true" applyProtection="false">
      <alignment horizontal="center" vertical="top" textRotation="0" wrapText="true" indent="0" shrinkToFit="false"/>
      <protection locked="true" hidden="false"/>
    </xf>
    <xf numFmtId="184" fontId="11" fillId="7" borderId="1" xfId="0" applyFont="true" applyBorder="true" applyAlignment="true" applyProtection="false">
      <alignment horizontal="center" vertical="top" textRotation="0" wrapText="false" indent="0" shrinkToFit="false"/>
      <protection locked="true" hidden="false"/>
    </xf>
    <xf numFmtId="184" fontId="8" fillId="0" borderId="1" xfId="0" applyFont="true" applyBorder="true" applyAlignment="true" applyProtection="false">
      <alignment horizontal="center" vertical="top" textRotation="0" wrapText="false" indent="0" shrinkToFit="false"/>
      <protection locked="true" hidden="false"/>
    </xf>
    <xf numFmtId="182" fontId="11"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C9C9C9"/>
      <rgbColor rgb="FF993366"/>
      <rgbColor rgb="FFFFF2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BE5D6"/>
      <rgbColor rgb="FF9BC2E6"/>
      <rgbColor rgb="FFF4B084"/>
      <rgbColor rgb="FFB4A7D6"/>
      <rgbColor rgb="FFFFD966"/>
      <rgbColor rgb="FF2E75B6"/>
      <rgbColor rgb="FF33CCCC"/>
      <rgbColor rgb="FFA9D08E"/>
      <rgbColor rgb="FFD9E2F3"/>
      <rgbColor rgb="FFFF9900"/>
      <rgbColor rgb="FFED7D31"/>
      <rgbColor rgb="FF595959"/>
      <rgbColor rgb="FF878787"/>
      <rgbColor rgb="FF1F3864"/>
      <rgbColor rgb="FF70AD47"/>
      <rgbColor rgb="FF003300"/>
      <rgbColor rgb="FF333300"/>
      <rgbColor rgb="FF7F3F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Positional encoding waves (d_model = 8): fast to slow</a:t>
            </a:r>
          </a:p>
        </c:rich>
      </c:tx>
      <c:overlay val="0"/>
      <c:spPr>
        <a:noFill/>
        <a:ln w="0">
          <a:noFill/>
        </a:ln>
      </c:spPr>
    </c:title>
    <c:autoTitleDeleted val="0"/>
    <c:plotArea>
      <c:scatterChart>
        <c:scatterStyle val="line"/>
        <c:varyColors val="0"/>
        <c:ser>
          <c:idx val="0"/>
          <c:order val="0"/>
          <c:tx>
            <c:strRef>
              <c:f>"dim 1 (i=0, fastest)"</c:f>
              <c:strCache>
                <c:ptCount val="1"/>
                <c:pt idx="0">
                  <c:v>dim 1 (i=0, fastest)</c:v>
                </c:pt>
              </c:strCache>
            </c:strRef>
          </c:tx>
          <c:spPr>
            <a:solidFill>
              <a:srgbClr val="1f3864"/>
            </a:solidFill>
            <a:ln w="2808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 Positional Enc'!$B$55:$B$70</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xVal>
          <c:yVal>
            <c:numRef>
              <c:f>'04 Positional Enc'!$C$55:$C$70</c:f>
              <c:numCache>
                <c:formatCode>0.00</c:formatCode>
                <c:ptCount val="16"/>
                <c:pt idx="0">
                  <c:v>0</c:v>
                </c:pt>
                <c:pt idx="1">
                  <c:v>0.841470984807897</c:v>
                </c:pt>
                <c:pt idx="2">
                  <c:v>0.909297426825682</c:v>
                </c:pt>
                <c:pt idx="3">
                  <c:v>0.141120008059867</c:v>
                </c:pt>
                <c:pt idx="4">
                  <c:v>-0.756802495307928</c:v>
                </c:pt>
                <c:pt idx="5">
                  <c:v>-0.958924274663139</c:v>
                </c:pt>
                <c:pt idx="6">
                  <c:v>-0.279415498198926</c:v>
                </c:pt>
                <c:pt idx="7">
                  <c:v>0.656986598718789</c:v>
                </c:pt>
                <c:pt idx="8">
                  <c:v>0.989358246623382</c:v>
                </c:pt>
                <c:pt idx="9">
                  <c:v>0.412118485241757</c:v>
                </c:pt>
                <c:pt idx="10">
                  <c:v>-0.54402111088937</c:v>
                </c:pt>
                <c:pt idx="11">
                  <c:v>-0.999990206550704</c:v>
                </c:pt>
                <c:pt idx="12">
                  <c:v>-0.536572918000435</c:v>
                </c:pt>
                <c:pt idx="13">
                  <c:v>0.420167036826641</c:v>
                </c:pt>
                <c:pt idx="14">
                  <c:v>0.99060735569487</c:v>
                </c:pt>
                <c:pt idx="15">
                  <c:v>0.650287840157117</c:v>
                </c:pt>
              </c:numCache>
            </c:numRef>
          </c:yVal>
          <c:smooth val="1"/>
        </c:ser>
        <c:ser>
          <c:idx val="1"/>
          <c:order val="1"/>
          <c:tx>
            <c:strRef>
              <c:f>"dim 3 (i=1)"</c:f>
              <c:strCache>
                <c:ptCount val="1"/>
                <c:pt idx="0">
                  <c:v>dim 3 (i=1)</c:v>
                </c:pt>
              </c:strCache>
            </c:strRef>
          </c:tx>
          <c:spPr>
            <a:solidFill>
              <a:srgbClr val="ed7d31"/>
            </a:solidFill>
            <a:ln w="28080">
              <a:solidFill>
                <a:srgbClr val="ed7d3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 Positional Enc'!$B$55:$B$70</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xVal>
          <c:yVal>
            <c:numRef>
              <c:f>'04 Positional Enc'!$E$55:$E$70</c:f>
              <c:numCache>
                <c:formatCode>0.00</c:formatCode>
                <c:ptCount val="16"/>
                <c:pt idx="0">
                  <c:v>0</c:v>
                </c:pt>
                <c:pt idx="1">
                  <c:v>0.0998334166468282</c:v>
                </c:pt>
                <c:pt idx="2">
                  <c:v>0.198669330795061</c:v>
                </c:pt>
                <c:pt idx="3">
                  <c:v>0.29552020666134</c:v>
                </c:pt>
                <c:pt idx="4">
                  <c:v>0.389418342308651</c:v>
                </c:pt>
                <c:pt idx="5">
                  <c:v>0.479425538604203</c:v>
                </c:pt>
                <c:pt idx="6">
                  <c:v>0.564642473395035</c:v>
                </c:pt>
                <c:pt idx="7">
                  <c:v>0.644217687237691</c:v>
                </c:pt>
                <c:pt idx="8">
                  <c:v>0.717356090899523</c:v>
                </c:pt>
                <c:pt idx="9">
                  <c:v>0.783326909627483</c:v>
                </c:pt>
                <c:pt idx="10">
                  <c:v>0.841470984807897</c:v>
                </c:pt>
                <c:pt idx="11">
                  <c:v>0.891207360061435</c:v>
                </c:pt>
                <c:pt idx="12">
                  <c:v>0.932039085967226</c:v>
                </c:pt>
                <c:pt idx="13">
                  <c:v>0.963558185417193</c:v>
                </c:pt>
                <c:pt idx="14">
                  <c:v>0.98544972998846</c:v>
                </c:pt>
                <c:pt idx="15">
                  <c:v>0.997494986604054</c:v>
                </c:pt>
              </c:numCache>
            </c:numRef>
          </c:yVal>
          <c:smooth val="1"/>
        </c:ser>
        <c:ser>
          <c:idx val="2"/>
          <c:order val="2"/>
          <c:tx>
            <c:strRef>
              <c:f>"dim 5 (i=2)"</c:f>
              <c:strCache>
                <c:ptCount val="1"/>
                <c:pt idx="0">
                  <c:v>dim 5 (i=2)</c:v>
                </c:pt>
              </c:strCache>
            </c:strRef>
          </c:tx>
          <c:spPr>
            <a:solidFill>
              <a:srgbClr val="2e75b6"/>
            </a:solidFill>
            <a:ln w="28080">
              <a:solidFill>
                <a:srgbClr val="2e75b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 Positional Enc'!$B$55:$B$70</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xVal>
          <c:yVal>
            <c:numRef>
              <c:f>'04 Positional Enc'!$G$55:$G$70</c:f>
              <c:numCache>
                <c:formatCode>0.00</c:formatCode>
                <c:ptCount val="16"/>
                <c:pt idx="0">
                  <c:v>0</c:v>
                </c:pt>
                <c:pt idx="1">
                  <c:v>0.00999983333416666</c:v>
                </c:pt>
                <c:pt idx="2">
                  <c:v>0.0199986666933331</c:v>
                </c:pt>
                <c:pt idx="3">
                  <c:v>0.0299955002024957</c:v>
                </c:pt>
                <c:pt idx="4">
                  <c:v>0.0399893341866342</c:v>
                </c:pt>
                <c:pt idx="5">
                  <c:v>0.0499791692706783</c:v>
                </c:pt>
                <c:pt idx="6">
                  <c:v>0.0599640064794446</c:v>
                </c:pt>
                <c:pt idx="7">
                  <c:v>0.0699428473375328</c:v>
                </c:pt>
                <c:pt idx="8">
                  <c:v>0.0799146939691727</c:v>
                </c:pt>
                <c:pt idx="9">
                  <c:v>0.089878549198011</c:v>
                </c:pt>
                <c:pt idx="10">
                  <c:v>0.0998334166468282</c:v>
                </c:pt>
                <c:pt idx="11">
                  <c:v>0.109778300837175</c:v>
                </c:pt>
                <c:pt idx="12">
                  <c:v>0.119712207288919</c:v>
                </c:pt>
                <c:pt idx="13">
                  <c:v>0.129634142619695</c:v>
                </c:pt>
                <c:pt idx="14">
                  <c:v>0.139543114644237</c:v>
                </c:pt>
                <c:pt idx="15">
                  <c:v>0.149438132473599</c:v>
                </c:pt>
              </c:numCache>
            </c:numRef>
          </c:yVal>
          <c:smooth val="1"/>
        </c:ser>
        <c:ser>
          <c:idx val="3"/>
          <c:order val="3"/>
          <c:tx>
            <c:strRef>
              <c:f>"dim 7 (i=3, slowest)"</c:f>
              <c:strCache>
                <c:ptCount val="1"/>
                <c:pt idx="0">
                  <c:v>dim 7 (i=3, slowest)</c:v>
                </c:pt>
              </c:strCache>
            </c:strRef>
          </c:tx>
          <c:spPr>
            <a:solidFill>
              <a:srgbClr val="70ad47"/>
            </a:solidFill>
            <a:ln w="28080">
              <a:solidFill>
                <a:srgbClr val="70ad4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 Positional Enc'!$B$55:$B$70</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xVal>
          <c:yVal>
            <c:numRef>
              <c:f>'04 Positional Enc'!$I$55:$I$70</c:f>
              <c:numCache>
                <c:formatCode>0.00</c:formatCode>
                <c:ptCount val="16"/>
                <c:pt idx="0">
                  <c:v>0</c:v>
                </c:pt>
                <c:pt idx="1">
                  <c:v>0.000999999833333342</c:v>
                </c:pt>
                <c:pt idx="2">
                  <c:v>0.00199999866666693</c:v>
                </c:pt>
                <c:pt idx="3">
                  <c:v>0.00299999550000203</c:v>
                </c:pt>
                <c:pt idx="4">
                  <c:v>0.00399998933334187</c:v>
                </c:pt>
                <c:pt idx="5">
                  <c:v>0.00499997916669271</c:v>
                </c:pt>
                <c:pt idx="6">
                  <c:v>0.0059999640000648</c:v>
                </c:pt>
                <c:pt idx="7">
                  <c:v>0.00699994283347339</c:v>
                </c:pt>
                <c:pt idx="8">
                  <c:v>0.00799991466693973</c:v>
                </c:pt>
                <c:pt idx="9">
                  <c:v>0.00899987850049207</c:v>
                </c:pt>
                <c:pt idx="10">
                  <c:v>0.00999983333416666</c:v>
                </c:pt>
                <c:pt idx="11">
                  <c:v>0.0109997781680088</c:v>
                </c:pt>
                <c:pt idx="12">
                  <c:v>0.0119997120020736</c:v>
                </c:pt>
                <c:pt idx="13">
                  <c:v>0.0129996338364274</c:v>
                </c:pt>
                <c:pt idx="14">
                  <c:v>0.0139995426711485</c:v>
                </c:pt>
                <c:pt idx="15">
                  <c:v>0.0149994375063281</c:v>
                </c:pt>
              </c:numCache>
            </c:numRef>
          </c:yVal>
          <c:smooth val="1"/>
        </c:ser>
        <c:axId val="66431032"/>
        <c:axId val="94222881"/>
      </c:scatterChart>
      <c:valAx>
        <c:axId val="66431032"/>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222881"/>
        <c:crosses val="autoZero"/>
        <c:crossBetween val="midCat"/>
      </c:valAx>
      <c:valAx>
        <c:axId val="9422288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3103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Learning rate schedule (Equation 3): warm-up then 1/√step decay</a:t>
            </a:r>
          </a:p>
        </c:rich>
      </c:tx>
      <c:overlay val="0"/>
      <c:spPr>
        <a:noFill/>
        <a:ln w="0">
          <a:noFill/>
        </a:ln>
      </c:spPr>
    </c:title>
    <c:autoTitleDeleted val="0"/>
    <c:plotArea>
      <c:scatterChart>
        <c:scatterStyle val="line"/>
        <c:varyColors val="0"/>
        <c:ser>
          <c:idx val="0"/>
          <c:order val="0"/>
          <c:tx>
            <c:strRef>
              <c:f>"lrate"</c:f>
              <c:strCache>
                <c:ptCount val="1"/>
                <c:pt idx="0">
                  <c:v>lrate</c:v>
                </c:pt>
              </c:strCache>
            </c:strRef>
          </c:tx>
          <c:spPr>
            <a:solidFill>
              <a:srgbClr val="2e75b6"/>
            </a:solidFill>
            <a:ln w="28080">
              <a:solidFill>
                <a:srgbClr val="2e75b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'14 Optimizer and LR'!$B$95:$B$195</c:f>
              <c:numCache>
                <c:formatCode>#,##0</c:formatCode>
                <c:ptCount val="101"/>
                <c:pt idx="0">
                  <c:v>1</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numCache>
            </c:numRef>
          </c:xVal>
          <c:yVal>
            <c:numRef>
              <c:f>'14 Optimizer and LR'!$C$95:$C$195</c:f>
              <c:numCache>
                <c:formatCode>0.000000</c:formatCode>
                <c:ptCount val="101"/>
                <c:pt idx="0">
                  <c:v>1.74692810742171E-007</c:v>
                </c:pt>
                <c:pt idx="1">
                  <c:v>0.000174692810742171</c:v>
                </c:pt>
                <c:pt idx="2">
                  <c:v>0.000349385621484342</c:v>
                </c:pt>
                <c:pt idx="3">
                  <c:v>0.000524078432226513</c:v>
                </c:pt>
                <c:pt idx="4">
                  <c:v>0.000698771242968684</c:v>
                </c:pt>
                <c:pt idx="5">
                  <c:v>0.000625</c:v>
                </c:pt>
                <c:pt idx="6">
                  <c:v>0.000570544330734548</c:v>
                </c:pt>
                <c:pt idx="7">
                  <c:v>0.000528221409205323</c:v>
                </c:pt>
                <c:pt idx="8">
                  <c:v>0.000494105884401309</c:v>
                </c:pt>
                <c:pt idx="9">
                  <c:v>0.000465847495312456</c:v>
                </c:pt>
                <c:pt idx="10">
                  <c:v>0.000441941738241592</c:v>
                </c:pt>
                <c:pt idx="11">
                  <c:v>0.000421374914039526</c:v>
                </c:pt>
                <c:pt idx="12">
                  <c:v>0.000403435765229939</c:v>
                </c:pt>
                <c:pt idx="13">
                  <c:v>0.000387608545591277</c:v>
                </c:pt>
                <c:pt idx="14">
                  <c:v>0.000373508940416998</c:v>
                </c:pt>
                <c:pt idx="15">
                  <c:v>0.000360843918243516</c:v>
                </c:pt>
                <c:pt idx="16">
                  <c:v>0.000349385621484342</c:v>
                </c:pt>
                <c:pt idx="17">
                  <c:v>0.00033895384034165</c:v>
                </c:pt>
                <c:pt idx="18">
                  <c:v>0.000329403922934206</c:v>
                </c:pt>
                <c:pt idx="19">
                  <c:v>0.000320618235026611</c:v>
                </c:pt>
                <c:pt idx="20">
                  <c:v>0.0003125</c:v>
                </c:pt>
                <c:pt idx="21">
                  <c:v>0.000304968772796417</c:v>
                </c:pt>
                <c:pt idx="22">
                  <c:v>0.000297957059139248</c:v>
                </c:pt>
                <c:pt idx="23">
                  <c:v>0.000291407752575098</c:v>
                </c:pt>
                <c:pt idx="24">
                  <c:v>0.000285272165367274</c:v>
                </c:pt>
                <c:pt idx="25">
                  <c:v>0.000279508497187474</c:v>
                </c:pt>
                <c:pt idx="26">
                  <c:v>0.000274080631033447</c:v>
                </c:pt>
                <c:pt idx="27">
                  <c:v>0.00026895717681996</c:v>
                </c:pt>
                <c:pt idx="28">
                  <c:v>0.000264110704602661</c:v>
                </c:pt>
                <c:pt idx="29">
                  <c:v>0.000259517124542937</c:v>
                </c:pt>
                <c:pt idx="30">
                  <c:v>0.000255155181539914</c:v>
                </c:pt>
                <c:pt idx="31">
                  <c:v>0.000251006040282031</c:v>
                </c:pt>
                <c:pt idx="32">
                  <c:v>0.000247052942200655</c:v>
                </c:pt>
                <c:pt idx="33">
                  <c:v>0.000243280920050476</c:v>
                </c:pt>
                <c:pt idx="34">
                  <c:v>0.000239676559014803</c:v>
                </c:pt>
                <c:pt idx="35">
                  <c:v>0.000236227795630767</c:v>
                </c:pt>
                <c:pt idx="36">
                  <c:v>0.000232923747656228</c:v>
                </c:pt>
                <c:pt idx="37">
                  <c:v>0.000229754569404315</c:v>
                </c:pt>
                <c:pt idx="38">
                  <c:v>0.000226711328159379</c:v>
                </c:pt>
                <c:pt idx="39">
                  <c:v>0.000223785898137323</c:v>
                </c:pt>
                <c:pt idx="40">
                  <c:v>0.000220970869120796</c:v>
                </c:pt>
                <c:pt idx="41">
                  <c:v>0.000218259467427993</c:v>
                </c:pt>
                <c:pt idx="42">
                  <c:v>0.000215645487294486</c:v>
                </c:pt>
                <c:pt idx="43">
                  <c:v>0.000213123231084523</c:v>
                </c:pt>
                <c:pt idx="44">
                  <c:v>0.000210687457019763</c:v>
                </c:pt>
                <c:pt idx="45">
                  <c:v>0.000208333333333333</c:v>
                </c:pt>
                <c:pt idx="46">
                  <c:v>0.000206056397936183</c:v>
                </c:pt>
                <c:pt idx="47">
                  <c:v>0.000203852522829201</c:v>
                </c:pt>
                <c:pt idx="48">
                  <c:v>0.00020171788261497</c:v>
                </c:pt>
                <c:pt idx="49">
                  <c:v>0.000199648926562481</c:v>
                </c:pt>
                <c:pt idx="50">
                  <c:v>0.000197642353760524</c:v>
                </c:pt>
                <c:pt idx="51">
                  <c:v>0.000195695090964109</c:v>
                </c:pt>
                <c:pt idx="52">
                  <c:v>0.000193804272795638</c:v>
                </c:pt>
                <c:pt idx="53">
                  <c:v>0.00019196722401061</c:v>
                </c:pt>
                <c:pt idx="54">
                  <c:v>0.000190181443578183</c:v>
                </c:pt>
                <c:pt idx="55">
                  <c:v>0.000188444590361102</c:v>
                </c:pt>
                <c:pt idx="56">
                  <c:v>0.000186754470208499</c:v>
                </c:pt>
                <c:pt idx="57">
                  <c:v>0.000185109024299716</c:v>
                </c:pt>
                <c:pt idx="58">
                  <c:v>0.000183506318598345</c:v>
                </c:pt>
                <c:pt idx="59">
                  <c:v>0.000181944534293619</c:v>
                </c:pt>
                <c:pt idx="60">
                  <c:v>0.000180421959121758</c:v>
                </c:pt>
                <c:pt idx="61">
                  <c:v>0.000178936979473084</c:v>
                </c:pt>
                <c:pt idx="62">
                  <c:v>0.000177488073202208</c:v>
                </c:pt>
                <c:pt idx="63">
                  <c:v>0.000176073803068441</c:v>
                </c:pt>
                <c:pt idx="64">
                  <c:v>0.000174692810742171</c:v>
                </c:pt>
                <c:pt idx="65">
                  <c:v>0.000173343811320384</c:v>
                </c:pt>
                <c:pt idx="66">
                  <c:v>0.000172025588300994</c:v>
                </c:pt>
                <c:pt idx="67">
                  <c:v>0.000170736988971298</c:v>
                </c:pt>
                <c:pt idx="68">
                  <c:v>0.000169476920170825</c:v>
                </c:pt>
                <c:pt idx="69">
                  <c:v>0.000168244344393177</c:v>
                </c:pt>
                <c:pt idx="70">
                  <c:v>0.000167038276195265</c:v>
                </c:pt>
                <c:pt idx="71">
                  <c:v>0.000165857778885711</c:v>
                </c:pt>
                <c:pt idx="72">
                  <c:v>0.000164701961467103</c:v>
                </c:pt>
                <c:pt idx="73">
                  <c:v>0.000163569975809442</c:v>
                </c:pt>
                <c:pt idx="74">
                  <c:v>0.000162461014034386</c:v>
                </c:pt>
                <c:pt idx="75">
                  <c:v>0.000161374306091976</c:v>
                </c:pt>
                <c:pt idx="76">
                  <c:v>0.000160309117513305</c:v>
                </c:pt>
                <c:pt idx="77">
                  <c:v>0.000159264747324258</c:v>
                </c:pt>
                <c:pt idx="78">
                  <c:v>0.000158240526106823</c:v>
                </c:pt>
                <c:pt idx="79">
                  <c:v>0.000157235814195821</c:v>
                </c:pt>
                <c:pt idx="80">
                  <c:v>0.00015625</c:v>
                </c:pt>
                <c:pt idx="81">
                  <c:v>0.000155282498437485</c:v>
                </c:pt>
                <c:pt idx="82">
                  <c:v>0.000154332749476498</c:v>
                </c:pt>
                <c:pt idx="83">
                  <c:v>0.000153400216773068</c:v>
                </c:pt>
                <c:pt idx="84">
                  <c:v>0.000152484386398208</c:v>
                </c:pt>
                <c:pt idx="85">
                  <c:v>0.000151584765647708</c:v>
                </c:pt>
                <c:pt idx="86">
                  <c:v>0.000150700881928254</c:v>
                </c:pt>
                <c:pt idx="87">
                  <c:v>0.000149832281714183</c:v>
                </c:pt>
                <c:pt idx="88">
                  <c:v>0.000148978529569624</c:v>
                </c:pt>
                <c:pt idx="89">
                  <c:v>0.000148139207231243</c:v>
                </c:pt>
                <c:pt idx="90">
                  <c:v>0.000147313912747197</c:v>
                </c:pt>
                <c:pt idx="91">
                  <c:v>0.00014650225966828</c:v>
                </c:pt>
                <c:pt idx="92">
                  <c:v>0.000145703876287549</c:v>
                </c:pt>
                <c:pt idx="93">
                  <c:v>0.000144918404925053</c:v>
                </c:pt>
                <c:pt idx="94">
                  <c:v>0.000144145501254513</c:v>
                </c:pt>
                <c:pt idx="95">
                  <c:v>0.000143384833669101</c:v>
                </c:pt>
                <c:pt idx="96">
                  <c:v>0.000142636082683637</c:v>
                </c:pt>
                <c:pt idx="97">
                  <c:v>0.000141898940370781</c:v>
                </c:pt>
                <c:pt idx="98">
                  <c:v>0.000141173109828946</c:v>
                </c:pt>
                <c:pt idx="99">
                  <c:v>0.000140458304679842</c:v>
                </c:pt>
                <c:pt idx="100">
                  <c:v>0.000139754248593737</c:v>
                </c:pt>
              </c:numCache>
            </c:numRef>
          </c:yVal>
          <c:smooth val="1"/>
        </c:ser>
        <c:axId val="31755638"/>
        <c:axId val="32719960"/>
      </c:scatterChart>
      <c:valAx>
        <c:axId val="31755638"/>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training step</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719960"/>
        <c:crosses val="autoZero"/>
        <c:crossBetween val="midCat"/>
      </c:valAx>
      <c:valAx>
        <c:axId val="3271996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learning rate</a:t>
                </a:r>
              </a:p>
            </c:rich>
          </c:tx>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55638"/>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71</xdr:row>
      <xdr:rowOff>0</xdr:rowOff>
    </xdr:from>
    <xdr:to>
      <xdr:col>9</xdr:col>
      <xdr:colOff>763200</xdr:colOff>
      <xdr:row>86</xdr:row>
      <xdr:rowOff>22320</xdr:rowOff>
    </xdr:to>
    <xdr:graphicFrame>
      <xdr:nvGraphicFramePr>
        <xdr:cNvPr id="0" name="Chart 1"/>
        <xdr:cNvGraphicFramePr/>
      </xdr:nvGraphicFramePr>
      <xdr:xfrm>
        <a:off x="2489040" y="1607832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47</xdr:row>
      <xdr:rowOff>0</xdr:rowOff>
    </xdr:from>
    <xdr:to>
      <xdr:col>9</xdr:col>
      <xdr:colOff>763200</xdr:colOff>
      <xdr:row>62</xdr:row>
      <xdr:rowOff>21960</xdr:rowOff>
    </xdr:to>
    <xdr:graphicFrame>
      <xdr:nvGraphicFramePr>
        <xdr:cNvPr id="1" name="Chart 1"/>
        <xdr:cNvGraphicFramePr/>
      </xdr:nvGraphicFramePr>
      <xdr:xfrm>
        <a:off x="2489040" y="1102032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check.xlsx" TargetMode="External"/><Relationship Id="rId2" Type="http://schemas.openxmlformats.org/officeDocument/2006/relationships/hyperlink" Target="check.xlsx" TargetMode="External"/><Relationship Id="rId3" Type="http://schemas.openxmlformats.org/officeDocument/2006/relationships/hyperlink" Target="check.xlsx" TargetMode="External"/><Relationship Id="rId4" Type="http://schemas.openxmlformats.org/officeDocument/2006/relationships/hyperlink" Target="check.xlsx" TargetMode="External"/><Relationship Id="rId5" Type="http://schemas.openxmlformats.org/officeDocument/2006/relationships/hyperlink" Target="check.xlsx" TargetMode="External"/><Relationship Id="rId6" Type="http://schemas.openxmlformats.org/officeDocument/2006/relationships/hyperlink" Target="check.xlsx" TargetMode="External"/><Relationship Id="rId7" Type="http://schemas.openxmlformats.org/officeDocument/2006/relationships/hyperlink" Target="check.xlsx" TargetMode="External"/><Relationship Id="rId8" Type="http://schemas.openxmlformats.org/officeDocument/2006/relationships/hyperlink" Target="check.xlsx" TargetMode="External"/><Relationship Id="rId9" Type="http://schemas.openxmlformats.org/officeDocument/2006/relationships/hyperlink" Target="check.xlsx" TargetMode="External"/><Relationship Id="rId10" Type="http://schemas.openxmlformats.org/officeDocument/2006/relationships/hyperlink" Target="check.xlsx" TargetMode="External"/><Relationship Id="rId11" Type="http://schemas.openxmlformats.org/officeDocument/2006/relationships/hyperlink" Target="check.xlsx" TargetMode="External"/><Relationship Id="rId12" Type="http://schemas.openxmlformats.org/officeDocument/2006/relationships/hyperlink" Target="check.xlsx" TargetMode="External"/><Relationship Id="rId13" Type="http://schemas.openxmlformats.org/officeDocument/2006/relationships/hyperlink" Target="check.xlsx" TargetMode="External"/><Relationship Id="rId14" Type="http://schemas.openxmlformats.org/officeDocument/2006/relationships/hyperlink" Target="check.xlsx" TargetMode="External"/><Relationship Id="rId15" Type="http://schemas.openxmlformats.org/officeDocument/2006/relationships/hyperlink" Target="check.xlsx" TargetMode="External"/><Relationship Id="rId16" Type="http://schemas.openxmlformats.org/officeDocument/2006/relationships/hyperlink" Target="check.xlsx" TargetMode="External"/><Relationship Id="rId17" Type="http://schemas.openxmlformats.org/officeDocument/2006/relationships/hyperlink" Target="check.xlsx" TargetMode="External"/><Relationship Id="rId18" Type="http://schemas.openxmlformats.org/officeDocument/2006/relationships/hyperlink" Target="check.xlsx" TargetMode="External"/><Relationship Id="rId19" Type="http://schemas.openxmlformats.org/officeDocument/2006/relationships/hyperlink" Target="check.xlsx" TargetMode="External"/><Relationship Id="rId20" Type="http://schemas.openxmlformats.org/officeDocument/2006/relationships/hyperlink" Target="check.xlsx"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N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0</v>
      </c>
      <c r="C1" s="1"/>
      <c r="D1" s="1"/>
      <c r="E1" s="1"/>
      <c r="F1" s="1"/>
      <c r="G1" s="1"/>
      <c r="H1" s="1"/>
      <c r="I1" s="1"/>
      <c r="J1" s="1"/>
      <c r="K1" s="1"/>
      <c r="L1" s="1"/>
      <c r="M1" s="1"/>
      <c r="N1" s="1"/>
    </row>
    <row r="2" customFormat="false" ht="17.25" hidden="false" customHeight="true" outlineLevel="0" collapsed="false">
      <c r="B2" s="2" t="s">
        <v>1</v>
      </c>
      <c r="C2" s="2"/>
      <c r="D2" s="2"/>
      <c r="E2" s="2"/>
      <c r="F2" s="2"/>
      <c r="G2" s="2"/>
      <c r="H2" s="2"/>
      <c r="I2" s="2"/>
      <c r="J2" s="2"/>
      <c r="K2" s="2"/>
      <c r="L2" s="2"/>
      <c r="M2" s="2"/>
      <c r="N2" s="2"/>
    </row>
    <row r="4" customFormat="false" ht="34.5" hidden="false" customHeight="true" outlineLevel="0" collapsed="false">
      <c r="B4" s="3" t="s">
        <v>2</v>
      </c>
      <c r="C4" s="3"/>
      <c r="D4" s="3"/>
      <c r="E4" s="3"/>
      <c r="F4" s="3"/>
      <c r="G4" s="3"/>
      <c r="H4" s="3"/>
      <c r="I4" s="3"/>
      <c r="J4" s="3"/>
      <c r="K4" s="3"/>
      <c r="L4" s="3"/>
      <c r="M4" s="3"/>
      <c r="N4" s="3"/>
    </row>
    <row r="5" customFormat="false" ht="21.75" hidden="false" customHeight="true" outlineLevel="0" collapsed="false">
      <c r="B5" s="4" t="s">
        <v>3</v>
      </c>
      <c r="C5" s="4"/>
      <c r="D5" s="4"/>
      <c r="E5" s="4"/>
      <c r="F5" s="4"/>
      <c r="G5" s="4"/>
      <c r="H5" s="4"/>
      <c r="I5" s="4"/>
      <c r="J5" s="4"/>
      <c r="K5" s="4"/>
      <c r="L5" s="4"/>
      <c r="M5" s="4"/>
      <c r="N5" s="4"/>
    </row>
    <row r="6" customFormat="false" ht="17.25" hidden="false" customHeight="true" outlineLevel="0" collapsed="false">
      <c r="B6" s="5" t="s">
        <v>4</v>
      </c>
      <c r="C6" s="5"/>
      <c r="D6" s="5"/>
      <c r="E6" s="5"/>
      <c r="F6" s="5"/>
      <c r="G6" s="5"/>
      <c r="H6" s="5"/>
      <c r="I6" s="5"/>
      <c r="J6" s="5"/>
      <c r="K6" s="5"/>
      <c r="L6" s="5"/>
      <c r="M6" s="5"/>
      <c r="N6" s="5"/>
    </row>
    <row r="7" customFormat="false" ht="17.25" hidden="false" customHeight="true" outlineLevel="0" collapsed="false">
      <c r="B7" s="5" t="s">
        <v>5</v>
      </c>
      <c r="C7" s="5"/>
      <c r="D7" s="5"/>
      <c r="E7" s="5"/>
      <c r="F7" s="5"/>
      <c r="G7" s="5"/>
      <c r="H7" s="5"/>
      <c r="I7" s="5"/>
      <c r="J7" s="5"/>
      <c r="K7" s="5"/>
      <c r="L7" s="5"/>
      <c r="M7" s="5"/>
      <c r="N7" s="5"/>
    </row>
    <row r="8" customFormat="false" ht="17.25" hidden="false" customHeight="true" outlineLevel="0" collapsed="false">
      <c r="B8" s="5" t="s">
        <v>6</v>
      </c>
      <c r="C8" s="5"/>
      <c r="D8" s="5"/>
      <c r="E8" s="5"/>
      <c r="F8" s="5"/>
      <c r="G8" s="5"/>
      <c r="H8" s="5"/>
      <c r="I8" s="5"/>
      <c r="J8" s="5"/>
      <c r="K8" s="5"/>
      <c r="L8" s="5"/>
      <c r="M8" s="5"/>
      <c r="N8" s="5"/>
    </row>
    <row r="9" customFormat="false" ht="17.25" hidden="false" customHeight="true" outlineLevel="0" collapsed="false">
      <c r="B9" s="5" t="s">
        <v>7</v>
      </c>
      <c r="C9" s="5"/>
      <c r="D9" s="5"/>
      <c r="E9" s="5"/>
      <c r="F9" s="5"/>
      <c r="G9" s="5"/>
      <c r="H9" s="5"/>
      <c r="I9" s="5"/>
      <c r="J9" s="5"/>
      <c r="K9" s="5"/>
      <c r="L9" s="5"/>
      <c r="M9" s="5"/>
      <c r="N9" s="5"/>
    </row>
    <row r="10" customFormat="false" ht="17.25" hidden="false" customHeight="true" outlineLevel="0" collapsed="false">
      <c r="B10" s="5" t="s">
        <v>8</v>
      </c>
      <c r="C10" s="5"/>
      <c r="D10" s="5"/>
      <c r="E10" s="5"/>
      <c r="F10" s="5"/>
      <c r="G10" s="5"/>
      <c r="H10" s="5"/>
      <c r="I10" s="5"/>
      <c r="J10" s="5"/>
      <c r="K10" s="5"/>
      <c r="L10" s="5"/>
      <c r="M10" s="5"/>
      <c r="N10" s="5"/>
    </row>
    <row r="11" customFormat="false" ht="17.25" hidden="false" customHeight="true" outlineLevel="0" collapsed="false">
      <c r="B11" s="5" t="s">
        <v>9</v>
      </c>
      <c r="C11" s="5"/>
      <c r="D11" s="5"/>
      <c r="E11" s="5"/>
      <c r="F11" s="5"/>
      <c r="G11" s="5"/>
      <c r="H11" s="5"/>
      <c r="I11" s="5"/>
      <c r="J11" s="5"/>
      <c r="K11" s="5"/>
      <c r="L11" s="5"/>
      <c r="M11" s="5"/>
      <c r="N11" s="5"/>
    </row>
    <row r="12" customFormat="false" ht="21.75" hidden="false" customHeight="true" outlineLevel="0" collapsed="false">
      <c r="B12" s="4" t="s">
        <v>10</v>
      </c>
      <c r="C12" s="4"/>
      <c r="D12" s="4"/>
      <c r="E12" s="4"/>
      <c r="F12" s="4"/>
      <c r="G12" s="4"/>
      <c r="H12" s="4"/>
      <c r="I12" s="4"/>
      <c r="J12" s="4"/>
      <c r="K12" s="4"/>
      <c r="L12" s="4"/>
      <c r="M12" s="4"/>
      <c r="N12" s="4"/>
    </row>
    <row r="13" customFormat="false" ht="17.25" hidden="false" customHeight="true" outlineLevel="0" collapsed="false">
      <c r="B13" s="6" t="n">
        <v>1.5</v>
      </c>
      <c r="C13" s="5" t="s">
        <v>11</v>
      </c>
      <c r="D13" s="5"/>
      <c r="E13" s="5"/>
      <c r="F13" s="5"/>
      <c r="G13" s="5"/>
      <c r="H13" s="5"/>
      <c r="I13" s="5"/>
      <c r="J13" s="5"/>
      <c r="K13" s="5"/>
      <c r="L13" s="5"/>
      <c r="M13" s="5"/>
      <c r="N13" s="5"/>
    </row>
    <row r="14" customFormat="false" ht="17.25" hidden="false" customHeight="true" outlineLevel="0" collapsed="false">
      <c r="B14" s="7" t="n">
        <f aca="false">B13*2</f>
        <v>3</v>
      </c>
      <c r="C14" s="5" t="s">
        <v>12</v>
      </c>
      <c r="D14" s="5"/>
      <c r="E14" s="5"/>
      <c r="F14" s="5"/>
      <c r="G14" s="5"/>
      <c r="H14" s="5"/>
      <c r="I14" s="5"/>
      <c r="J14" s="5"/>
      <c r="K14" s="5"/>
      <c r="L14" s="5"/>
      <c r="M14" s="5"/>
      <c r="N14" s="5"/>
    </row>
    <row r="15" customFormat="false" ht="17.25" hidden="false" customHeight="true" outlineLevel="0" collapsed="false">
      <c r="B15" s="8" t="n">
        <f aca="false">B13</f>
        <v>1.5</v>
      </c>
      <c r="C15" s="5" t="s">
        <v>13</v>
      </c>
      <c r="D15" s="5"/>
      <c r="E15" s="5"/>
      <c r="F15" s="5"/>
      <c r="G15" s="5"/>
      <c r="H15" s="5"/>
      <c r="I15" s="5"/>
      <c r="J15" s="5"/>
      <c r="K15" s="5"/>
      <c r="L15" s="5"/>
      <c r="M15" s="5"/>
      <c r="N15" s="5"/>
    </row>
    <row r="16" customFormat="false" ht="17.25" hidden="false" customHeight="true" outlineLevel="0" collapsed="false">
      <c r="B16" s="9" t="n">
        <f aca="false">B13*3</f>
        <v>4.5</v>
      </c>
      <c r="C16" s="5" t="s">
        <v>14</v>
      </c>
      <c r="D16" s="5"/>
      <c r="E16" s="5"/>
      <c r="F16" s="5"/>
      <c r="G16" s="5"/>
      <c r="H16" s="5"/>
      <c r="I16" s="5"/>
      <c r="J16" s="5"/>
      <c r="K16" s="5"/>
      <c r="L16" s="5"/>
      <c r="M16" s="5"/>
      <c r="N16" s="5"/>
    </row>
    <row r="17" customFormat="false" ht="17.25" hidden="false" customHeight="true" outlineLevel="0" collapsed="false">
      <c r="B17" s="10" t="s">
        <v>15</v>
      </c>
      <c r="C17" s="5" t="s">
        <v>16</v>
      </c>
      <c r="D17" s="5"/>
      <c r="E17" s="5"/>
      <c r="F17" s="5"/>
      <c r="G17" s="5"/>
      <c r="H17" s="5"/>
      <c r="I17" s="5"/>
      <c r="J17" s="5"/>
      <c r="K17" s="5"/>
      <c r="L17" s="5"/>
      <c r="M17" s="5"/>
      <c r="N17" s="5"/>
    </row>
    <row r="19" customFormat="false" ht="21.75" hidden="false" customHeight="true" outlineLevel="0" collapsed="false">
      <c r="B19" s="4" t="s">
        <v>17</v>
      </c>
      <c r="C19" s="4"/>
      <c r="D19" s="4"/>
      <c r="E19" s="4"/>
      <c r="F19" s="4"/>
      <c r="G19" s="4"/>
      <c r="H19" s="4"/>
      <c r="I19" s="4"/>
      <c r="J19" s="4"/>
      <c r="K19" s="4"/>
      <c r="L19" s="4"/>
      <c r="M19" s="4"/>
      <c r="N19" s="4"/>
    </row>
    <row r="20" customFormat="false" ht="46.5" hidden="false" customHeight="true" outlineLevel="0" collapsed="false">
      <c r="B20" s="5" t="s">
        <v>18</v>
      </c>
      <c r="C20" s="5"/>
      <c r="D20" s="5"/>
      <c r="E20" s="5"/>
      <c r="F20" s="5"/>
      <c r="G20" s="5"/>
      <c r="H20" s="5"/>
      <c r="I20" s="5"/>
      <c r="J20" s="5"/>
      <c r="K20" s="5"/>
      <c r="L20" s="5"/>
      <c r="M20" s="5"/>
      <c r="N20" s="5"/>
    </row>
    <row r="21" customFormat="false" ht="21.75" hidden="false" customHeight="true" outlineLevel="0" collapsed="false">
      <c r="B21" s="4" t="s">
        <v>19</v>
      </c>
      <c r="C21" s="4"/>
      <c r="D21" s="4"/>
      <c r="E21" s="4"/>
      <c r="F21" s="4"/>
      <c r="G21" s="4"/>
      <c r="H21" s="4"/>
      <c r="I21" s="4"/>
      <c r="J21" s="4"/>
      <c r="K21" s="4"/>
      <c r="L21" s="4"/>
      <c r="M21" s="4"/>
      <c r="N21" s="4"/>
    </row>
    <row r="22" customFormat="false" ht="17.25" hidden="false" customHeight="true" outlineLevel="0" collapsed="false">
      <c r="B22" s="11" t="s">
        <v>20</v>
      </c>
      <c r="C22" s="11"/>
      <c r="D22" s="11"/>
      <c r="E22" s="11" t="s">
        <v>21</v>
      </c>
      <c r="F22" s="11"/>
      <c r="G22" s="11"/>
      <c r="H22" s="11"/>
      <c r="I22" s="11"/>
      <c r="J22" s="11"/>
      <c r="K22" s="11"/>
      <c r="L22" s="11" t="s">
        <v>22</v>
      </c>
      <c r="M22" s="11"/>
      <c r="N22" s="11" t="s">
        <v>23</v>
      </c>
    </row>
    <row r="23" customFormat="false" ht="17.25" hidden="false" customHeight="true" outlineLevel="0" collapsed="false">
      <c r="B23" s="12" t="s">
        <v>24</v>
      </c>
      <c r="C23" s="12"/>
      <c r="D23" s="12"/>
      <c r="E23" s="13" t="s">
        <v>25</v>
      </c>
      <c r="F23" s="13"/>
      <c r="G23" s="13"/>
      <c r="H23" s="13"/>
      <c r="I23" s="13"/>
      <c r="J23" s="13"/>
      <c r="K23" s="13"/>
      <c r="L23" s="13" t="s">
        <v>26</v>
      </c>
      <c r="M23" s="13"/>
      <c r="N23" s="14" t="s">
        <v>27</v>
      </c>
    </row>
    <row r="24" customFormat="false" ht="17.25" hidden="false" customHeight="true" outlineLevel="0" collapsed="false">
      <c r="B24" s="15" t="s">
        <v>28</v>
      </c>
      <c r="C24" s="15"/>
      <c r="D24" s="15"/>
      <c r="E24" s="16" t="s">
        <v>29</v>
      </c>
      <c r="F24" s="16"/>
      <c r="G24" s="16"/>
      <c r="H24" s="16"/>
      <c r="I24" s="16"/>
      <c r="J24" s="16"/>
      <c r="K24" s="16"/>
      <c r="L24" s="16" t="s">
        <v>30</v>
      </c>
      <c r="M24" s="16"/>
      <c r="N24" s="17" t="s">
        <v>27</v>
      </c>
    </row>
    <row r="25" customFormat="false" ht="17.25" hidden="false" customHeight="true" outlineLevel="0" collapsed="false">
      <c r="B25" s="12" t="s">
        <v>31</v>
      </c>
      <c r="C25" s="12"/>
      <c r="D25" s="12"/>
      <c r="E25" s="13" t="s">
        <v>32</v>
      </c>
      <c r="F25" s="13"/>
      <c r="G25" s="13"/>
      <c r="H25" s="13"/>
      <c r="I25" s="13"/>
      <c r="J25" s="13"/>
      <c r="K25" s="13"/>
      <c r="L25" s="13" t="s">
        <v>33</v>
      </c>
      <c r="M25" s="13"/>
      <c r="N25" s="14" t="s">
        <v>27</v>
      </c>
    </row>
    <row r="26" customFormat="false" ht="17.25" hidden="false" customHeight="true" outlineLevel="0" collapsed="false">
      <c r="B26" s="15" t="s">
        <v>34</v>
      </c>
      <c r="C26" s="15"/>
      <c r="D26" s="15"/>
      <c r="E26" s="16" t="s">
        <v>35</v>
      </c>
      <c r="F26" s="16"/>
      <c r="G26" s="16"/>
      <c r="H26" s="16"/>
      <c r="I26" s="16"/>
      <c r="J26" s="16"/>
      <c r="K26" s="16"/>
      <c r="L26" s="16" t="s">
        <v>36</v>
      </c>
      <c r="M26" s="16"/>
      <c r="N26" s="17" t="s">
        <v>37</v>
      </c>
    </row>
    <row r="27" customFormat="false" ht="17.25" hidden="false" customHeight="true" outlineLevel="0" collapsed="false">
      <c r="B27" s="12" t="s">
        <v>38</v>
      </c>
      <c r="C27" s="12"/>
      <c r="D27" s="12"/>
      <c r="E27" s="13" t="s">
        <v>39</v>
      </c>
      <c r="F27" s="13"/>
      <c r="G27" s="13"/>
      <c r="H27" s="13"/>
      <c r="I27" s="13"/>
      <c r="J27" s="13"/>
      <c r="K27" s="13"/>
      <c r="L27" s="13" t="s">
        <v>40</v>
      </c>
      <c r="M27" s="13"/>
      <c r="N27" s="14" t="s">
        <v>27</v>
      </c>
    </row>
    <row r="28" customFormat="false" ht="17.25" hidden="false" customHeight="true" outlineLevel="0" collapsed="false">
      <c r="B28" s="15" t="s">
        <v>41</v>
      </c>
      <c r="C28" s="15"/>
      <c r="D28" s="15"/>
      <c r="E28" s="16" t="s">
        <v>42</v>
      </c>
      <c r="F28" s="16"/>
      <c r="G28" s="16"/>
      <c r="H28" s="16"/>
      <c r="I28" s="16"/>
      <c r="J28" s="16"/>
      <c r="K28" s="16"/>
      <c r="L28" s="16" t="s">
        <v>43</v>
      </c>
      <c r="M28" s="16"/>
      <c r="N28" s="17" t="s">
        <v>37</v>
      </c>
    </row>
    <row r="29" customFormat="false" ht="17.25" hidden="false" customHeight="true" outlineLevel="0" collapsed="false">
      <c r="B29" s="12" t="s">
        <v>44</v>
      </c>
      <c r="C29" s="12"/>
      <c r="D29" s="12"/>
      <c r="E29" s="13" t="s">
        <v>45</v>
      </c>
      <c r="F29" s="13"/>
      <c r="G29" s="13"/>
      <c r="H29" s="13"/>
      <c r="I29" s="13"/>
      <c r="J29" s="13"/>
      <c r="K29" s="13"/>
      <c r="L29" s="13" t="s">
        <v>46</v>
      </c>
      <c r="M29" s="13"/>
      <c r="N29" s="14" t="s">
        <v>37</v>
      </c>
    </row>
    <row r="30" customFormat="false" ht="17.25" hidden="false" customHeight="true" outlineLevel="0" collapsed="false">
      <c r="B30" s="15" t="s">
        <v>47</v>
      </c>
      <c r="C30" s="15"/>
      <c r="D30" s="15"/>
      <c r="E30" s="16" t="s">
        <v>48</v>
      </c>
      <c r="F30" s="16"/>
      <c r="G30" s="16"/>
      <c r="H30" s="16"/>
      <c r="I30" s="16"/>
      <c r="J30" s="16"/>
      <c r="K30" s="16"/>
      <c r="L30" s="16" t="s">
        <v>49</v>
      </c>
      <c r="M30" s="16"/>
      <c r="N30" s="17" t="s">
        <v>37</v>
      </c>
    </row>
    <row r="31" customFormat="false" ht="17.25" hidden="false" customHeight="true" outlineLevel="0" collapsed="false">
      <c r="B31" s="12" t="s">
        <v>50</v>
      </c>
      <c r="C31" s="12"/>
      <c r="D31" s="12"/>
      <c r="E31" s="13" t="s">
        <v>51</v>
      </c>
      <c r="F31" s="13"/>
      <c r="G31" s="13"/>
      <c r="H31" s="13"/>
      <c r="I31" s="13"/>
      <c r="J31" s="13"/>
      <c r="K31" s="13"/>
      <c r="L31" s="13" t="s">
        <v>52</v>
      </c>
      <c r="M31" s="13"/>
      <c r="N31" s="14" t="s">
        <v>27</v>
      </c>
    </row>
    <row r="32" customFormat="false" ht="17.25" hidden="false" customHeight="true" outlineLevel="0" collapsed="false">
      <c r="B32" s="15" t="s">
        <v>53</v>
      </c>
      <c r="C32" s="15"/>
      <c r="D32" s="15"/>
      <c r="E32" s="16" t="s">
        <v>54</v>
      </c>
      <c r="F32" s="16"/>
      <c r="G32" s="16"/>
      <c r="H32" s="16"/>
      <c r="I32" s="16"/>
      <c r="J32" s="16"/>
      <c r="K32" s="16"/>
      <c r="L32" s="16" t="s">
        <v>55</v>
      </c>
      <c r="M32" s="16"/>
      <c r="N32" s="17" t="s">
        <v>37</v>
      </c>
    </row>
    <row r="33" customFormat="false" ht="17.25" hidden="false" customHeight="true" outlineLevel="0" collapsed="false">
      <c r="B33" s="12" t="s">
        <v>56</v>
      </c>
      <c r="C33" s="12"/>
      <c r="D33" s="12"/>
      <c r="E33" s="13" t="s">
        <v>57</v>
      </c>
      <c r="F33" s="13"/>
      <c r="G33" s="13"/>
      <c r="H33" s="13"/>
      <c r="I33" s="13"/>
      <c r="J33" s="13"/>
      <c r="K33" s="13"/>
      <c r="L33" s="13" t="s">
        <v>58</v>
      </c>
      <c r="M33" s="13"/>
      <c r="N33" s="14" t="s">
        <v>37</v>
      </c>
    </row>
    <row r="34" customFormat="false" ht="17.25" hidden="false" customHeight="true" outlineLevel="0" collapsed="false">
      <c r="B34" s="15" t="s">
        <v>59</v>
      </c>
      <c r="C34" s="15"/>
      <c r="D34" s="15"/>
      <c r="E34" s="16" t="s">
        <v>60</v>
      </c>
      <c r="F34" s="16"/>
      <c r="G34" s="16"/>
      <c r="H34" s="16"/>
      <c r="I34" s="16"/>
      <c r="J34" s="16"/>
      <c r="K34" s="16"/>
      <c r="L34" s="16" t="s">
        <v>61</v>
      </c>
      <c r="M34" s="16"/>
      <c r="N34" s="17" t="s">
        <v>37</v>
      </c>
    </row>
    <row r="35" customFormat="false" ht="17.25" hidden="false" customHeight="true" outlineLevel="0" collapsed="false">
      <c r="B35" s="12" t="s">
        <v>62</v>
      </c>
      <c r="C35" s="12"/>
      <c r="D35" s="12"/>
      <c r="E35" s="13" t="s">
        <v>63</v>
      </c>
      <c r="F35" s="13"/>
      <c r="G35" s="13"/>
      <c r="H35" s="13"/>
      <c r="I35" s="13"/>
      <c r="J35" s="13"/>
      <c r="K35" s="13"/>
      <c r="L35" s="13" t="s">
        <v>64</v>
      </c>
      <c r="M35" s="13"/>
      <c r="N35" s="14" t="s">
        <v>37</v>
      </c>
    </row>
    <row r="36" customFormat="false" ht="17.25" hidden="false" customHeight="true" outlineLevel="0" collapsed="false">
      <c r="B36" s="15" t="s">
        <v>65</v>
      </c>
      <c r="C36" s="15"/>
      <c r="D36" s="15"/>
      <c r="E36" s="16" t="s">
        <v>66</v>
      </c>
      <c r="F36" s="16"/>
      <c r="G36" s="16"/>
      <c r="H36" s="16"/>
      <c r="I36" s="16"/>
      <c r="J36" s="16"/>
      <c r="K36" s="16"/>
      <c r="L36" s="16" t="s">
        <v>67</v>
      </c>
      <c r="M36" s="16"/>
      <c r="N36" s="17" t="s">
        <v>37</v>
      </c>
    </row>
    <row r="37" customFormat="false" ht="17.25" hidden="false" customHeight="true" outlineLevel="0" collapsed="false">
      <c r="B37" s="12" t="s">
        <v>68</v>
      </c>
      <c r="C37" s="12"/>
      <c r="D37" s="12"/>
      <c r="E37" s="13" t="s">
        <v>69</v>
      </c>
      <c r="F37" s="13"/>
      <c r="G37" s="13"/>
      <c r="H37" s="13"/>
      <c r="I37" s="13"/>
      <c r="J37" s="13"/>
      <c r="K37" s="13"/>
      <c r="L37" s="13" t="s">
        <v>70</v>
      </c>
      <c r="M37" s="13"/>
      <c r="N37" s="14" t="s">
        <v>27</v>
      </c>
    </row>
    <row r="38" customFormat="false" ht="17.25" hidden="false" customHeight="true" outlineLevel="0" collapsed="false">
      <c r="B38" s="15" t="s">
        <v>71</v>
      </c>
      <c r="C38" s="15"/>
      <c r="D38" s="15"/>
      <c r="E38" s="16" t="s">
        <v>72</v>
      </c>
      <c r="F38" s="16"/>
      <c r="G38" s="16"/>
      <c r="H38" s="16"/>
      <c r="I38" s="16"/>
      <c r="J38" s="16"/>
      <c r="K38" s="16"/>
      <c r="L38" s="16" t="s">
        <v>73</v>
      </c>
      <c r="M38" s="16"/>
      <c r="N38" s="17" t="s">
        <v>37</v>
      </c>
    </row>
    <row r="39" customFormat="false" ht="17.25" hidden="false" customHeight="true" outlineLevel="0" collapsed="false">
      <c r="B39" s="12" t="s">
        <v>74</v>
      </c>
      <c r="C39" s="12"/>
      <c r="D39" s="12"/>
      <c r="E39" s="13" t="s">
        <v>75</v>
      </c>
      <c r="F39" s="13"/>
      <c r="G39" s="13"/>
      <c r="H39" s="13"/>
      <c r="I39" s="13"/>
      <c r="J39" s="13"/>
      <c r="K39" s="13"/>
      <c r="L39" s="13" t="s">
        <v>76</v>
      </c>
      <c r="M39" s="13"/>
      <c r="N39" s="14" t="s">
        <v>77</v>
      </c>
    </row>
    <row r="40" customFormat="false" ht="17.25" hidden="false" customHeight="true" outlineLevel="0" collapsed="false">
      <c r="B40" s="15" t="s">
        <v>78</v>
      </c>
      <c r="C40" s="15"/>
      <c r="D40" s="15"/>
      <c r="E40" s="16" t="s">
        <v>79</v>
      </c>
      <c r="F40" s="16"/>
      <c r="G40" s="16"/>
      <c r="H40" s="16"/>
      <c r="I40" s="16"/>
      <c r="J40" s="16"/>
      <c r="K40" s="16"/>
      <c r="L40" s="16" t="s">
        <v>80</v>
      </c>
      <c r="M40" s="16"/>
      <c r="N40" s="17" t="s">
        <v>37</v>
      </c>
    </row>
    <row r="41" customFormat="false" ht="17.25" hidden="false" customHeight="true" outlineLevel="0" collapsed="false">
      <c r="B41" s="12" t="s">
        <v>81</v>
      </c>
      <c r="C41" s="12"/>
      <c r="D41" s="12"/>
      <c r="E41" s="13" t="s">
        <v>82</v>
      </c>
      <c r="F41" s="13"/>
      <c r="G41" s="13"/>
      <c r="H41" s="13"/>
      <c r="I41" s="13"/>
      <c r="J41" s="13"/>
      <c r="K41" s="13"/>
      <c r="L41" s="13" t="s">
        <v>83</v>
      </c>
      <c r="M41" s="13"/>
      <c r="N41" s="14" t="s">
        <v>27</v>
      </c>
    </row>
    <row r="42" customFormat="false" ht="17.25" hidden="false" customHeight="true" outlineLevel="0" collapsed="false">
      <c r="B42" s="15" t="s">
        <v>84</v>
      </c>
      <c r="C42" s="15"/>
      <c r="D42" s="15"/>
      <c r="E42" s="16" t="s">
        <v>85</v>
      </c>
      <c r="F42" s="16"/>
      <c r="G42" s="16"/>
      <c r="H42" s="16"/>
      <c r="I42" s="16"/>
      <c r="J42" s="16"/>
      <c r="K42" s="16"/>
      <c r="L42" s="16" t="s">
        <v>86</v>
      </c>
      <c r="M42" s="16"/>
      <c r="N42" s="17" t="s">
        <v>86</v>
      </c>
    </row>
    <row r="43" customFormat="false" ht="21.75" hidden="false" customHeight="true" outlineLevel="0" collapsed="false">
      <c r="B43" s="4" t="s">
        <v>87</v>
      </c>
      <c r="C43" s="4"/>
      <c r="D43" s="4"/>
      <c r="E43" s="4"/>
      <c r="F43" s="4"/>
      <c r="G43" s="4"/>
      <c r="H43" s="4"/>
      <c r="I43" s="4"/>
      <c r="J43" s="4"/>
      <c r="K43" s="4"/>
      <c r="L43" s="4"/>
      <c r="M43" s="4"/>
      <c r="N43" s="4"/>
    </row>
    <row r="44" customFormat="false" ht="17.25" hidden="false" customHeight="true" outlineLevel="0" collapsed="false">
      <c r="B44" s="5" t="s">
        <v>88</v>
      </c>
      <c r="C44" s="5"/>
      <c r="D44" s="5"/>
      <c r="E44" s="5"/>
      <c r="F44" s="5"/>
      <c r="G44" s="5"/>
      <c r="H44" s="5"/>
      <c r="I44" s="5"/>
      <c r="J44" s="5"/>
      <c r="K44" s="5"/>
      <c r="L44" s="5"/>
      <c r="M44" s="5"/>
      <c r="N44" s="5"/>
    </row>
    <row r="45" customFormat="false" ht="17.25" hidden="false" customHeight="true" outlineLevel="0" collapsed="false">
      <c r="B45" s="5" t="s">
        <v>89</v>
      </c>
      <c r="C45" s="5"/>
      <c r="D45" s="5"/>
      <c r="E45" s="5"/>
      <c r="F45" s="5"/>
      <c r="G45" s="5"/>
      <c r="H45" s="5"/>
      <c r="I45" s="5"/>
      <c r="J45" s="5"/>
      <c r="K45" s="5"/>
      <c r="L45" s="5"/>
      <c r="M45" s="5"/>
      <c r="N45" s="5"/>
    </row>
    <row r="46" customFormat="false" ht="17.25" hidden="false" customHeight="true" outlineLevel="0" collapsed="false">
      <c r="B46" s="5" t="s">
        <v>90</v>
      </c>
      <c r="C46" s="5"/>
      <c r="D46" s="5"/>
      <c r="E46" s="5"/>
      <c r="F46" s="5"/>
      <c r="G46" s="5"/>
      <c r="H46" s="5"/>
      <c r="I46" s="5"/>
      <c r="J46" s="5"/>
      <c r="K46" s="5"/>
      <c r="L46" s="5"/>
      <c r="M46" s="5"/>
      <c r="N46" s="5"/>
    </row>
    <row r="47" customFormat="false" ht="21.75" hidden="false" customHeight="true" outlineLevel="0" collapsed="false">
      <c r="B47" s="4" t="s">
        <v>91</v>
      </c>
      <c r="C47" s="4"/>
      <c r="D47" s="4"/>
      <c r="E47" s="4"/>
      <c r="F47" s="4"/>
      <c r="G47" s="4"/>
      <c r="H47" s="4"/>
      <c r="I47" s="4"/>
      <c r="J47" s="4"/>
      <c r="K47" s="4"/>
      <c r="L47" s="4"/>
      <c r="M47" s="4"/>
      <c r="N47" s="4"/>
    </row>
    <row r="48" customFormat="false" ht="60.75" hidden="false" customHeight="true" outlineLevel="0" collapsed="false">
      <c r="B48" s="5" t="s">
        <v>92</v>
      </c>
      <c r="C48" s="5"/>
      <c r="D48" s="5"/>
      <c r="E48" s="5"/>
      <c r="F48" s="5"/>
      <c r="G48" s="5"/>
      <c r="H48" s="5"/>
      <c r="I48" s="5"/>
      <c r="J48" s="5"/>
      <c r="K48" s="5"/>
      <c r="L48" s="5"/>
      <c r="M48" s="5"/>
      <c r="N48" s="5"/>
    </row>
    <row r="49" customFormat="false" ht="31.5" hidden="false" customHeight="true" outlineLevel="0" collapsed="false">
      <c r="B49" s="18" t="s">
        <v>93</v>
      </c>
      <c r="C49" s="18"/>
      <c r="D49" s="18"/>
      <c r="E49" s="18"/>
      <c r="F49" s="18"/>
      <c r="G49" s="18"/>
      <c r="H49" s="18"/>
      <c r="I49" s="18"/>
      <c r="J49" s="18"/>
      <c r="K49" s="18"/>
      <c r="L49" s="18"/>
      <c r="M49" s="18"/>
      <c r="N49" s="18"/>
    </row>
  </sheetData>
  <mergeCells count="89">
    <mergeCell ref="B1:N1"/>
    <mergeCell ref="B2:N2"/>
    <mergeCell ref="B4:N4"/>
    <mergeCell ref="B5:N5"/>
    <mergeCell ref="B6:N6"/>
    <mergeCell ref="B7:N7"/>
    <mergeCell ref="B8:N8"/>
    <mergeCell ref="B9:N9"/>
    <mergeCell ref="B10:N10"/>
    <mergeCell ref="B11:N11"/>
    <mergeCell ref="B12:N12"/>
    <mergeCell ref="C13:N13"/>
    <mergeCell ref="C14:N14"/>
    <mergeCell ref="C15:N15"/>
    <mergeCell ref="C16:N16"/>
    <mergeCell ref="C17:N17"/>
    <mergeCell ref="B19:N19"/>
    <mergeCell ref="B20:N20"/>
    <mergeCell ref="B21:N21"/>
    <mergeCell ref="B22:D22"/>
    <mergeCell ref="E22:K22"/>
    <mergeCell ref="L22:M22"/>
    <mergeCell ref="B23:D23"/>
    <mergeCell ref="E23:K23"/>
    <mergeCell ref="L23:M23"/>
    <mergeCell ref="B24:D24"/>
    <mergeCell ref="E24:K24"/>
    <mergeCell ref="L24:M24"/>
    <mergeCell ref="B25:D25"/>
    <mergeCell ref="E25:K25"/>
    <mergeCell ref="L25:M25"/>
    <mergeCell ref="B26:D26"/>
    <mergeCell ref="E26:K26"/>
    <mergeCell ref="L26:M26"/>
    <mergeCell ref="B27:D27"/>
    <mergeCell ref="E27:K27"/>
    <mergeCell ref="L27:M27"/>
    <mergeCell ref="B28:D28"/>
    <mergeCell ref="E28:K28"/>
    <mergeCell ref="L28:M28"/>
    <mergeCell ref="B29:D29"/>
    <mergeCell ref="E29:K29"/>
    <mergeCell ref="L29:M29"/>
    <mergeCell ref="B30:D30"/>
    <mergeCell ref="E30:K30"/>
    <mergeCell ref="L30:M30"/>
    <mergeCell ref="B31:D31"/>
    <mergeCell ref="E31:K31"/>
    <mergeCell ref="L31:M31"/>
    <mergeCell ref="B32:D32"/>
    <mergeCell ref="E32:K32"/>
    <mergeCell ref="L32:M32"/>
    <mergeCell ref="B33:D33"/>
    <mergeCell ref="E33:K33"/>
    <mergeCell ref="L33:M33"/>
    <mergeCell ref="B34:D34"/>
    <mergeCell ref="E34:K34"/>
    <mergeCell ref="L34:M34"/>
    <mergeCell ref="B35:D35"/>
    <mergeCell ref="E35:K35"/>
    <mergeCell ref="L35:M35"/>
    <mergeCell ref="B36:D36"/>
    <mergeCell ref="E36:K36"/>
    <mergeCell ref="L36:M36"/>
    <mergeCell ref="B37:D37"/>
    <mergeCell ref="E37:K37"/>
    <mergeCell ref="L37:M37"/>
    <mergeCell ref="B38:D38"/>
    <mergeCell ref="E38:K38"/>
    <mergeCell ref="L38:M38"/>
    <mergeCell ref="B39:D39"/>
    <mergeCell ref="E39:K39"/>
    <mergeCell ref="L39:M39"/>
    <mergeCell ref="B40:D40"/>
    <mergeCell ref="E40:K40"/>
    <mergeCell ref="L40:M40"/>
    <mergeCell ref="B41:D41"/>
    <mergeCell ref="E41:K41"/>
    <mergeCell ref="L41:M41"/>
    <mergeCell ref="B42:D42"/>
    <mergeCell ref="E42:K42"/>
    <mergeCell ref="L42:M42"/>
    <mergeCell ref="B43:N43"/>
    <mergeCell ref="B44:N44"/>
    <mergeCell ref="B45:N45"/>
    <mergeCell ref="B46:N46"/>
    <mergeCell ref="B47:N47"/>
    <mergeCell ref="B48:N48"/>
    <mergeCell ref="B49:N49"/>
  </mergeCells>
  <hyperlinks>
    <hyperlink ref="B23" r:id="rId1" location="'01%20Math%20Toolkit'!A1" display="01 Math Toolkit"/>
    <hyperlink ref="B24" r:id="rId2" location="'02%20Big%20Picture'!A1" display="02 Big Picture"/>
    <hyperlink ref="B25" r:id="rId3" location="'03%20Embeddings'!A1" display="03 Embeddings"/>
    <hyperlink ref="B26" r:id="rId4" location="'04%20Positional%20Enc'!A1" display="04 Positional Enc"/>
    <hyperlink ref="B27" r:id="rId5" location="'05%20Query-Key-Value'!A1" display="05 Query-Key-Value"/>
    <hyperlink ref="B28" r:id="rId6" location="'06%20Scaled%20Attention'!A1" display="06 Scaled Attention"/>
    <hyperlink ref="B29" r:id="rId7" location="'07%20Masking'!A1" display="07 Masking"/>
    <hyperlink ref="B30" r:id="rId8" location="'08%20Multi-Head'!A1" display="08 Multi-Head"/>
    <hyperlink ref="B31" r:id="rId9" location="'09%20Three%20Attentions'!A1" display="09 Three Attentions"/>
    <hyperlink ref="B32" r:id="rId10" location="'10%20Add%20and%20Norm'!A1" display="10 Add and Norm"/>
    <hyperlink ref="B33" r:id="rId11" location="'11%20Feed-Forward'!A1" display="11 Feed-Forward"/>
    <hyperlink ref="B34" r:id="rId12" location="'12%20Output%20and%20Decoding'!A1" display="12 Output and Decoding"/>
    <hyperlink ref="B35" r:id="rId13" location="'13%20Loss%20and%20Smoothing'!A1" display="13 Loss and Smoothing"/>
    <hyperlink ref="B36" r:id="rId14" location="'14%20Optimizer%20and%20LR'!A1" display="14 Optimizer and LR"/>
    <hyperlink ref="B37" r:id="rId15" location="'15%20Regularization'!A1" display="15 Regularization"/>
    <hyperlink ref="B38" r:id="rId16" location="'16%20Why%20Self-Attention'!A1" display="16 Why Self-Attention"/>
    <hyperlink ref="B39" r:id="rId17" location="'17%20Model%20Anatomy'!A1" display="17 Model Anatomy"/>
    <hyperlink ref="B40" r:id="rId18" location="'18%20BLEU%20Score'!A1" display="18 BLEU Score"/>
    <hyperlink ref="B41" r:id="rId19" location="'19%20Results'!A1" display="19 Results"/>
    <hyperlink ref="B42" r:id="rId20" location="'20%20Glossary'!A1" display="20 Glossary"/>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N1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94</v>
      </c>
      <c r="C1" s="1"/>
      <c r="D1" s="1"/>
      <c r="E1" s="1"/>
      <c r="F1" s="1"/>
      <c r="G1" s="1"/>
      <c r="H1" s="1"/>
      <c r="I1" s="1"/>
      <c r="J1" s="1"/>
      <c r="K1" s="1"/>
      <c r="L1" s="1"/>
      <c r="M1" s="1"/>
      <c r="N1" s="1"/>
    </row>
    <row r="2" customFormat="false" ht="17.25" hidden="false" customHeight="true" outlineLevel="0" collapsed="false">
      <c r="B2" s="2" t="s">
        <v>95</v>
      </c>
      <c r="C2" s="2"/>
      <c r="D2" s="2"/>
      <c r="E2" s="2"/>
      <c r="F2" s="2"/>
      <c r="G2" s="2"/>
      <c r="H2" s="2"/>
      <c r="I2" s="2"/>
      <c r="J2" s="2"/>
      <c r="K2" s="2"/>
      <c r="L2" s="2"/>
      <c r="M2" s="2"/>
      <c r="N2" s="2"/>
    </row>
    <row r="4" customFormat="false" ht="34.5" hidden="false" customHeight="true" outlineLevel="0" collapsed="false">
      <c r="B4" s="3" t="s">
        <v>96</v>
      </c>
      <c r="C4" s="3"/>
      <c r="D4" s="3"/>
      <c r="E4" s="3"/>
      <c r="F4" s="3"/>
      <c r="G4" s="3"/>
      <c r="H4" s="3"/>
      <c r="I4" s="3"/>
      <c r="J4" s="3"/>
      <c r="K4" s="3"/>
      <c r="L4" s="3"/>
      <c r="M4" s="3"/>
      <c r="N4" s="3"/>
    </row>
    <row r="5" customFormat="false" ht="31.5" hidden="false" customHeight="true" outlineLevel="0" collapsed="false">
      <c r="B5" s="19" t="s">
        <v>97</v>
      </c>
      <c r="C5" s="19"/>
      <c r="D5" s="19"/>
      <c r="E5" s="19"/>
      <c r="F5" s="19"/>
      <c r="G5" s="19"/>
      <c r="H5" s="19"/>
      <c r="I5" s="19"/>
      <c r="J5" s="19"/>
      <c r="K5" s="19"/>
      <c r="L5" s="19"/>
      <c r="M5" s="19"/>
      <c r="N5" s="19"/>
    </row>
    <row r="7" customFormat="false" ht="21.75" hidden="false" customHeight="true" outlineLevel="0" collapsed="false">
      <c r="B7" s="4" t="s">
        <v>98</v>
      </c>
      <c r="C7" s="4"/>
      <c r="D7" s="4"/>
      <c r="E7" s="4"/>
      <c r="F7" s="4"/>
      <c r="G7" s="4"/>
      <c r="H7" s="4"/>
      <c r="I7" s="4"/>
      <c r="J7" s="4"/>
      <c r="K7" s="4"/>
      <c r="L7" s="4"/>
      <c r="M7" s="4"/>
      <c r="N7" s="4"/>
    </row>
    <row r="8" customFormat="false" ht="31.5" hidden="false" customHeight="true" outlineLevel="0" collapsed="false">
      <c r="B8" s="5" t="s">
        <v>99</v>
      </c>
      <c r="C8" s="5"/>
      <c r="D8" s="5"/>
      <c r="E8" s="5"/>
      <c r="F8" s="5"/>
      <c r="G8" s="5"/>
      <c r="H8" s="5"/>
      <c r="I8" s="5"/>
      <c r="J8" s="5"/>
      <c r="K8" s="5"/>
      <c r="L8" s="5"/>
      <c r="M8" s="5"/>
      <c r="N8" s="5"/>
    </row>
    <row r="9" customFormat="false" ht="31.5" hidden="false" customHeight="true" outlineLevel="0" collapsed="false">
      <c r="B9" s="5" t="s">
        <v>100</v>
      </c>
      <c r="C9" s="5"/>
      <c r="D9" s="5"/>
      <c r="E9" s="5"/>
      <c r="F9" s="5"/>
      <c r="G9" s="5"/>
      <c r="H9" s="5"/>
      <c r="I9" s="5"/>
      <c r="J9" s="5"/>
      <c r="K9" s="5"/>
      <c r="L9" s="5"/>
      <c r="M9" s="5"/>
      <c r="N9" s="5"/>
    </row>
    <row r="10" customFormat="false" ht="17.25" hidden="false" customHeight="true" outlineLevel="0" collapsed="false">
      <c r="B10" s="20" t="s">
        <v>101</v>
      </c>
      <c r="C10" s="20"/>
      <c r="D10" s="20"/>
    </row>
    <row r="11" customFormat="false" ht="15" hidden="false" customHeight="false" outlineLevel="0" collapsed="false">
      <c r="B11" s="16"/>
      <c r="C11" s="21" t="s">
        <v>102</v>
      </c>
      <c r="D11" s="21" t="s">
        <v>103</v>
      </c>
    </row>
    <row r="12" customFormat="false" ht="15" hidden="false" customHeight="false" outlineLevel="0" collapsed="false">
      <c r="B12" s="22" t="s">
        <v>104</v>
      </c>
      <c r="C12" s="23" t="n">
        <v>9</v>
      </c>
      <c r="D12" s="23" t="n">
        <v>1</v>
      </c>
    </row>
    <row r="13" customFormat="false" ht="15" hidden="false" customHeight="false" outlineLevel="0" collapsed="false">
      <c r="B13" s="22" t="s">
        <v>105</v>
      </c>
      <c r="C13" s="23" t="n">
        <v>2</v>
      </c>
      <c r="D13" s="23" t="n">
        <v>9</v>
      </c>
    </row>
    <row r="14" customFormat="false" ht="15" hidden="false" customHeight="false" outlineLevel="0" collapsed="false">
      <c r="B14" s="22" t="s">
        <v>106</v>
      </c>
      <c r="C14" s="23" t="n">
        <v>6</v>
      </c>
      <c r="D14" s="23" t="n">
        <v>7</v>
      </c>
    </row>
    <row r="16" customFormat="false" ht="21.75" hidden="false" customHeight="true" outlineLevel="0" collapsed="false">
      <c r="B16" s="4" t="s">
        <v>107</v>
      </c>
      <c r="C16" s="4"/>
      <c r="D16" s="4"/>
      <c r="E16" s="4"/>
      <c r="F16" s="4"/>
      <c r="G16" s="4"/>
      <c r="H16" s="4"/>
      <c r="I16" s="4"/>
      <c r="J16" s="4"/>
      <c r="K16" s="4"/>
      <c r="L16" s="4"/>
      <c r="M16" s="4"/>
      <c r="N16" s="4"/>
    </row>
    <row r="17" customFormat="false" ht="20.25" hidden="false" customHeight="true" outlineLevel="0" collapsed="false">
      <c r="B17" s="24" t="s">
        <v>108</v>
      </c>
      <c r="C17" s="24"/>
      <c r="D17" s="24"/>
      <c r="E17" s="24"/>
      <c r="F17" s="24"/>
      <c r="G17" s="24"/>
      <c r="H17" s="24"/>
      <c r="I17" s="24"/>
      <c r="J17" s="24"/>
      <c r="K17" s="24"/>
      <c r="L17" s="24"/>
      <c r="M17" s="24"/>
      <c r="N17" s="24"/>
    </row>
    <row r="18" customFormat="false" ht="31.5" hidden="false" customHeight="true" outlineLevel="0" collapsed="false">
      <c r="B18" s="5" t="s">
        <v>109</v>
      </c>
      <c r="C18" s="5"/>
      <c r="D18" s="5"/>
      <c r="E18" s="5"/>
      <c r="F18" s="5"/>
      <c r="G18" s="5"/>
      <c r="H18" s="5"/>
      <c r="I18" s="5"/>
      <c r="J18" s="5"/>
      <c r="K18" s="5"/>
      <c r="L18" s="5"/>
      <c r="M18" s="5"/>
      <c r="N18" s="5"/>
    </row>
    <row r="19" customFormat="false" ht="18.75" hidden="false" customHeight="true" outlineLevel="0" collapsed="false">
      <c r="B19" s="25" t="s">
        <v>110</v>
      </c>
      <c r="C19" s="25"/>
      <c r="D19" s="25"/>
      <c r="E19" s="25"/>
      <c r="F19" s="25"/>
      <c r="G19" s="25"/>
      <c r="H19" s="25"/>
      <c r="I19" s="25"/>
      <c r="J19" s="25"/>
      <c r="K19" s="25"/>
      <c r="L19" s="25"/>
      <c r="M19" s="25"/>
      <c r="N19" s="25"/>
    </row>
    <row r="20" customFormat="false" ht="17.25" hidden="false" customHeight="true" outlineLevel="0" collapsed="false">
      <c r="B20" s="20" t="s">
        <v>111</v>
      </c>
      <c r="C20" s="20"/>
      <c r="D20" s="20"/>
      <c r="E20" s="20" t="s">
        <v>112</v>
      </c>
      <c r="F20" s="20"/>
      <c r="G20" s="20"/>
    </row>
    <row r="21" customFormat="false" ht="15" hidden="false" customHeight="false" outlineLevel="0" collapsed="false">
      <c r="B21" s="16"/>
      <c r="C21" s="21" t="s">
        <v>113</v>
      </c>
      <c r="D21" s="21" t="s">
        <v>114</v>
      </c>
      <c r="E21" s="16"/>
      <c r="F21" s="21" t="s">
        <v>113</v>
      </c>
      <c r="G21" s="21" t="s">
        <v>114</v>
      </c>
    </row>
    <row r="22" customFormat="false" ht="15" hidden="false" customHeight="false" outlineLevel="0" collapsed="false">
      <c r="B22" s="22"/>
      <c r="C22" s="23" t="n">
        <v>1</v>
      </c>
      <c r="D22" s="23" t="n">
        <v>2</v>
      </c>
      <c r="E22" s="22"/>
      <c r="F22" s="23" t="n">
        <v>3</v>
      </c>
      <c r="G22" s="23" t="n">
        <v>4</v>
      </c>
    </row>
    <row r="24" customFormat="false" ht="17.25" hidden="false" customHeight="true" outlineLevel="0" collapsed="false">
      <c r="B24" s="22" t="s">
        <v>115</v>
      </c>
      <c r="C24" s="26" t="n">
        <f aca="false">C22*F22</f>
        <v>3</v>
      </c>
      <c r="D24" s="27" t="s">
        <v>116</v>
      </c>
      <c r="E24" s="27"/>
      <c r="F24" s="27"/>
      <c r="G24" s="27"/>
      <c r="H24" s="27"/>
      <c r="I24" s="27"/>
      <c r="J24" s="27"/>
      <c r="K24" s="27"/>
      <c r="L24" s="27"/>
      <c r="M24" s="27"/>
      <c r="N24" s="27"/>
    </row>
    <row r="25" customFormat="false" ht="17.25" hidden="false" customHeight="true" outlineLevel="0" collapsed="false">
      <c r="B25" s="22" t="s">
        <v>117</v>
      </c>
      <c r="C25" s="26" t="n">
        <f aca="false">D22*G22</f>
        <v>8</v>
      </c>
      <c r="D25" s="27" t="s">
        <v>118</v>
      </c>
      <c r="E25" s="27"/>
      <c r="F25" s="27"/>
      <c r="G25" s="27"/>
      <c r="H25" s="27"/>
      <c r="I25" s="27"/>
      <c r="J25" s="27"/>
      <c r="K25" s="27"/>
      <c r="L25" s="27"/>
      <c r="M25" s="27"/>
      <c r="N25" s="27"/>
    </row>
    <row r="26" customFormat="false" ht="17.25" hidden="false" customHeight="true" outlineLevel="0" collapsed="false">
      <c r="B26" s="22" t="s">
        <v>119</v>
      </c>
      <c r="C26" s="28" t="n">
        <f aca="false">C24+C25</f>
        <v>11</v>
      </c>
      <c r="D26" s="27" t="s">
        <v>120</v>
      </c>
      <c r="E26" s="27"/>
      <c r="F26" s="27"/>
      <c r="G26" s="27"/>
      <c r="H26" s="27"/>
      <c r="I26" s="27"/>
      <c r="J26" s="27"/>
      <c r="K26" s="27"/>
      <c r="L26" s="27"/>
      <c r="M26" s="27"/>
      <c r="N26" s="27"/>
    </row>
    <row r="27" customFormat="false" ht="15.75" hidden="false" customHeight="true" outlineLevel="0" collapsed="false">
      <c r="B27" s="10" t="s">
        <v>15</v>
      </c>
      <c r="C27" s="29" t="str">
        <f aca="false">"a·b = "&amp;IF(ROUND(C22,3)&lt;0,"("&amp;ROUND(C22,3)&amp;")",ROUND(C22,3)&amp;"")&amp;"×"&amp;IF(ROUND(F22,3)&lt;0,"("&amp;ROUND(F22,3)&amp;")",ROUND(F22,3)&amp;"")&amp;" + "&amp;IF(ROUND(D22,3)&lt;0,"("&amp;ROUND(D22,3)&amp;")",ROUND(D22,3)&amp;"")&amp;"×"&amp;IF(ROUND(G22,3)&lt;0,"("&amp;ROUND(G22,3)&amp;")",ROUND(G22,3)&amp;"")&amp;"  =  "&amp;IF(ROUND(C26,3)&lt;0,"("&amp;ROUND(C26,3)&amp;")",ROUND(C26,3)&amp;"")</f>
        <v>a·b = 1×3 + 2×4  =  11</v>
      </c>
      <c r="D27" s="29"/>
      <c r="E27" s="29"/>
      <c r="F27" s="29"/>
      <c r="G27" s="29"/>
      <c r="H27" s="29"/>
      <c r="I27" s="29"/>
      <c r="J27" s="29"/>
      <c r="K27" s="29"/>
      <c r="L27" s="29"/>
      <c r="M27" s="29"/>
      <c r="N27" s="29"/>
    </row>
    <row r="29" customFormat="false" ht="18.75" hidden="false" customHeight="true" outlineLevel="0" collapsed="false">
      <c r="B29" s="25" t="s">
        <v>121</v>
      </c>
      <c r="C29" s="25"/>
      <c r="D29" s="25"/>
      <c r="E29" s="25"/>
      <c r="F29" s="25"/>
      <c r="G29" s="25"/>
      <c r="H29" s="25"/>
      <c r="I29" s="25"/>
      <c r="J29" s="25"/>
      <c r="K29" s="25"/>
      <c r="L29" s="25"/>
      <c r="M29" s="25"/>
      <c r="N29" s="25"/>
    </row>
    <row r="30" customFormat="false" ht="31.5" hidden="false" customHeight="true" outlineLevel="0" collapsed="false">
      <c r="B30" s="5" t="s">
        <v>122</v>
      </c>
      <c r="C30" s="5"/>
      <c r="D30" s="5"/>
      <c r="E30" s="5"/>
      <c r="F30" s="5"/>
      <c r="G30" s="5"/>
      <c r="H30" s="5"/>
      <c r="I30" s="5"/>
      <c r="J30" s="5"/>
      <c r="K30" s="5"/>
      <c r="L30" s="5"/>
      <c r="M30" s="5"/>
      <c r="N30" s="5"/>
    </row>
    <row r="31" customFormat="false" ht="17.25" hidden="false" customHeight="true" outlineLevel="0" collapsed="false">
      <c r="B31" s="20" t="s">
        <v>123</v>
      </c>
      <c r="C31" s="20"/>
      <c r="D31" s="20"/>
      <c r="E31" s="20"/>
      <c r="F31" s="20"/>
    </row>
    <row r="32" customFormat="false" ht="15" hidden="false" customHeight="false" outlineLevel="0" collapsed="false">
      <c r="B32" s="16"/>
      <c r="C32" s="21" t="s">
        <v>124</v>
      </c>
      <c r="D32" s="21" t="s">
        <v>125</v>
      </c>
      <c r="E32" s="21" t="s">
        <v>126</v>
      </c>
      <c r="F32" s="21" t="s">
        <v>127</v>
      </c>
    </row>
    <row r="33" customFormat="false" ht="15" hidden="false" customHeight="false" outlineLevel="0" collapsed="false">
      <c r="B33" s="22" t="s">
        <v>128</v>
      </c>
      <c r="C33" s="30" t="n">
        <v>0.9</v>
      </c>
      <c r="D33" s="30" t="n">
        <v>0.8</v>
      </c>
      <c r="E33" s="30" t="n">
        <v>0.1</v>
      </c>
      <c r="F33" s="30" t="n">
        <v>0.1</v>
      </c>
    </row>
    <row r="34" customFormat="false" ht="15" hidden="false" customHeight="false" outlineLevel="0" collapsed="false">
      <c r="B34" s="22" t="s">
        <v>129</v>
      </c>
      <c r="C34" s="30" t="n">
        <v>0.85</v>
      </c>
      <c r="D34" s="30" t="n">
        <v>0.75</v>
      </c>
      <c r="E34" s="30" t="n">
        <v>0.1</v>
      </c>
      <c r="F34" s="30" t="n">
        <v>0.9</v>
      </c>
    </row>
    <row r="35" customFormat="false" ht="15" hidden="false" customHeight="false" outlineLevel="0" collapsed="false">
      <c r="B35" s="22" t="s">
        <v>106</v>
      </c>
      <c r="C35" s="30" t="n">
        <v>0</v>
      </c>
      <c r="D35" s="30" t="n">
        <v>0.1</v>
      </c>
      <c r="E35" s="30" t="n">
        <v>0.95</v>
      </c>
      <c r="F35" s="30" t="n">
        <v>0.2</v>
      </c>
    </row>
    <row r="37" customFormat="false" ht="17.25" hidden="false" customHeight="true" outlineLevel="0" collapsed="false">
      <c r="B37" s="11" t="s">
        <v>130</v>
      </c>
      <c r="C37" s="11" t="s">
        <v>131</v>
      </c>
      <c r="D37" s="11"/>
      <c r="E37" s="11" t="s">
        <v>132</v>
      </c>
      <c r="F37" s="11"/>
      <c r="G37" s="11" t="s">
        <v>133</v>
      </c>
      <c r="H37" s="11"/>
      <c r="I37" s="11" t="s">
        <v>134</v>
      </c>
      <c r="J37" s="11"/>
      <c r="K37" s="11" t="s">
        <v>135</v>
      </c>
      <c r="L37" s="11"/>
      <c r="M37" s="11"/>
      <c r="N37" s="11"/>
    </row>
    <row r="38" customFormat="false" ht="17.25" hidden="false" customHeight="true" outlineLevel="0" collapsed="false">
      <c r="B38" s="13" t="s">
        <v>136</v>
      </c>
      <c r="C38" s="31" t="n">
        <f aca="false">C33*C34+D33*D34+E33*E34+F33*F34</f>
        <v>1.465</v>
      </c>
      <c r="D38" s="31"/>
      <c r="E38" s="31" t="n">
        <f aca="false">SQRT(SUMSQ(C33:F33))</f>
        <v>1.21243556529821</v>
      </c>
      <c r="F38" s="31"/>
      <c r="G38" s="31" t="n">
        <f aca="false">SQRT(SUMSQ(C34:F34))</f>
        <v>1.45086181285469</v>
      </c>
      <c r="H38" s="31"/>
      <c r="I38" s="32" t="n">
        <f aca="false">C38/(E38*G38)</f>
        <v>0.832823377180594</v>
      </c>
      <c r="J38" s="32"/>
      <c r="K38" s="13" t="str">
        <f aca="false">IF(C33*C34+D33*D34+E33*E34+F33*F34/(SQRT(SUMSQ(C33:F33))*SQRT(SUMSQ(C34:F34)))&gt;0.5,"similar","not similar")</f>
        <v>similar</v>
      </c>
      <c r="L38" s="13"/>
      <c r="M38" s="13"/>
      <c r="N38" s="13"/>
    </row>
    <row r="39" customFormat="false" ht="17.25" hidden="false" customHeight="true" outlineLevel="0" collapsed="false">
      <c r="B39" s="16" t="s">
        <v>137</v>
      </c>
      <c r="C39" s="33" t="n">
        <f aca="false">C33*C35+D33*D35+E33*E35+F33*F35</f>
        <v>0.195</v>
      </c>
      <c r="D39" s="33"/>
      <c r="E39" s="33" t="n">
        <f aca="false">SQRT(SUMSQ(C33:F33))</f>
        <v>1.21243556529821</v>
      </c>
      <c r="F39" s="33"/>
      <c r="G39" s="33" t="n">
        <f aca="false">SQRT(SUMSQ(C35:F35))</f>
        <v>0.975961064797157</v>
      </c>
      <c r="H39" s="33"/>
      <c r="I39" s="32" t="n">
        <f aca="false">C39/(E39*G39)</f>
        <v>0.164794780320135</v>
      </c>
      <c r="J39" s="32"/>
      <c r="K39" s="16" t="str">
        <f aca="false">IF(C33*C35+D33*D35+E33*E35+F33*F35/(SQRT(SUMSQ(C33:F33))*SQRT(SUMSQ(C35:F35)))&gt;0.5,"similar","not similar")</f>
        <v>not similar</v>
      </c>
      <c r="L39" s="16"/>
      <c r="M39" s="16"/>
      <c r="N39" s="16"/>
    </row>
    <row r="40" customFormat="false" ht="17.25" hidden="false" customHeight="true" outlineLevel="0" collapsed="false">
      <c r="B40" s="13" t="s">
        <v>138</v>
      </c>
      <c r="C40" s="31" t="n">
        <f aca="false">C34*C35+D34*D35+E34*E35+F34*F35</f>
        <v>0.35</v>
      </c>
      <c r="D40" s="31"/>
      <c r="E40" s="31" t="n">
        <f aca="false">SQRT(SUMSQ(C34:F34))</f>
        <v>1.45086181285469</v>
      </c>
      <c r="F40" s="31"/>
      <c r="G40" s="31" t="n">
        <f aca="false">SQRT(SUMSQ(C35:F35))</f>
        <v>0.975961064797157</v>
      </c>
      <c r="H40" s="31"/>
      <c r="I40" s="32" t="n">
        <f aca="false">C40/(E40*G40)</f>
        <v>0.247177822538024</v>
      </c>
      <c r="J40" s="32"/>
      <c r="K40" s="13" t="str">
        <f aca="false">IF(C34*C35+D34*D35+E34*E35+F34*F35/(SQRT(SUMSQ(C34:F34))*SQRT(SUMSQ(C35:F35)))&gt;0.5,"similar","not similar")</f>
        <v>not similar</v>
      </c>
      <c r="L40" s="13"/>
      <c r="M40" s="13"/>
      <c r="N40" s="13"/>
    </row>
    <row r="41" customFormat="false" ht="15.75" hidden="false" customHeight="true" outlineLevel="0" collapsed="false">
      <c r="B41" s="10" t="s">
        <v>15</v>
      </c>
      <c r="C41" s="29" t="str">
        <f aca="false">"king·queen = "&amp;IF(ROUND(C33,3)&lt;0,"("&amp;ROUND(C33,3)&amp;")",ROUND(C33,3)&amp;"")&amp;"×"&amp;IF(ROUND(C34,3)&lt;0,"("&amp;ROUND(C34,3)&amp;")",ROUND(C34,3)&amp;"")&amp;" + "&amp;IF(ROUND(D33,3)&lt;0,"("&amp;ROUND(D33,3)&amp;")",ROUND(D33,3)&amp;"")&amp;"×"&amp;IF(ROUND(D34,3)&lt;0,"("&amp;ROUND(D34,3)&amp;")",ROUND(D34,3)&amp;"")&amp;" + "&amp;IF(ROUND(E33,3)&lt;0,"("&amp;ROUND(E33,3)&amp;")",ROUND(E33,3)&amp;"")&amp;"×"&amp;IF(ROUND(E34,3)&lt;0,"("&amp;ROUND(E34,3)&amp;")",ROUND(E34,3)&amp;"")&amp;" + "&amp;IF(ROUND(F33,3)&lt;0,"("&amp;ROUND(F33,3)&amp;")",ROUND(F33,3)&amp;"")&amp;"×"&amp;IF(ROUND(F34,3)&lt;0,"("&amp;ROUND(F34,3)&amp;")",ROUND(F34,3)&amp;"")&amp;"  =  "&amp;IF(ROUND(C38,3)&lt;0,"("&amp;ROUND(C38,3)&amp;")",ROUND(C38,3)&amp;"")</f>
        <v>king·queen = 0.9×0.85 + 0.8×0.75 + 0.1×0.1 + 0.1×0.9  =  1.465</v>
      </c>
      <c r="D41" s="29"/>
      <c r="E41" s="29"/>
      <c r="F41" s="29"/>
      <c r="G41" s="29"/>
      <c r="H41" s="29"/>
      <c r="I41" s="29"/>
      <c r="J41" s="29"/>
      <c r="K41" s="29"/>
      <c r="L41" s="29"/>
      <c r="M41" s="29"/>
      <c r="N41" s="29"/>
    </row>
    <row r="43" customFormat="false" ht="21.75" hidden="false" customHeight="true" outlineLevel="0" collapsed="false">
      <c r="B43" s="4" t="s">
        <v>139</v>
      </c>
      <c r="C43" s="4"/>
      <c r="D43" s="4"/>
      <c r="E43" s="4"/>
      <c r="F43" s="4"/>
      <c r="G43" s="4"/>
      <c r="H43" s="4"/>
      <c r="I43" s="4"/>
      <c r="J43" s="4"/>
      <c r="K43" s="4"/>
      <c r="L43" s="4"/>
      <c r="M43" s="4"/>
      <c r="N43" s="4"/>
    </row>
    <row r="44" customFormat="false" ht="31.5" hidden="false" customHeight="true" outlineLevel="0" collapsed="false">
      <c r="B44" s="5" t="s">
        <v>140</v>
      </c>
      <c r="C44" s="5"/>
      <c r="D44" s="5"/>
      <c r="E44" s="5"/>
      <c r="F44" s="5"/>
      <c r="G44" s="5"/>
      <c r="H44" s="5"/>
      <c r="I44" s="5"/>
      <c r="J44" s="5"/>
      <c r="K44" s="5"/>
      <c r="L44" s="5"/>
      <c r="M44" s="5"/>
      <c r="N44" s="5"/>
    </row>
    <row r="45" customFormat="false" ht="17.25" hidden="false" customHeight="true" outlineLevel="0" collapsed="false">
      <c r="B45" s="20" t="s">
        <v>141</v>
      </c>
      <c r="C45" s="20"/>
      <c r="D45" s="20"/>
      <c r="E45" s="20"/>
      <c r="G45" s="20" t="s">
        <v>142</v>
      </c>
      <c r="H45" s="20"/>
      <c r="I45" s="20"/>
      <c r="J45" s="20"/>
    </row>
    <row r="46" customFormat="false" ht="15" hidden="false" customHeight="false" outlineLevel="0" collapsed="false">
      <c r="B46" s="16"/>
      <c r="C46" s="21" t="s">
        <v>143</v>
      </c>
      <c r="D46" s="21" t="s">
        <v>144</v>
      </c>
      <c r="E46" s="21" t="s">
        <v>145</v>
      </c>
      <c r="G46" s="16"/>
      <c r="H46" s="21" t="s">
        <v>146</v>
      </c>
      <c r="I46" s="21" t="s">
        <v>147</v>
      </c>
    </row>
    <row r="47" customFormat="false" ht="15" hidden="false" customHeight="false" outlineLevel="0" collapsed="false">
      <c r="B47" s="22" t="s">
        <v>148</v>
      </c>
      <c r="C47" s="23" t="n">
        <v>1</v>
      </c>
      <c r="D47" s="23" t="n">
        <v>2</v>
      </c>
      <c r="E47" s="23" t="n">
        <v>3</v>
      </c>
      <c r="G47" s="22" t="s">
        <v>149</v>
      </c>
      <c r="H47" s="34" t="n">
        <f aca="false">C47</f>
        <v>1</v>
      </c>
      <c r="I47" s="34" t="n">
        <f aca="false">C48</f>
        <v>4</v>
      </c>
    </row>
    <row r="48" customFormat="false" ht="15" hidden="false" customHeight="false" outlineLevel="0" collapsed="false">
      <c r="B48" s="22" t="s">
        <v>150</v>
      </c>
      <c r="C48" s="23" t="n">
        <v>4</v>
      </c>
      <c r="D48" s="23" t="n">
        <v>5</v>
      </c>
      <c r="E48" s="23" t="n">
        <v>6</v>
      </c>
      <c r="G48" s="22" t="s">
        <v>151</v>
      </c>
      <c r="H48" s="34" t="n">
        <f aca="false">D47</f>
        <v>2</v>
      </c>
      <c r="I48" s="34" t="n">
        <f aca="false">D48</f>
        <v>5</v>
      </c>
    </row>
    <row r="49" customFormat="false" ht="15" hidden="false" customHeight="false" outlineLevel="0" collapsed="false">
      <c r="G49" s="22" t="s">
        <v>152</v>
      </c>
      <c r="H49" s="34" t="n">
        <f aca="false">E47</f>
        <v>3</v>
      </c>
      <c r="I49" s="34" t="n">
        <f aca="false">E48</f>
        <v>6</v>
      </c>
    </row>
    <row r="51" customFormat="false" ht="21.75" hidden="false" customHeight="true" outlineLevel="0" collapsed="false">
      <c r="B51" s="4" t="s">
        <v>153</v>
      </c>
      <c r="C51" s="4"/>
      <c r="D51" s="4"/>
      <c r="E51" s="4"/>
      <c r="F51" s="4"/>
      <c r="G51" s="4"/>
      <c r="H51" s="4"/>
      <c r="I51" s="4"/>
      <c r="J51" s="4"/>
      <c r="K51" s="4"/>
      <c r="L51" s="4"/>
      <c r="M51" s="4"/>
      <c r="N51" s="4"/>
    </row>
    <row r="52" customFormat="false" ht="20.25" hidden="false" customHeight="true" outlineLevel="0" collapsed="false">
      <c r="B52" s="24" t="s">
        <v>154</v>
      </c>
      <c r="C52" s="24"/>
      <c r="D52" s="24"/>
      <c r="E52" s="24"/>
      <c r="F52" s="24"/>
      <c r="G52" s="24"/>
      <c r="H52" s="24"/>
      <c r="I52" s="24"/>
      <c r="J52" s="24"/>
      <c r="K52" s="24"/>
      <c r="L52" s="24"/>
      <c r="M52" s="24"/>
      <c r="N52" s="24"/>
    </row>
    <row r="53" customFormat="false" ht="31.5" hidden="false" customHeight="true" outlineLevel="0" collapsed="false">
      <c r="B53" s="5" t="s">
        <v>155</v>
      </c>
      <c r="C53" s="5"/>
      <c r="D53" s="5"/>
      <c r="E53" s="5"/>
      <c r="F53" s="5"/>
      <c r="G53" s="5"/>
      <c r="H53" s="5"/>
      <c r="I53" s="5"/>
      <c r="J53" s="5"/>
      <c r="K53" s="5"/>
      <c r="L53" s="5"/>
      <c r="M53" s="5"/>
      <c r="N53" s="5"/>
    </row>
    <row r="54" customFormat="false" ht="18.75" hidden="false" customHeight="true" outlineLevel="0" collapsed="false">
      <c r="B54" s="25" t="s">
        <v>156</v>
      </c>
      <c r="C54" s="25"/>
      <c r="D54" s="25"/>
      <c r="E54" s="25"/>
      <c r="F54" s="25"/>
      <c r="G54" s="25"/>
      <c r="H54" s="25"/>
      <c r="I54" s="25"/>
      <c r="J54" s="25"/>
      <c r="K54" s="25"/>
      <c r="L54" s="25"/>
      <c r="M54" s="25"/>
      <c r="N54" s="25"/>
    </row>
    <row r="55" customFormat="false" ht="17.25" hidden="false" customHeight="true" outlineLevel="0" collapsed="false">
      <c r="B55" s="20" t="s">
        <v>157</v>
      </c>
      <c r="C55" s="20"/>
      <c r="D55" s="20"/>
      <c r="E55" s="20" t="s">
        <v>158</v>
      </c>
      <c r="F55" s="20"/>
      <c r="G55" s="20"/>
      <c r="H55" s="20" t="s">
        <v>159</v>
      </c>
      <c r="I55" s="20"/>
      <c r="J55" s="20"/>
    </row>
    <row r="56" customFormat="false" ht="15" hidden="false" customHeight="false" outlineLevel="0" collapsed="false">
      <c r="B56" s="16"/>
      <c r="C56" s="21" t="s">
        <v>160</v>
      </c>
      <c r="D56" s="21" t="s">
        <v>161</v>
      </c>
      <c r="E56" s="16"/>
      <c r="F56" s="21" t="s">
        <v>160</v>
      </c>
      <c r="G56" s="21" t="s">
        <v>161</v>
      </c>
      <c r="H56" s="16"/>
      <c r="I56" s="21" t="s">
        <v>160</v>
      </c>
      <c r="J56" s="21" t="s">
        <v>161</v>
      </c>
    </row>
    <row r="57" customFormat="false" ht="15" hidden="false" customHeight="false" outlineLevel="0" collapsed="false">
      <c r="B57" s="22" t="s">
        <v>162</v>
      </c>
      <c r="C57" s="23" t="n">
        <v>1</v>
      </c>
      <c r="D57" s="23" t="n">
        <v>2</v>
      </c>
      <c r="E57" s="22" t="s">
        <v>162</v>
      </c>
      <c r="F57" s="23" t="n">
        <v>5</v>
      </c>
      <c r="G57" s="23" t="n">
        <v>6</v>
      </c>
      <c r="H57" s="22" t="s">
        <v>162</v>
      </c>
      <c r="I57" s="28" t="n">
        <f aca="false">C57*F57+D57*F58</f>
        <v>19</v>
      </c>
      <c r="J57" s="28" t="n">
        <f aca="false">C57*G57+D57*G58</f>
        <v>22</v>
      </c>
    </row>
    <row r="58" customFormat="false" ht="15" hidden="false" customHeight="false" outlineLevel="0" collapsed="false">
      <c r="B58" s="22" t="s">
        <v>163</v>
      </c>
      <c r="C58" s="23" t="n">
        <v>3</v>
      </c>
      <c r="D58" s="23" t="n">
        <v>4</v>
      </c>
      <c r="E58" s="22" t="s">
        <v>163</v>
      </c>
      <c r="F58" s="23" t="n">
        <v>7</v>
      </c>
      <c r="G58" s="23" t="n">
        <v>8</v>
      </c>
      <c r="H58" s="22" t="s">
        <v>163</v>
      </c>
      <c r="I58" s="28" t="n">
        <f aca="false">C58*F57+D58*F58</f>
        <v>43</v>
      </c>
      <c r="J58" s="28" t="n">
        <f aca="false">C58*G57+D58*G58</f>
        <v>50</v>
      </c>
    </row>
    <row r="60" customFormat="false" ht="15.75" hidden="false" customHeight="true" outlineLevel="0" collapsed="false">
      <c r="B60" s="10" t="s">
        <v>164</v>
      </c>
      <c r="C60" s="29" t="str">
        <f aca="false">IF(ROUND(C57,3)&lt;0,"("&amp;ROUND(C57,3)&amp;")",ROUND(C57,3)&amp;"")&amp;"×"&amp;IF(ROUND(F57,3)&lt;0,"("&amp;ROUND(F57,3)&amp;")",ROUND(F57,3)&amp;"")&amp;" + "&amp;IF(ROUND(D57,3)&lt;0,"("&amp;ROUND(D57,3)&amp;")",ROUND(D57,3)&amp;"")&amp;"×"&amp;IF(ROUND(F58,3)&lt;0,"("&amp;ROUND(F58,3)&amp;")",ROUND(F58,3)&amp;"")&amp;"  =  "&amp;IF(ROUND(I57,3)&lt;0,"("&amp;ROUND(I57,3)&amp;")",ROUND(I57,3)&amp;"")</f>
        <v>1×5 + 2×7  =  19</v>
      </c>
      <c r="D60" s="29"/>
      <c r="E60" s="29"/>
      <c r="F60" s="29"/>
      <c r="G60" s="29"/>
      <c r="H60" s="29"/>
      <c r="I60" s="29"/>
      <c r="J60" s="29"/>
      <c r="K60" s="29"/>
      <c r="L60" s="29"/>
      <c r="M60" s="29"/>
      <c r="N60" s="29"/>
    </row>
    <row r="61" customFormat="false" ht="15.75" hidden="false" customHeight="true" outlineLevel="0" collapsed="false">
      <c r="B61" s="10" t="s">
        <v>165</v>
      </c>
      <c r="C61" s="29" t="str">
        <f aca="false">IF(ROUND(C57,3)&lt;0,"("&amp;ROUND(C57,3)&amp;")",ROUND(C57,3)&amp;"")&amp;"×"&amp;IF(ROUND(G57,3)&lt;0,"("&amp;ROUND(G57,3)&amp;")",ROUND(G57,3)&amp;"")&amp;" + "&amp;IF(ROUND(D57,3)&lt;0,"("&amp;ROUND(D57,3)&amp;")",ROUND(D57,3)&amp;"")&amp;"×"&amp;IF(ROUND(G58,3)&lt;0,"("&amp;ROUND(G58,3)&amp;")",ROUND(G58,3)&amp;"")&amp;"  =  "&amp;IF(ROUND(J57,3)&lt;0,"("&amp;ROUND(J57,3)&amp;")",ROUND(J57,3)&amp;"")</f>
        <v>1×6 + 2×8  =  22</v>
      </c>
      <c r="D61" s="29"/>
      <c r="E61" s="29"/>
      <c r="F61" s="29"/>
      <c r="G61" s="29"/>
      <c r="H61" s="29"/>
      <c r="I61" s="29"/>
      <c r="J61" s="29"/>
      <c r="K61" s="29"/>
      <c r="L61" s="29"/>
      <c r="M61" s="29"/>
      <c r="N61" s="29"/>
    </row>
    <row r="62" customFormat="false" ht="15.75" hidden="false" customHeight="true" outlineLevel="0" collapsed="false">
      <c r="B62" s="10" t="s">
        <v>166</v>
      </c>
      <c r="C62" s="29" t="str">
        <f aca="false">IF(ROUND(C58,3)&lt;0,"("&amp;ROUND(C58,3)&amp;")",ROUND(C58,3)&amp;"")&amp;"×"&amp;IF(ROUND(F57,3)&lt;0,"("&amp;ROUND(F57,3)&amp;")",ROUND(F57,3)&amp;"")&amp;" + "&amp;IF(ROUND(D58,3)&lt;0,"("&amp;ROUND(D58,3)&amp;")",ROUND(D58,3)&amp;"")&amp;"×"&amp;IF(ROUND(F58,3)&lt;0,"("&amp;ROUND(F58,3)&amp;")",ROUND(F58,3)&amp;"")&amp;"  =  "&amp;IF(ROUND(I58,3)&lt;0,"("&amp;ROUND(I58,3)&amp;")",ROUND(I58,3)&amp;"")</f>
        <v>3×5 + 4×7  =  43</v>
      </c>
      <c r="D62" s="29"/>
      <c r="E62" s="29"/>
      <c r="F62" s="29"/>
      <c r="G62" s="29"/>
      <c r="H62" s="29"/>
      <c r="I62" s="29"/>
      <c r="J62" s="29"/>
      <c r="K62" s="29"/>
      <c r="L62" s="29"/>
      <c r="M62" s="29"/>
      <c r="N62" s="29"/>
    </row>
    <row r="63" customFormat="false" ht="15.75" hidden="false" customHeight="true" outlineLevel="0" collapsed="false">
      <c r="B63" s="10" t="s">
        <v>167</v>
      </c>
      <c r="C63" s="29" t="str">
        <f aca="false">IF(ROUND(C58,3)&lt;0,"("&amp;ROUND(C58,3)&amp;")",ROUND(C58,3)&amp;"")&amp;"×"&amp;IF(ROUND(G57,3)&lt;0,"("&amp;ROUND(G57,3)&amp;")",ROUND(G57,3)&amp;"")&amp;" + "&amp;IF(ROUND(D58,3)&lt;0,"("&amp;ROUND(D58,3)&amp;")",ROUND(D58,3)&amp;"")&amp;"×"&amp;IF(ROUND(G58,3)&lt;0,"("&amp;ROUND(G58,3)&amp;")",ROUND(G58,3)&amp;"")&amp;"  =  "&amp;IF(ROUND(J58,3)&lt;0,"("&amp;ROUND(J58,3)&amp;")",ROUND(J58,3)&amp;"")</f>
        <v>3×6 + 4×8  =  50</v>
      </c>
      <c r="D63" s="29"/>
      <c r="E63" s="29"/>
      <c r="F63" s="29"/>
      <c r="G63" s="29"/>
      <c r="H63" s="29"/>
      <c r="I63" s="29"/>
      <c r="J63" s="29"/>
      <c r="K63" s="29"/>
      <c r="L63" s="29"/>
      <c r="M63" s="29"/>
      <c r="N63" s="29"/>
    </row>
    <row r="65" customFormat="false" ht="18.75" hidden="false" customHeight="true" outlineLevel="0" collapsed="false">
      <c r="B65" s="25" t="s">
        <v>168</v>
      </c>
      <c r="C65" s="25"/>
      <c r="D65" s="25"/>
      <c r="E65" s="25"/>
      <c r="F65" s="25"/>
      <c r="G65" s="25"/>
      <c r="H65" s="25"/>
      <c r="I65" s="25"/>
      <c r="J65" s="25"/>
      <c r="K65" s="25"/>
      <c r="L65" s="25"/>
      <c r="M65" s="25"/>
      <c r="N65" s="25"/>
    </row>
    <row r="66" customFormat="false" ht="31.5" hidden="false" customHeight="true" outlineLevel="0" collapsed="false">
      <c r="B66" s="5" t="s">
        <v>169</v>
      </c>
      <c r="C66" s="5"/>
      <c r="D66" s="5"/>
      <c r="E66" s="5"/>
      <c r="F66" s="5"/>
      <c r="G66" s="5"/>
      <c r="H66" s="5"/>
      <c r="I66" s="5"/>
      <c r="J66" s="5"/>
      <c r="K66" s="5"/>
      <c r="L66" s="5"/>
      <c r="M66" s="5"/>
      <c r="N66" s="5"/>
    </row>
    <row r="67" customFormat="false" ht="17.25" hidden="false" customHeight="true" outlineLevel="0" collapsed="false">
      <c r="B67" s="20" t="s">
        <v>170</v>
      </c>
      <c r="C67" s="20"/>
      <c r="D67" s="20"/>
      <c r="E67" s="20"/>
      <c r="F67" s="20"/>
      <c r="G67" s="20" t="s">
        <v>171</v>
      </c>
      <c r="H67" s="20"/>
      <c r="I67" s="20"/>
      <c r="J67" s="20" t="s">
        <v>172</v>
      </c>
      <c r="K67" s="20"/>
      <c r="L67" s="20"/>
    </row>
    <row r="68" customFormat="false" ht="15" hidden="false" customHeight="false" outlineLevel="0" collapsed="false">
      <c r="B68" s="16"/>
      <c r="C68" s="21" t="s">
        <v>173</v>
      </c>
      <c r="D68" s="21" t="s">
        <v>174</v>
      </c>
      <c r="E68" s="21" t="s">
        <v>175</v>
      </c>
      <c r="F68" s="21" t="s">
        <v>176</v>
      </c>
      <c r="G68" s="16"/>
      <c r="H68" s="21" t="s">
        <v>177</v>
      </c>
      <c r="I68" s="21" t="s">
        <v>178</v>
      </c>
      <c r="J68" s="16"/>
      <c r="K68" s="21" t="s">
        <v>177</v>
      </c>
      <c r="L68" s="21" t="s">
        <v>178</v>
      </c>
    </row>
    <row r="69" customFormat="false" ht="15" hidden="false" customHeight="false" outlineLevel="0" collapsed="false">
      <c r="B69" s="22" t="s">
        <v>179</v>
      </c>
      <c r="C69" s="35" t="n">
        <v>1</v>
      </c>
      <c r="D69" s="35" t="n">
        <v>0</v>
      </c>
      <c r="E69" s="35" t="n">
        <v>2</v>
      </c>
      <c r="F69" s="35" t="n">
        <v>1</v>
      </c>
      <c r="G69" s="22" t="s">
        <v>173</v>
      </c>
      <c r="H69" s="35" t="n">
        <v>0.5</v>
      </c>
      <c r="I69" s="35" t="n">
        <v>1</v>
      </c>
      <c r="J69" s="22" t="s">
        <v>179</v>
      </c>
      <c r="K69" s="28" t="n">
        <f aca="false">C69*H69+D69*H70+E69*H71+F69*H72</f>
        <v>1.5</v>
      </c>
      <c r="L69" s="28" t="n">
        <f aca="false">C69*I69+D69*I70+E69*I71+F69*I72</f>
        <v>1</v>
      </c>
    </row>
    <row r="70" customFormat="false" ht="15" hidden="false" customHeight="false" outlineLevel="0" collapsed="false">
      <c r="B70" s="22" t="s">
        <v>180</v>
      </c>
      <c r="C70" s="35" t="n">
        <v>0</v>
      </c>
      <c r="D70" s="35" t="n">
        <v>1</v>
      </c>
      <c r="E70" s="35" t="n">
        <v>1</v>
      </c>
      <c r="F70" s="35" t="n">
        <v>0</v>
      </c>
      <c r="G70" s="22" t="s">
        <v>174</v>
      </c>
      <c r="H70" s="35" t="n">
        <v>1</v>
      </c>
      <c r="I70" s="35" t="n">
        <v>0</v>
      </c>
      <c r="J70" s="22" t="s">
        <v>180</v>
      </c>
      <c r="K70" s="28" t="n">
        <f aca="false">C70*H69+D70*H70+E70*H71+F70*H72</f>
        <v>1</v>
      </c>
      <c r="L70" s="28" t="n">
        <f aca="false">C70*I69+D70*I70+E70*I71+F70*I72</f>
        <v>0.5</v>
      </c>
    </row>
    <row r="71" customFormat="false" ht="15" hidden="false" customHeight="false" outlineLevel="0" collapsed="false">
      <c r="B71" s="22" t="s">
        <v>181</v>
      </c>
      <c r="C71" s="35" t="n">
        <v>2</v>
      </c>
      <c r="D71" s="35" t="n">
        <v>1</v>
      </c>
      <c r="E71" s="35" t="n">
        <v>0</v>
      </c>
      <c r="F71" s="35" t="n">
        <v>1</v>
      </c>
      <c r="G71" s="22" t="s">
        <v>175</v>
      </c>
      <c r="H71" s="35" t="n">
        <v>0</v>
      </c>
      <c r="I71" s="35" t="n">
        <v>0.5</v>
      </c>
      <c r="J71" s="22" t="s">
        <v>181</v>
      </c>
      <c r="K71" s="28" t="n">
        <f aca="false">C71*H69+D71*H70+E71*H71+F71*H72</f>
        <v>3</v>
      </c>
      <c r="L71" s="28" t="n">
        <f aca="false">C71*I69+D71*I70+E71*I71+F71*I72</f>
        <v>1</v>
      </c>
    </row>
    <row r="72" customFormat="false" ht="15" hidden="false" customHeight="false" outlineLevel="0" collapsed="false">
      <c r="G72" s="22" t="s">
        <v>176</v>
      </c>
      <c r="H72" s="35" t="n">
        <v>1</v>
      </c>
      <c r="I72" s="35" t="n">
        <v>-1</v>
      </c>
    </row>
    <row r="74" customFormat="false" ht="15.75" hidden="false" customHeight="true" outlineLevel="0" collapsed="false">
      <c r="B74" s="10" t="s">
        <v>182</v>
      </c>
      <c r="C74" s="29" t="str">
        <f aca="false">IF(ROUND(C69,3)&lt;0,"("&amp;ROUND(C69,3)&amp;")",ROUND(C69,3)&amp;"")&amp;"×"&amp;IF(ROUND(H69,3)&lt;0,"("&amp;ROUND(H69,3)&amp;")",ROUND(H69,3)&amp;"")&amp;" + "&amp;IF(ROUND(D69,3)&lt;0,"("&amp;ROUND(D69,3)&amp;")",ROUND(D69,3)&amp;"")&amp;"×"&amp;IF(ROUND(H70,3)&lt;0,"("&amp;ROUND(H70,3)&amp;")",ROUND(H70,3)&amp;"")&amp;" + "&amp;IF(ROUND(E69,3)&lt;0,"("&amp;ROUND(E69,3)&amp;")",ROUND(E69,3)&amp;"")&amp;"×"&amp;IF(ROUND(H71,3)&lt;0,"("&amp;ROUND(H71,3)&amp;")",ROUND(H71,3)&amp;"")&amp;" + "&amp;IF(ROUND(F69,3)&lt;0,"("&amp;ROUND(F69,3)&amp;")",ROUND(F69,3)&amp;"")&amp;"×"&amp;IF(ROUND(H72,3)&lt;0,"("&amp;ROUND(H72,3)&amp;")",ROUND(H72,3)&amp;"")&amp;"  =  "&amp;IF(ROUND(K69,3)&lt;0,"("&amp;ROUND(K69,3)&amp;")",ROUND(K69,3)&amp;"")</f>
        <v>1×0.5 + 0×1 + 2×0 + 1×1  =  1.5</v>
      </c>
      <c r="D74" s="29"/>
      <c r="E74" s="29"/>
      <c r="F74" s="29"/>
      <c r="G74" s="29"/>
      <c r="H74" s="29"/>
      <c r="I74" s="29"/>
      <c r="J74" s="29"/>
      <c r="K74" s="29"/>
      <c r="L74" s="29"/>
      <c r="M74" s="29"/>
      <c r="N74" s="29"/>
    </row>
    <row r="75" customFormat="false" ht="15.75" hidden="false" customHeight="true" outlineLevel="0" collapsed="false">
      <c r="B75" s="10" t="s">
        <v>183</v>
      </c>
      <c r="C75" s="29" t="str">
        <f aca="false">IF(ROUND(C69,3)&lt;0,"("&amp;ROUND(C69,3)&amp;")",ROUND(C69,3)&amp;"")&amp;"×"&amp;IF(ROUND(I69,3)&lt;0,"("&amp;ROUND(I69,3)&amp;")",ROUND(I69,3)&amp;"")&amp;" + "&amp;IF(ROUND(D69,3)&lt;0,"("&amp;ROUND(D69,3)&amp;")",ROUND(D69,3)&amp;"")&amp;"×"&amp;IF(ROUND(I70,3)&lt;0,"("&amp;ROUND(I70,3)&amp;")",ROUND(I70,3)&amp;"")&amp;" + "&amp;IF(ROUND(E69,3)&lt;0,"("&amp;ROUND(E69,3)&amp;")",ROUND(E69,3)&amp;"")&amp;"×"&amp;IF(ROUND(I71,3)&lt;0,"("&amp;ROUND(I71,3)&amp;")",ROUND(I71,3)&amp;"")&amp;" + "&amp;IF(ROUND(F69,3)&lt;0,"("&amp;ROUND(F69,3)&amp;")",ROUND(F69,3)&amp;"")&amp;"×"&amp;IF(ROUND(I72,3)&lt;0,"("&amp;ROUND(I72,3)&amp;")",ROUND(I72,3)&amp;"")&amp;"  =  "&amp;IF(ROUND(L69,3)&lt;0,"("&amp;ROUND(L69,3)&amp;")",ROUND(L69,3)&amp;"")</f>
        <v>1×1 + 0×0 + 2×0.5 + 1×(-1)  =  1</v>
      </c>
      <c r="D75" s="29"/>
      <c r="E75" s="29"/>
      <c r="F75" s="29"/>
      <c r="G75" s="29"/>
      <c r="H75" s="29"/>
      <c r="I75" s="29"/>
      <c r="J75" s="29"/>
      <c r="K75" s="29"/>
      <c r="L75" s="29"/>
      <c r="M75" s="29"/>
      <c r="N75" s="29"/>
    </row>
    <row r="76" customFormat="false" ht="15.75" hidden="false" customHeight="true" outlineLevel="0" collapsed="false">
      <c r="B76" s="10" t="s">
        <v>184</v>
      </c>
      <c r="C76" s="29" t="str">
        <f aca="false">IF(ROUND(C70,3)&lt;0,"("&amp;ROUND(C70,3)&amp;")",ROUND(C70,3)&amp;"")&amp;"×"&amp;IF(ROUND(H69,3)&lt;0,"("&amp;ROUND(H69,3)&amp;")",ROUND(H69,3)&amp;"")&amp;" + "&amp;IF(ROUND(D70,3)&lt;0,"("&amp;ROUND(D70,3)&amp;")",ROUND(D70,3)&amp;"")&amp;"×"&amp;IF(ROUND(H70,3)&lt;0,"("&amp;ROUND(H70,3)&amp;")",ROUND(H70,3)&amp;"")&amp;" + "&amp;IF(ROUND(E70,3)&lt;0,"("&amp;ROUND(E70,3)&amp;")",ROUND(E70,3)&amp;"")&amp;"×"&amp;IF(ROUND(H71,3)&lt;0,"("&amp;ROUND(H71,3)&amp;")",ROUND(H71,3)&amp;"")&amp;" + "&amp;IF(ROUND(F70,3)&lt;0,"("&amp;ROUND(F70,3)&amp;")",ROUND(F70,3)&amp;"")&amp;"×"&amp;IF(ROUND(H72,3)&lt;0,"("&amp;ROUND(H72,3)&amp;")",ROUND(H72,3)&amp;"")&amp;"  =  "&amp;IF(ROUND(K70,3)&lt;0,"("&amp;ROUND(K70,3)&amp;")",ROUND(K70,3)&amp;"")</f>
        <v>0×0.5 + 1×1 + 1×0 + 0×1  =  1</v>
      </c>
      <c r="D76" s="29"/>
      <c r="E76" s="29"/>
      <c r="F76" s="29"/>
      <c r="G76" s="29"/>
      <c r="H76" s="29"/>
      <c r="I76" s="29"/>
      <c r="J76" s="29"/>
      <c r="K76" s="29"/>
      <c r="L76" s="29"/>
      <c r="M76" s="29"/>
      <c r="N76" s="29"/>
    </row>
    <row r="77" customFormat="false" ht="15.75" hidden="false" customHeight="true" outlineLevel="0" collapsed="false">
      <c r="B77" s="10" t="s">
        <v>185</v>
      </c>
      <c r="C77" s="29" t="str">
        <f aca="false">IF(ROUND(C70,3)&lt;0,"("&amp;ROUND(C70,3)&amp;")",ROUND(C70,3)&amp;"")&amp;"×"&amp;IF(ROUND(I69,3)&lt;0,"("&amp;ROUND(I69,3)&amp;")",ROUND(I69,3)&amp;"")&amp;" + "&amp;IF(ROUND(D70,3)&lt;0,"("&amp;ROUND(D70,3)&amp;")",ROUND(D70,3)&amp;"")&amp;"×"&amp;IF(ROUND(I70,3)&lt;0,"("&amp;ROUND(I70,3)&amp;")",ROUND(I70,3)&amp;"")&amp;" + "&amp;IF(ROUND(E70,3)&lt;0,"("&amp;ROUND(E70,3)&amp;")",ROUND(E70,3)&amp;"")&amp;"×"&amp;IF(ROUND(I71,3)&lt;0,"("&amp;ROUND(I71,3)&amp;")",ROUND(I71,3)&amp;"")&amp;" + "&amp;IF(ROUND(F70,3)&lt;0,"("&amp;ROUND(F70,3)&amp;")",ROUND(F70,3)&amp;"")&amp;"×"&amp;IF(ROUND(I72,3)&lt;0,"("&amp;ROUND(I72,3)&amp;")",ROUND(I72,3)&amp;"")&amp;"  =  "&amp;IF(ROUND(L70,3)&lt;0,"("&amp;ROUND(L70,3)&amp;")",ROUND(L70,3)&amp;"")</f>
        <v>0×1 + 1×0 + 1×0.5 + 0×(-1)  =  0.5</v>
      </c>
      <c r="D77" s="29"/>
      <c r="E77" s="29"/>
      <c r="F77" s="29"/>
      <c r="G77" s="29"/>
      <c r="H77" s="29"/>
      <c r="I77" s="29"/>
      <c r="J77" s="29"/>
      <c r="K77" s="29"/>
      <c r="L77" s="29"/>
      <c r="M77" s="29"/>
      <c r="N77" s="29"/>
    </row>
    <row r="78" customFormat="false" ht="15.75" hidden="false" customHeight="true" outlineLevel="0" collapsed="false">
      <c r="B78" s="10" t="s">
        <v>186</v>
      </c>
      <c r="C78" s="29" t="str">
        <f aca="false">IF(ROUND(C71,3)&lt;0,"("&amp;ROUND(C71,3)&amp;")",ROUND(C71,3)&amp;"")&amp;"×"&amp;IF(ROUND(H69,3)&lt;0,"("&amp;ROUND(H69,3)&amp;")",ROUND(H69,3)&amp;"")&amp;" + "&amp;IF(ROUND(D71,3)&lt;0,"("&amp;ROUND(D71,3)&amp;")",ROUND(D71,3)&amp;"")&amp;"×"&amp;IF(ROUND(H70,3)&lt;0,"("&amp;ROUND(H70,3)&amp;")",ROUND(H70,3)&amp;"")&amp;" + "&amp;IF(ROUND(E71,3)&lt;0,"("&amp;ROUND(E71,3)&amp;")",ROUND(E71,3)&amp;"")&amp;"×"&amp;IF(ROUND(H71,3)&lt;0,"("&amp;ROUND(H71,3)&amp;")",ROUND(H71,3)&amp;"")&amp;" + "&amp;IF(ROUND(F71,3)&lt;0,"("&amp;ROUND(F71,3)&amp;")",ROUND(F71,3)&amp;"")&amp;"×"&amp;IF(ROUND(H72,3)&lt;0,"("&amp;ROUND(H72,3)&amp;")",ROUND(H72,3)&amp;"")&amp;"  =  "&amp;IF(ROUND(K71,3)&lt;0,"("&amp;ROUND(K71,3)&amp;")",ROUND(K71,3)&amp;"")</f>
        <v>2×0.5 + 1×1 + 0×0 + 1×1  =  3</v>
      </c>
      <c r="D78" s="29"/>
      <c r="E78" s="29"/>
      <c r="F78" s="29"/>
      <c r="G78" s="29"/>
      <c r="H78" s="29"/>
      <c r="I78" s="29"/>
      <c r="J78" s="29"/>
      <c r="K78" s="29"/>
      <c r="L78" s="29"/>
      <c r="M78" s="29"/>
      <c r="N78" s="29"/>
    </row>
    <row r="79" customFormat="false" ht="15.75" hidden="false" customHeight="true" outlineLevel="0" collapsed="false">
      <c r="B79" s="10" t="s">
        <v>187</v>
      </c>
      <c r="C79" s="29" t="str">
        <f aca="false">IF(ROUND(C71,3)&lt;0,"("&amp;ROUND(C71,3)&amp;")",ROUND(C71,3)&amp;"")&amp;"×"&amp;IF(ROUND(I69,3)&lt;0,"("&amp;ROUND(I69,3)&amp;")",ROUND(I69,3)&amp;"")&amp;" + "&amp;IF(ROUND(D71,3)&lt;0,"("&amp;ROUND(D71,3)&amp;")",ROUND(D71,3)&amp;"")&amp;"×"&amp;IF(ROUND(I70,3)&lt;0,"("&amp;ROUND(I70,3)&amp;")",ROUND(I70,3)&amp;"")&amp;" + "&amp;IF(ROUND(E71,3)&lt;0,"("&amp;ROUND(E71,3)&amp;")",ROUND(E71,3)&amp;"")&amp;"×"&amp;IF(ROUND(I71,3)&lt;0,"("&amp;ROUND(I71,3)&amp;")",ROUND(I71,3)&amp;"")&amp;" + "&amp;IF(ROUND(F71,3)&lt;0,"("&amp;ROUND(F71,3)&amp;")",ROUND(F71,3)&amp;"")&amp;"×"&amp;IF(ROUND(I72,3)&lt;0,"("&amp;ROUND(I72,3)&amp;")",ROUND(I72,3)&amp;"")&amp;"  =  "&amp;IF(ROUND(L71,3)&lt;0,"("&amp;ROUND(L71,3)&amp;")",ROUND(L71,3)&amp;"")</f>
        <v>2×1 + 1×0 + 0×0.5 + 1×(-1)  =  1</v>
      </c>
      <c r="D79" s="29"/>
      <c r="E79" s="29"/>
      <c r="F79" s="29"/>
      <c r="G79" s="29"/>
      <c r="H79" s="29"/>
      <c r="I79" s="29"/>
      <c r="J79" s="29"/>
      <c r="K79" s="29"/>
      <c r="L79" s="29"/>
      <c r="M79" s="29"/>
      <c r="N79" s="29"/>
    </row>
    <row r="81" customFormat="false" ht="21.75" hidden="false" customHeight="true" outlineLevel="0" collapsed="false">
      <c r="B81" s="4" t="s">
        <v>188</v>
      </c>
      <c r="C81" s="4"/>
      <c r="D81" s="4"/>
      <c r="E81" s="4"/>
      <c r="F81" s="4"/>
      <c r="G81" s="4"/>
      <c r="H81" s="4"/>
      <c r="I81" s="4"/>
      <c r="J81" s="4"/>
      <c r="K81" s="4"/>
      <c r="L81" s="4"/>
      <c r="M81" s="4"/>
      <c r="N81" s="4"/>
    </row>
    <row r="82" customFormat="false" ht="31.5" hidden="false" customHeight="true" outlineLevel="0" collapsed="false">
      <c r="B82" s="5" t="s">
        <v>189</v>
      </c>
      <c r="C82" s="5"/>
      <c r="D82" s="5"/>
      <c r="E82" s="5"/>
      <c r="F82" s="5"/>
      <c r="G82" s="5"/>
      <c r="H82" s="5"/>
      <c r="I82" s="5"/>
      <c r="J82" s="5"/>
      <c r="K82" s="5"/>
      <c r="L82" s="5"/>
      <c r="M82" s="5"/>
      <c r="N82" s="5"/>
    </row>
    <row r="83" customFormat="false" ht="17.25" hidden="false" customHeight="true" outlineLevel="0" collapsed="false">
      <c r="B83" s="11" t="s">
        <v>190</v>
      </c>
      <c r="C83" s="11" t="s">
        <v>191</v>
      </c>
      <c r="D83" s="11"/>
      <c r="E83" s="11" t="s">
        <v>192</v>
      </c>
      <c r="F83" s="11"/>
      <c r="G83" s="11"/>
      <c r="H83" s="11"/>
      <c r="I83" s="11"/>
      <c r="J83" s="11"/>
      <c r="K83" s="11"/>
      <c r="L83" s="11"/>
      <c r="M83" s="11"/>
      <c r="N83" s="11"/>
    </row>
    <row r="84" customFormat="false" ht="17.25" hidden="false" customHeight="true" outlineLevel="0" collapsed="false">
      <c r="B84" s="6" t="n">
        <v>-2</v>
      </c>
      <c r="C84" s="36" t="n">
        <f aca="false">EXP(B84)</f>
        <v>0.135335283236613</v>
      </c>
      <c r="D84" s="36"/>
      <c r="E84" s="13" t="s">
        <v>193</v>
      </c>
      <c r="F84" s="13"/>
      <c r="G84" s="13"/>
      <c r="H84" s="13"/>
      <c r="I84" s="13"/>
      <c r="J84" s="13"/>
      <c r="K84" s="13"/>
      <c r="L84" s="13"/>
      <c r="M84" s="13"/>
      <c r="N84" s="13"/>
    </row>
    <row r="85" customFormat="false" ht="17.25" hidden="false" customHeight="true" outlineLevel="0" collapsed="false">
      <c r="B85" s="6" t="n">
        <v>-1</v>
      </c>
      <c r="C85" s="37" t="n">
        <f aca="false">EXP(B85)</f>
        <v>0.367879441171442</v>
      </c>
      <c r="D85" s="37"/>
      <c r="E85" s="16" t="s">
        <v>194</v>
      </c>
      <c r="F85" s="16"/>
      <c r="G85" s="16"/>
      <c r="H85" s="16"/>
      <c r="I85" s="16"/>
      <c r="J85" s="16"/>
      <c r="K85" s="16"/>
      <c r="L85" s="16"/>
      <c r="M85" s="16"/>
      <c r="N85" s="16"/>
    </row>
    <row r="86" customFormat="false" ht="17.25" hidden="false" customHeight="true" outlineLevel="0" collapsed="false">
      <c r="B86" s="6" t="n">
        <v>0</v>
      </c>
      <c r="C86" s="36" t="n">
        <f aca="false">EXP(B86)</f>
        <v>1</v>
      </c>
      <c r="D86" s="36"/>
      <c r="E86" s="13" t="s">
        <v>195</v>
      </c>
      <c r="F86" s="13"/>
      <c r="G86" s="13"/>
      <c r="H86" s="13"/>
      <c r="I86" s="13"/>
      <c r="J86" s="13"/>
      <c r="K86" s="13"/>
      <c r="L86" s="13"/>
      <c r="M86" s="13"/>
      <c r="N86" s="13"/>
    </row>
    <row r="87" customFormat="false" ht="17.25" hidden="false" customHeight="true" outlineLevel="0" collapsed="false">
      <c r="B87" s="6" t="n">
        <v>1</v>
      </c>
      <c r="C87" s="37" t="n">
        <f aca="false">EXP(B87)</f>
        <v>2.71828182845905</v>
      </c>
      <c r="D87" s="37"/>
      <c r="E87" s="16" t="s">
        <v>196</v>
      </c>
      <c r="F87" s="16"/>
      <c r="G87" s="16"/>
      <c r="H87" s="16"/>
      <c r="I87" s="16"/>
      <c r="J87" s="16"/>
      <c r="K87" s="16"/>
      <c r="L87" s="16"/>
      <c r="M87" s="16"/>
      <c r="N87" s="16"/>
    </row>
    <row r="88" customFormat="false" ht="17.25" hidden="false" customHeight="true" outlineLevel="0" collapsed="false">
      <c r="B88" s="6" t="n">
        <v>2</v>
      </c>
      <c r="C88" s="36" t="n">
        <f aca="false">EXP(B88)</f>
        <v>7.38905609893065</v>
      </c>
      <c r="D88" s="36"/>
      <c r="E88" s="13" t="s">
        <v>197</v>
      </c>
      <c r="F88" s="13"/>
      <c r="G88" s="13"/>
      <c r="H88" s="13"/>
      <c r="I88" s="13"/>
      <c r="J88" s="13"/>
      <c r="K88" s="13"/>
      <c r="L88" s="13"/>
      <c r="M88" s="13"/>
      <c r="N88" s="13"/>
    </row>
    <row r="89" customFormat="false" ht="17.25" hidden="false" customHeight="true" outlineLevel="0" collapsed="false">
      <c r="B89" s="6" t="n">
        <v>5</v>
      </c>
      <c r="C89" s="37" t="n">
        <f aca="false">EXP(B89)</f>
        <v>148.413159102577</v>
      </c>
      <c r="D89" s="37"/>
      <c r="E89" s="16" t="s">
        <v>198</v>
      </c>
      <c r="F89" s="16"/>
      <c r="G89" s="16"/>
      <c r="H89" s="16"/>
      <c r="I89" s="16"/>
      <c r="J89" s="16"/>
      <c r="K89" s="16"/>
      <c r="L89" s="16"/>
      <c r="M89" s="16"/>
      <c r="N89" s="16"/>
    </row>
    <row r="90" customFormat="false" ht="17.25" hidden="false" customHeight="true" outlineLevel="0" collapsed="false">
      <c r="B90" s="6" t="n">
        <v>10</v>
      </c>
      <c r="C90" s="36" t="n">
        <f aca="false">EXP(B90)</f>
        <v>22026.4657948067</v>
      </c>
      <c r="D90" s="36"/>
      <c r="E90" s="13" t="s">
        <v>199</v>
      </c>
      <c r="F90" s="13"/>
      <c r="G90" s="13"/>
      <c r="H90" s="13"/>
      <c r="I90" s="13"/>
      <c r="J90" s="13"/>
      <c r="K90" s="13"/>
      <c r="L90" s="13"/>
      <c r="M90" s="13"/>
      <c r="N90" s="13"/>
    </row>
    <row r="92" customFormat="false" ht="21.75" hidden="false" customHeight="true" outlineLevel="0" collapsed="false">
      <c r="B92" s="4" t="s">
        <v>200</v>
      </c>
      <c r="C92" s="4"/>
      <c r="D92" s="4"/>
      <c r="E92" s="4"/>
      <c r="F92" s="4"/>
      <c r="G92" s="4"/>
      <c r="H92" s="4"/>
      <c r="I92" s="4"/>
      <c r="J92" s="4"/>
      <c r="K92" s="4"/>
      <c r="L92" s="4"/>
      <c r="M92" s="4"/>
      <c r="N92" s="4"/>
    </row>
    <row r="93" customFormat="false" ht="20.25" hidden="false" customHeight="true" outlineLevel="0" collapsed="false">
      <c r="B93" s="24" t="s">
        <v>201</v>
      </c>
      <c r="C93" s="24"/>
      <c r="D93" s="24"/>
      <c r="E93" s="24"/>
      <c r="F93" s="24"/>
      <c r="G93" s="24"/>
      <c r="H93" s="24"/>
      <c r="I93" s="24"/>
      <c r="J93" s="24"/>
      <c r="K93" s="24"/>
      <c r="L93" s="24"/>
      <c r="M93" s="24"/>
      <c r="N93" s="24"/>
    </row>
    <row r="94" customFormat="false" ht="31.5" hidden="false" customHeight="true" outlineLevel="0" collapsed="false">
      <c r="B94" s="5" t="s">
        <v>202</v>
      </c>
      <c r="C94" s="5"/>
      <c r="D94" s="5"/>
      <c r="E94" s="5"/>
      <c r="F94" s="5"/>
      <c r="G94" s="5"/>
      <c r="H94" s="5"/>
      <c r="I94" s="5"/>
      <c r="J94" s="5"/>
      <c r="K94" s="5"/>
      <c r="L94" s="5"/>
      <c r="M94" s="5"/>
      <c r="N94" s="5"/>
    </row>
    <row r="95" customFormat="false" ht="18.75" hidden="false" customHeight="true" outlineLevel="0" collapsed="false">
      <c r="B95" s="25" t="s">
        <v>203</v>
      </c>
      <c r="C95" s="25"/>
      <c r="D95" s="25"/>
      <c r="E95" s="25"/>
      <c r="F95" s="25"/>
      <c r="G95" s="25"/>
      <c r="H95" s="25"/>
      <c r="I95" s="25"/>
      <c r="J95" s="25"/>
      <c r="K95" s="25"/>
      <c r="L95" s="25"/>
      <c r="M95" s="25"/>
      <c r="N95" s="25"/>
    </row>
    <row r="96" customFormat="false" ht="17.25" hidden="false" customHeight="true" outlineLevel="0" collapsed="false">
      <c r="B96" s="20" t="s">
        <v>204</v>
      </c>
      <c r="C96" s="20"/>
      <c r="D96" s="20"/>
      <c r="E96" s="20"/>
    </row>
    <row r="97" customFormat="false" ht="15" hidden="false" customHeight="false" outlineLevel="0" collapsed="false">
      <c r="B97" s="16"/>
      <c r="C97" s="21" t="s">
        <v>205</v>
      </c>
      <c r="D97" s="21" t="s">
        <v>206</v>
      </c>
      <c r="E97" s="21" t="s">
        <v>207</v>
      </c>
    </row>
    <row r="98" customFormat="false" ht="15" hidden="false" customHeight="false" outlineLevel="0" collapsed="false">
      <c r="B98" s="22"/>
      <c r="C98" s="38" t="n">
        <v>2</v>
      </c>
      <c r="D98" s="38" t="n">
        <v>1</v>
      </c>
      <c r="E98" s="38" t="n">
        <v>0.1</v>
      </c>
    </row>
    <row r="99" customFormat="false" ht="17.25" hidden="false" customHeight="true" outlineLevel="0" collapsed="false">
      <c r="B99" s="20" t="s">
        <v>208</v>
      </c>
      <c r="C99" s="20"/>
      <c r="D99" s="20"/>
      <c r="E99" s="20"/>
    </row>
    <row r="100" customFormat="false" ht="15" hidden="false" customHeight="false" outlineLevel="0" collapsed="false">
      <c r="B100" s="16"/>
      <c r="C100" s="21" t="s">
        <v>205</v>
      </c>
      <c r="D100" s="21" t="s">
        <v>206</v>
      </c>
      <c r="E100" s="21" t="s">
        <v>207</v>
      </c>
    </row>
    <row r="101" customFormat="false" ht="15" hidden="false" customHeight="false" outlineLevel="0" collapsed="false">
      <c r="B101" s="22"/>
      <c r="C101" s="39" t="n">
        <f aca="false">EXP(C98)</f>
        <v>7.38905609893065</v>
      </c>
      <c r="D101" s="39" t="n">
        <f aca="false">EXP(D98)</f>
        <v>2.71828182845905</v>
      </c>
      <c r="E101" s="39" t="n">
        <f aca="false">EXP(E98)</f>
        <v>1.10517091807565</v>
      </c>
    </row>
    <row r="102" customFormat="false" ht="17.25" hidden="false" customHeight="true" outlineLevel="0" collapsed="false">
      <c r="B102" s="22" t="s">
        <v>209</v>
      </c>
      <c r="C102" s="40" t="n">
        <f aca="false">SUM(C101:E101)</f>
        <v>11.2125088454653</v>
      </c>
      <c r="D102" s="27" t="s">
        <v>210</v>
      </c>
      <c r="E102" s="27"/>
      <c r="F102" s="27"/>
      <c r="G102" s="27"/>
      <c r="H102" s="27"/>
      <c r="I102" s="27"/>
      <c r="J102" s="27"/>
      <c r="K102" s="27"/>
      <c r="L102" s="27"/>
      <c r="M102" s="27"/>
      <c r="N102" s="27"/>
    </row>
    <row r="103" customFormat="false" ht="17.25" hidden="false" customHeight="true" outlineLevel="0" collapsed="false">
      <c r="B103" s="20" t="s">
        <v>211</v>
      </c>
      <c r="C103" s="20"/>
      <c r="D103" s="20"/>
      <c r="E103" s="20"/>
    </row>
    <row r="104" customFormat="false" ht="15" hidden="false" customHeight="false" outlineLevel="0" collapsed="false">
      <c r="B104" s="16"/>
      <c r="C104" s="21" t="s">
        <v>205</v>
      </c>
      <c r="D104" s="21" t="s">
        <v>206</v>
      </c>
      <c r="E104" s="21" t="s">
        <v>207</v>
      </c>
    </row>
    <row r="105" customFormat="false" ht="15" hidden="false" customHeight="false" outlineLevel="0" collapsed="false">
      <c r="B105" s="22"/>
      <c r="C105" s="41" t="n">
        <f aca="false">C101/C102</f>
        <v>0.659001138885968</v>
      </c>
      <c r="D105" s="41" t="n">
        <f aca="false">D101/C102</f>
        <v>0.242432970704714</v>
      </c>
      <c r="E105" s="41" t="n">
        <f aca="false">E101/C102</f>
        <v>0.0985658904093182</v>
      </c>
    </row>
    <row r="106" customFormat="false" ht="17.25" hidden="false" customHeight="true" outlineLevel="0" collapsed="false">
      <c r="B106" s="22" t="s">
        <v>212</v>
      </c>
      <c r="C106" s="40" t="n">
        <f aca="false">SUM(C105:E105)</f>
        <v>1</v>
      </c>
      <c r="D106" s="27" t="s">
        <v>213</v>
      </c>
      <c r="E106" s="27"/>
      <c r="F106" s="27"/>
      <c r="G106" s="27"/>
      <c r="H106" s="27"/>
      <c r="I106" s="27"/>
      <c r="J106" s="27"/>
      <c r="K106" s="27"/>
      <c r="L106" s="27"/>
      <c r="M106" s="27"/>
      <c r="N106" s="27"/>
    </row>
    <row r="107" customFormat="false" ht="15.75" hidden="false" customHeight="true" outlineLevel="0" collapsed="false">
      <c r="B107" s="10" t="s">
        <v>205</v>
      </c>
      <c r="C107" s="29" t="str">
        <f aca="false">"e^"&amp;IF(ROUND(C98,3)&lt;0,"("&amp;ROUND(C98,3)&amp;")",ROUND(C98,3)&amp;"")&amp;" ÷ ("&amp;IF(ROUND(C101,3)&lt;0,"("&amp;ROUND(C101,3)&amp;")",ROUND(C101,3)&amp;"")&amp;" + "&amp;IF(ROUND(D101,3)&lt;0,"("&amp;ROUND(D101,3)&amp;")",ROUND(D101,3)&amp;"")&amp;" + "&amp;IF(ROUND(E101,3)&lt;0,"("&amp;ROUND(E101,3)&amp;")",ROUND(E101,3)&amp;"")&amp;")  =  "&amp;IF(ROUND(C101,3)&lt;0,"("&amp;ROUND(C101,3)&amp;")",ROUND(C101,3)&amp;"")&amp;" ÷ "&amp;IF(ROUND(C102,3)&lt;0,"("&amp;ROUND(C102,3)&amp;")",ROUND(C102,3)&amp;"")&amp;"  =  "&amp;IF(ROUND(C105,3)&lt;0,"("&amp;ROUND(C105,3)&amp;")",ROUND(C105,3)&amp;"")</f>
        <v>e^2 ÷ (7.389 + 2.718 + 1.105)  =  7.389 ÷ 11.213  =  0.659</v>
      </c>
      <c r="D107" s="29"/>
      <c r="E107" s="29"/>
      <c r="F107" s="29"/>
      <c r="G107" s="29"/>
      <c r="H107" s="29"/>
      <c r="I107" s="29"/>
      <c r="J107" s="29"/>
      <c r="K107" s="29"/>
      <c r="L107" s="29"/>
      <c r="M107" s="29"/>
      <c r="N107" s="29"/>
    </row>
    <row r="108" customFormat="false" ht="15.75" hidden="false" customHeight="true" outlineLevel="0" collapsed="false">
      <c r="B108" s="10" t="s">
        <v>206</v>
      </c>
      <c r="C108" s="29" t="str">
        <f aca="false">"e^"&amp;IF(ROUND(D98,3)&lt;0,"("&amp;ROUND(D98,3)&amp;")",ROUND(D98,3)&amp;"")&amp;" ÷ ("&amp;IF(ROUND(C101,3)&lt;0,"("&amp;ROUND(C101,3)&amp;")",ROUND(C101,3)&amp;"")&amp;" + "&amp;IF(ROUND(D101,3)&lt;0,"("&amp;ROUND(D101,3)&amp;")",ROUND(D101,3)&amp;"")&amp;" + "&amp;IF(ROUND(E101,3)&lt;0,"("&amp;ROUND(E101,3)&amp;")",ROUND(E101,3)&amp;"")&amp;")  =  "&amp;IF(ROUND(D101,3)&lt;0,"("&amp;ROUND(D101,3)&amp;")",ROUND(D101,3)&amp;"")&amp;" ÷ "&amp;IF(ROUND(C102,3)&lt;0,"("&amp;ROUND(C102,3)&amp;")",ROUND(C102,3)&amp;"")&amp;"  =  "&amp;IF(ROUND(D105,3)&lt;0,"("&amp;ROUND(D105,3)&amp;")",ROUND(D105,3)&amp;"")</f>
        <v>e^1 ÷ (7.389 + 2.718 + 1.105)  =  2.718 ÷ 11.213  =  0.242</v>
      </c>
      <c r="D108" s="29"/>
      <c r="E108" s="29"/>
      <c r="F108" s="29"/>
      <c r="G108" s="29"/>
      <c r="H108" s="29"/>
      <c r="I108" s="29"/>
      <c r="J108" s="29"/>
      <c r="K108" s="29"/>
      <c r="L108" s="29"/>
      <c r="M108" s="29"/>
      <c r="N108" s="29"/>
    </row>
    <row r="109" customFormat="false" ht="15.75" hidden="false" customHeight="true" outlineLevel="0" collapsed="false">
      <c r="B109" s="10" t="s">
        <v>207</v>
      </c>
      <c r="C109" s="29" t="str">
        <f aca="false">"e^"&amp;IF(ROUND(E98,3)&lt;0,"("&amp;ROUND(E98,3)&amp;")",ROUND(E98,3)&amp;"")&amp;" ÷ ("&amp;IF(ROUND(C101,3)&lt;0,"("&amp;ROUND(C101,3)&amp;")",ROUND(C101,3)&amp;"")&amp;" + "&amp;IF(ROUND(D101,3)&lt;0,"("&amp;ROUND(D101,3)&amp;")",ROUND(D101,3)&amp;"")&amp;" + "&amp;IF(ROUND(E101,3)&lt;0,"("&amp;ROUND(E101,3)&amp;")",ROUND(E101,3)&amp;"")&amp;")  =  "&amp;IF(ROUND(E101,3)&lt;0,"("&amp;ROUND(E101,3)&amp;")",ROUND(E101,3)&amp;"")&amp;" ÷ "&amp;IF(ROUND(C102,3)&lt;0,"("&amp;ROUND(C102,3)&amp;")",ROUND(C102,3)&amp;"")&amp;"  =  "&amp;IF(ROUND(E105,3)&lt;0,"("&amp;ROUND(E105,3)&amp;")",ROUND(E105,3)&amp;"")</f>
        <v>e^0.1 ÷ (7.389 + 2.718 + 1.105)  =  1.105 ÷ 11.213  =  0.099</v>
      </c>
      <c r="D109" s="29"/>
      <c r="E109" s="29"/>
      <c r="F109" s="29"/>
      <c r="G109" s="29"/>
      <c r="H109" s="29"/>
      <c r="I109" s="29"/>
      <c r="J109" s="29"/>
      <c r="K109" s="29"/>
      <c r="L109" s="29"/>
      <c r="M109" s="29"/>
      <c r="N109" s="29"/>
    </row>
    <row r="111" customFormat="false" ht="18.75" hidden="false" customHeight="true" outlineLevel="0" collapsed="false">
      <c r="B111" s="25" t="s">
        <v>214</v>
      </c>
      <c r="C111" s="25"/>
      <c r="D111" s="25"/>
      <c r="E111" s="25"/>
      <c r="F111" s="25"/>
      <c r="G111" s="25"/>
      <c r="H111" s="25"/>
      <c r="I111" s="25"/>
      <c r="J111" s="25"/>
      <c r="K111" s="25"/>
      <c r="L111" s="25"/>
      <c r="M111" s="25"/>
      <c r="N111" s="25"/>
    </row>
    <row r="112" customFormat="false" ht="46.5" hidden="false" customHeight="true" outlineLevel="0" collapsed="false">
      <c r="B112" s="5" t="s">
        <v>215</v>
      </c>
      <c r="C112" s="5"/>
      <c r="D112" s="5"/>
      <c r="E112" s="5"/>
      <c r="F112" s="5"/>
      <c r="G112" s="5"/>
      <c r="H112" s="5"/>
      <c r="I112" s="5"/>
      <c r="J112" s="5"/>
      <c r="K112" s="5"/>
      <c r="L112" s="5"/>
      <c r="M112" s="5"/>
      <c r="N112" s="5"/>
    </row>
    <row r="113" customFormat="false" ht="17.25" hidden="false" customHeight="true" outlineLevel="0" collapsed="false">
      <c r="B113" s="22" t="s">
        <v>216</v>
      </c>
      <c r="C113" s="35" t="n">
        <v>100</v>
      </c>
      <c r="D113" s="27" t="s">
        <v>217</v>
      </c>
      <c r="E113" s="27"/>
      <c r="F113" s="27"/>
      <c r="G113" s="27"/>
      <c r="H113" s="27"/>
      <c r="I113" s="27"/>
      <c r="J113" s="27"/>
      <c r="K113" s="27"/>
      <c r="L113" s="27"/>
      <c r="M113" s="27"/>
      <c r="N113" s="27"/>
    </row>
    <row r="114" customFormat="false" ht="17.25" hidden="false" customHeight="true" outlineLevel="0" collapsed="false">
      <c r="B114" s="22" t="s">
        <v>218</v>
      </c>
      <c r="C114" s="35" t="n">
        <v>10</v>
      </c>
      <c r="D114" s="27" t="s">
        <v>219</v>
      </c>
      <c r="E114" s="27"/>
      <c r="F114" s="27"/>
      <c r="G114" s="27"/>
      <c r="H114" s="27"/>
      <c r="I114" s="27"/>
      <c r="J114" s="27"/>
      <c r="K114" s="27"/>
      <c r="L114" s="27"/>
      <c r="M114" s="27"/>
      <c r="N114" s="27"/>
    </row>
    <row r="115" customFormat="false" ht="17.25" hidden="false" customHeight="true" outlineLevel="0" collapsed="false">
      <c r="B115" s="11" t="s">
        <v>220</v>
      </c>
      <c r="C115" s="11"/>
      <c r="D115" s="11" t="s">
        <v>205</v>
      </c>
      <c r="E115" s="11"/>
      <c r="F115" s="11" t="s">
        <v>206</v>
      </c>
      <c r="G115" s="11"/>
      <c r="H115" s="11" t="s">
        <v>207</v>
      </c>
      <c r="I115" s="11"/>
      <c r="J115" s="11" t="s">
        <v>221</v>
      </c>
      <c r="K115" s="11"/>
      <c r="L115" s="11"/>
      <c r="M115" s="11"/>
      <c r="N115" s="11"/>
    </row>
    <row r="116" customFormat="false" ht="17.25" hidden="false" customHeight="true" outlineLevel="0" collapsed="false">
      <c r="B116" s="13" t="s">
        <v>222</v>
      </c>
      <c r="C116" s="13"/>
      <c r="D116" s="31" t="n">
        <f aca="false">C105</f>
        <v>0.659001138885968</v>
      </c>
      <c r="E116" s="31"/>
      <c r="F116" s="31" t="n">
        <f aca="false">D105</f>
        <v>0.242432970704714</v>
      </c>
      <c r="G116" s="31"/>
      <c r="H116" s="31" t="n">
        <f aca="false">E105</f>
        <v>0.0985658904093182</v>
      </c>
      <c r="I116" s="31"/>
      <c r="J116" s="13" t="s">
        <v>223</v>
      </c>
      <c r="K116" s="13"/>
      <c r="L116" s="13"/>
      <c r="M116" s="13"/>
      <c r="N116" s="13"/>
    </row>
    <row r="117" customFormat="false" ht="17.25" hidden="false" customHeight="true" outlineLevel="0" collapsed="false">
      <c r="B117" s="16" t="s">
        <v>224</v>
      </c>
      <c r="C117" s="16"/>
      <c r="D117" s="33" t="n">
        <f aca="false">EXP(C98+C113)/(EXP(C98+C113)+EXP(D98+C113)+EXP(E98+C113))</f>
        <v>0.659001138885968</v>
      </c>
      <c r="E117" s="33"/>
      <c r="F117" s="33" t="n">
        <f aca="false">EXP(D98+C113)/(EXP(C98+C113)+EXP(D98+C113)+EXP(E98+C113))</f>
        <v>0.242432970704714</v>
      </c>
      <c r="G117" s="33"/>
      <c r="H117" s="33" t="n">
        <f aca="false">EXP(E98+C113)/(EXP(C98+C113)+EXP(D98+C113)+EXP(E98+C113))</f>
        <v>0.0985658904093177</v>
      </c>
      <c r="I117" s="33"/>
      <c r="J117" s="16" t="s">
        <v>225</v>
      </c>
      <c r="K117" s="16"/>
      <c r="L117" s="16"/>
      <c r="M117" s="16"/>
      <c r="N117" s="16"/>
    </row>
    <row r="118" customFormat="false" ht="17.25" hidden="false" customHeight="true" outlineLevel="0" collapsed="false">
      <c r="B118" s="13" t="s">
        <v>226</v>
      </c>
      <c r="C118" s="13"/>
      <c r="D118" s="31" t="n">
        <f aca="false">EXP(C98*C114)/(EXP(C98*C114)+EXP(D98*C114)+EXP(E98*C114))</f>
        <v>0.99995459652901</v>
      </c>
      <c r="E118" s="31"/>
      <c r="F118" s="31" t="n">
        <f aca="false">EXP(D98*C114)/(EXP(C98*C114)+EXP(D98*C114)+EXP(E98*C114))</f>
        <v>4.53978684480909E-005</v>
      </c>
      <c r="G118" s="31"/>
      <c r="H118" s="31" t="n">
        <f aca="false">EXP(E98*C114)/(EXP(C98*C114)+EXP(D98*C114)+EXP(E98*C114))</f>
        <v>5.60254205113175E-009</v>
      </c>
      <c r="I118" s="31"/>
      <c r="J118" s="13" t="s">
        <v>227</v>
      </c>
      <c r="K118" s="13"/>
      <c r="L118" s="13"/>
      <c r="M118" s="13"/>
      <c r="N118" s="13"/>
    </row>
    <row r="119" customFormat="false" ht="17.25" hidden="false" customHeight="true" outlineLevel="0" collapsed="false">
      <c r="B119" s="16" t="s">
        <v>228</v>
      </c>
      <c r="C119" s="16"/>
      <c r="D119" s="33" t="n">
        <f aca="false">EXP(C98/C114)/(EXP(C98/C114)+EXP(D98/C114)+EXP(E98/C114))</f>
        <v>0.366059470744793</v>
      </c>
      <c r="E119" s="33"/>
      <c r="F119" s="33" t="n">
        <f aca="false">EXP(D98/C114)/(EXP(C98/C114)+EXP(D98/C114)+EXP(E98/C114))</f>
        <v>0.331224306356328</v>
      </c>
      <c r="G119" s="33"/>
      <c r="H119" s="33" t="n">
        <f aca="false">EXP(E98/C114)/(EXP(C98/C114)+EXP(D98/C114)+EXP(E98/C114))</f>
        <v>0.302716222898879</v>
      </c>
      <c r="I119" s="33"/>
      <c r="J119" s="16" t="s">
        <v>229</v>
      </c>
      <c r="K119" s="16"/>
      <c r="L119" s="16"/>
      <c r="M119" s="16"/>
      <c r="N119" s="16"/>
    </row>
    <row r="121" customFormat="false" ht="21.75" hidden="false" customHeight="true" outlineLevel="0" collapsed="false">
      <c r="B121" s="4" t="s">
        <v>230</v>
      </c>
      <c r="C121" s="4"/>
      <c r="D121" s="4"/>
      <c r="E121" s="4"/>
      <c r="F121" s="4"/>
      <c r="G121" s="4"/>
      <c r="H121" s="4"/>
      <c r="I121" s="4"/>
      <c r="J121" s="4"/>
      <c r="K121" s="4"/>
      <c r="L121" s="4"/>
      <c r="M121" s="4"/>
      <c r="N121" s="4"/>
    </row>
    <row r="122" customFormat="false" ht="46.5" hidden="false" customHeight="true" outlineLevel="0" collapsed="false">
      <c r="B122" s="5" t="s">
        <v>231</v>
      </c>
      <c r="C122" s="5"/>
      <c r="D122" s="5"/>
      <c r="E122" s="5"/>
      <c r="F122" s="5"/>
      <c r="G122" s="5"/>
      <c r="H122" s="5"/>
      <c r="I122" s="5"/>
      <c r="J122" s="5"/>
      <c r="K122" s="5"/>
      <c r="L122" s="5"/>
      <c r="M122" s="5"/>
      <c r="N122" s="5"/>
    </row>
    <row r="123" customFormat="false" ht="18.75" hidden="false" customHeight="true" outlineLevel="0" collapsed="false">
      <c r="B123" s="25" t="s">
        <v>232</v>
      </c>
      <c r="C123" s="25"/>
      <c r="D123" s="25"/>
      <c r="E123" s="25"/>
      <c r="F123" s="25"/>
      <c r="G123" s="25"/>
      <c r="H123" s="25"/>
      <c r="I123" s="25"/>
      <c r="J123" s="25"/>
      <c r="K123" s="25"/>
      <c r="L123" s="25"/>
      <c r="M123" s="25"/>
      <c r="N123" s="25"/>
    </row>
    <row r="124" customFormat="false" ht="17.25" hidden="false" customHeight="true" outlineLevel="0" collapsed="false">
      <c r="B124" s="20" t="s">
        <v>233</v>
      </c>
      <c r="C124" s="20"/>
      <c r="D124" s="20"/>
      <c r="E124" s="20"/>
      <c r="F124" s="20"/>
    </row>
    <row r="125" customFormat="false" ht="15" hidden="false" customHeight="false" outlineLevel="0" collapsed="false">
      <c r="B125" s="16"/>
      <c r="C125" s="21" t="s">
        <v>234</v>
      </c>
      <c r="D125" s="21" t="s">
        <v>235</v>
      </c>
      <c r="E125" s="21" t="s">
        <v>236</v>
      </c>
      <c r="F125" s="21" t="s">
        <v>237</v>
      </c>
    </row>
    <row r="126" customFormat="false" ht="15" hidden="false" customHeight="false" outlineLevel="0" collapsed="false">
      <c r="B126" s="22"/>
      <c r="C126" s="35" t="n">
        <v>2</v>
      </c>
      <c r="D126" s="35" t="n">
        <v>4</v>
      </c>
      <c r="E126" s="35" t="n">
        <v>6</v>
      </c>
      <c r="F126" s="35" t="n">
        <v>8</v>
      </c>
    </row>
    <row r="127" customFormat="false" ht="17.25" hidden="false" customHeight="true" outlineLevel="0" collapsed="false">
      <c r="B127" s="22" t="s">
        <v>238</v>
      </c>
      <c r="C127" s="40" t="n">
        <f aca="false">AVERAGE(C126:F126)</f>
        <v>5</v>
      </c>
      <c r="D127" s="27" t="s">
        <v>239</v>
      </c>
      <c r="E127" s="27"/>
      <c r="F127" s="27"/>
      <c r="G127" s="27"/>
      <c r="H127" s="27"/>
      <c r="I127" s="27"/>
      <c r="J127" s="27"/>
      <c r="K127" s="27"/>
      <c r="L127" s="27"/>
      <c r="M127" s="27"/>
      <c r="N127" s="27"/>
    </row>
    <row r="128" customFormat="false" ht="17.25" hidden="false" customHeight="true" outlineLevel="0" collapsed="false">
      <c r="B128" s="20" t="s">
        <v>240</v>
      </c>
      <c r="C128" s="20"/>
      <c r="D128" s="20"/>
      <c r="E128" s="20"/>
      <c r="F128" s="20"/>
    </row>
    <row r="129" customFormat="false" ht="15" hidden="false" customHeight="false" outlineLevel="0" collapsed="false">
      <c r="B129" s="16"/>
      <c r="C129" s="21" t="s">
        <v>234</v>
      </c>
      <c r="D129" s="21" t="s">
        <v>235</v>
      </c>
      <c r="E129" s="21" t="s">
        <v>236</v>
      </c>
      <c r="F129" s="21" t="s">
        <v>237</v>
      </c>
    </row>
    <row r="130" customFormat="false" ht="15" hidden="false" customHeight="false" outlineLevel="0" collapsed="false">
      <c r="B130" s="22"/>
      <c r="C130" s="39" t="n">
        <f aca="false">C126-C127</f>
        <v>-3</v>
      </c>
      <c r="D130" s="39" t="n">
        <f aca="false">D126-C127</f>
        <v>-1</v>
      </c>
      <c r="E130" s="39" t="n">
        <f aca="false">E126-C127</f>
        <v>1</v>
      </c>
      <c r="F130" s="39" t="n">
        <f aca="false">F126-C127</f>
        <v>3</v>
      </c>
    </row>
    <row r="131" customFormat="false" ht="17.25" hidden="false" customHeight="true" outlineLevel="0" collapsed="false">
      <c r="B131" s="20" t="s">
        <v>241</v>
      </c>
      <c r="C131" s="20"/>
      <c r="D131" s="20"/>
      <c r="E131" s="20"/>
      <c r="F131" s="20"/>
    </row>
    <row r="132" customFormat="false" ht="15" hidden="false" customHeight="false" outlineLevel="0" collapsed="false">
      <c r="B132" s="16"/>
      <c r="C132" s="21" t="s">
        <v>234</v>
      </c>
      <c r="D132" s="21" t="s">
        <v>235</v>
      </c>
      <c r="E132" s="21" t="s">
        <v>236</v>
      </c>
      <c r="F132" s="21" t="s">
        <v>237</v>
      </c>
    </row>
    <row r="133" customFormat="false" ht="15" hidden="false" customHeight="false" outlineLevel="0" collapsed="false">
      <c r="B133" s="22"/>
      <c r="C133" s="39" t="n">
        <f aca="false">C130^2</f>
        <v>9</v>
      </c>
      <c r="D133" s="39" t="n">
        <f aca="false">D130^2</f>
        <v>1</v>
      </c>
      <c r="E133" s="39" t="n">
        <f aca="false">E130^2</f>
        <v>1</v>
      </c>
      <c r="F133" s="39" t="n">
        <f aca="false">F130^2</f>
        <v>9</v>
      </c>
    </row>
    <row r="134" customFormat="false" ht="17.25" hidden="false" customHeight="true" outlineLevel="0" collapsed="false">
      <c r="B134" s="22" t="s">
        <v>242</v>
      </c>
      <c r="C134" s="40" t="n">
        <f aca="false">AVERAGE(C133:F133)</f>
        <v>5</v>
      </c>
      <c r="D134" s="27" t="s">
        <v>243</v>
      </c>
      <c r="E134" s="27"/>
      <c r="F134" s="27"/>
      <c r="G134" s="27"/>
      <c r="H134" s="27"/>
      <c r="I134" s="27"/>
      <c r="J134" s="27"/>
      <c r="K134" s="27"/>
      <c r="L134" s="27"/>
      <c r="M134" s="27"/>
      <c r="N134" s="27"/>
    </row>
    <row r="135" customFormat="false" ht="17.25" hidden="false" customHeight="true" outlineLevel="0" collapsed="false">
      <c r="B135" s="22" t="s">
        <v>244</v>
      </c>
      <c r="C135" s="41" t="n">
        <f aca="false">SQRT(C134)</f>
        <v>2.23606797749979</v>
      </c>
      <c r="D135" s="27" t="s">
        <v>245</v>
      </c>
      <c r="E135" s="27"/>
      <c r="F135" s="27"/>
      <c r="G135" s="27"/>
      <c r="H135" s="27"/>
      <c r="I135" s="27"/>
      <c r="J135" s="27"/>
      <c r="K135" s="27"/>
      <c r="L135" s="27"/>
      <c r="M135" s="27"/>
      <c r="N135" s="27"/>
    </row>
    <row r="136" customFormat="false" ht="15.75" hidden="false" customHeight="true" outlineLevel="0" collapsed="false">
      <c r="B136" s="10" t="s">
        <v>15</v>
      </c>
      <c r="C136" s="29" t="str">
        <f aca="false">"variance = ("&amp;IF(ROUND(C133,3)&lt;0,"("&amp;ROUND(C133,3)&amp;")",ROUND(C133,3)&amp;"")&amp;" + "&amp;IF(ROUND(D133,3)&lt;0,"("&amp;ROUND(D133,3)&amp;")",ROUND(D133,3)&amp;"")&amp;" + "&amp;IF(ROUND(E133,3)&lt;0,"("&amp;ROUND(E133,3)&amp;")",ROUND(E133,3)&amp;"")&amp;" + "&amp;IF(ROUND(F133,3)&lt;0,"("&amp;ROUND(F133,3)&amp;")",ROUND(F133,3)&amp;"")&amp;") ÷ 4 = "&amp;IF(ROUND(C134,3)&lt;0,"("&amp;ROUND(C134,3)&amp;")",ROUND(C134,3)&amp;"")&amp;";  std = √"&amp;IF(ROUND(C134,3)&lt;0,"("&amp;ROUND(C134,3)&amp;")",ROUND(C134,3)&amp;"")&amp;" = "&amp;IF(ROUND(C135,3)&lt;0,"("&amp;ROUND(C135,3)&amp;")",ROUND(C135,3)&amp;"")</f>
        <v>variance = (9 + 1 + 1 + 9) ÷ 4 = 5;  std = √5 = 2.236</v>
      </c>
      <c r="D136" s="29"/>
      <c r="E136" s="29"/>
      <c r="F136" s="29"/>
      <c r="G136" s="29"/>
      <c r="H136" s="29"/>
      <c r="I136" s="29"/>
      <c r="J136" s="29"/>
      <c r="K136" s="29"/>
      <c r="L136" s="29"/>
      <c r="M136" s="29"/>
      <c r="N136" s="29"/>
    </row>
    <row r="137" customFormat="false" ht="18.75" hidden="false" customHeight="true" outlineLevel="0" collapsed="false">
      <c r="B137" s="25" t="s">
        <v>246</v>
      </c>
      <c r="C137" s="25"/>
      <c r="D137" s="25"/>
      <c r="E137" s="25"/>
      <c r="F137" s="25"/>
      <c r="G137" s="25"/>
      <c r="H137" s="25"/>
      <c r="I137" s="25"/>
      <c r="J137" s="25"/>
      <c r="K137" s="25"/>
      <c r="L137" s="25"/>
      <c r="M137" s="25"/>
      <c r="N137" s="25"/>
    </row>
    <row r="138" customFormat="false" ht="31.5" hidden="false" customHeight="true" outlineLevel="0" collapsed="false">
      <c r="B138" s="5" t="s">
        <v>247</v>
      </c>
      <c r="C138" s="5"/>
      <c r="D138" s="5"/>
      <c r="E138" s="5"/>
      <c r="F138" s="5"/>
      <c r="G138" s="5"/>
      <c r="H138" s="5"/>
      <c r="I138" s="5"/>
      <c r="J138" s="5"/>
      <c r="K138" s="5"/>
      <c r="L138" s="5"/>
      <c r="M138" s="5"/>
      <c r="N138" s="5"/>
    </row>
    <row r="139" customFormat="false" ht="17.25" hidden="false" customHeight="true" outlineLevel="0" collapsed="false">
      <c r="B139" s="20" t="s">
        <v>248</v>
      </c>
      <c r="C139" s="20"/>
      <c r="D139" s="20"/>
      <c r="E139" s="20"/>
      <c r="F139" s="20"/>
    </row>
    <row r="140" customFormat="false" ht="15" hidden="false" customHeight="false" outlineLevel="0" collapsed="false">
      <c r="B140" s="16"/>
      <c r="C140" s="21" t="s">
        <v>234</v>
      </c>
      <c r="D140" s="21" t="s">
        <v>235</v>
      </c>
      <c r="E140" s="21" t="s">
        <v>236</v>
      </c>
      <c r="F140" s="21" t="s">
        <v>237</v>
      </c>
    </row>
    <row r="141" customFormat="false" ht="15" hidden="false" customHeight="false" outlineLevel="0" collapsed="false">
      <c r="B141" s="22"/>
      <c r="C141" s="41" t="n">
        <f aca="false">(C126-C127)/C135</f>
        <v>-1.34164078649987</v>
      </c>
      <c r="D141" s="41" t="n">
        <f aca="false">(D126-C127)/C135</f>
        <v>-0.447213595499958</v>
      </c>
      <c r="E141" s="41" t="n">
        <f aca="false">(E126-C127)/C135</f>
        <v>0.447213595499958</v>
      </c>
      <c r="F141" s="41" t="n">
        <f aca="false">(F126-C127)/C135</f>
        <v>1.34164078649987</v>
      </c>
    </row>
    <row r="142" customFormat="false" ht="17.25" hidden="false" customHeight="true" outlineLevel="0" collapsed="false">
      <c r="B142" s="22" t="s">
        <v>249</v>
      </c>
      <c r="C142" s="40" t="n">
        <f aca="false">AVERAGE(C141:F141)</f>
        <v>0</v>
      </c>
      <c r="D142" s="27" t="s">
        <v>250</v>
      </c>
      <c r="E142" s="27"/>
      <c r="F142" s="27"/>
      <c r="G142" s="27"/>
      <c r="H142" s="27"/>
      <c r="I142" s="27"/>
      <c r="J142" s="27"/>
      <c r="K142" s="27"/>
      <c r="L142" s="27"/>
      <c r="M142" s="27"/>
      <c r="N142" s="27"/>
    </row>
    <row r="143" customFormat="false" ht="17.25" hidden="false" customHeight="true" outlineLevel="0" collapsed="false">
      <c r="B143" s="22" t="s">
        <v>251</v>
      </c>
      <c r="C143" s="40" t="n">
        <f aca="false">SUMSQ(C141:F141)/4</f>
        <v>1</v>
      </c>
      <c r="D143" s="27" t="n">
        <f aca="false">1</f>
        <v>1</v>
      </c>
      <c r="E143" s="27"/>
      <c r="F143" s="27"/>
      <c r="G143" s="27"/>
      <c r="H143" s="27"/>
      <c r="I143" s="27"/>
      <c r="J143" s="27"/>
      <c r="K143" s="27"/>
      <c r="L143" s="27"/>
      <c r="M143" s="27"/>
      <c r="N143" s="27"/>
    </row>
    <row r="144" customFormat="false" ht="17.25" hidden="false" customHeight="true" outlineLevel="0" collapsed="false">
      <c r="B144" s="11" t="s">
        <v>252</v>
      </c>
      <c r="C144" s="11"/>
      <c r="D144" s="11"/>
      <c r="E144" s="11" t="s">
        <v>253</v>
      </c>
      <c r="F144" s="11"/>
      <c r="G144" s="11"/>
      <c r="H144" s="11" t="s">
        <v>254</v>
      </c>
      <c r="I144" s="11"/>
      <c r="J144" s="11"/>
      <c r="K144" s="11"/>
      <c r="L144" s="11"/>
      <c r="M144" s="11"/>
      <c r="N144" s="11"/>
    </row>
    <row r="145" customFormat="false" ht="17.25" hidden="false" customHeight="true" outlineLevel="0" collapsed="false">
      <c r="B145" s="6" t="n">
        <v>1</v>
      </c>
      <c r="C145" s="6"/>
      <c r="D145" s="6"/>
      <c r="E145" s="31" t="n">
        <f aca="false">SQRT(B145)</f>
        <v>1</v>
      </c>
      <c r="F145" s="31"/>
      <c r="G145" s="31"/>
      <c r="H145" s="13" t="s">
        <v>255</v>
      </c>
      <c r="I145" s="13"/>
      <c r="J145" s="13"/>
      <c r="K145" s="13"/>
      <c r="L145" s="13"/>
      <c r="M145" s="13"/>
      <c r="N145" s="13"/>
    </row>
    <row r="146" customFormat="false" ht="17.25" hidden="false" customHeight="true" outlineLevel="0" collapsed="false">
      <c r="B146" s="6" t="n">
        <v>4</v>
      </c>
      <c r="C146" s="6"/>
      <c r="D146" s="6"/>
      <c r="E146" s="33" t="n">
        <f aca="false">SQRT(B146)</f>
        <v>2</v>
      </c>
      <c r="F146" s="33"/>
      <c r="G146" s="33"/>
      <c r="H146" s="16" t="s">
        <v>256</v>
      </c>
      <c r="I146" s="16"/>
      <c r="J146" s="16"/>
      <c r="K146" s="16"/>
      <c r="L146" s="16"/>
      <c r="M146" s="16"/>
      <c r="N146" s="16"/>
    </row>
    <row r="147" customFormat="false" ht="17.25" hidden="false" customHeight="true" outlineLevel="0" collapsed="false">
      <c r="B147" s="6" t="n">
        <v>64</v>
      </c>
      <c r="C147" s="6"/>
      <c r="D147" s="6"/>
      <c r="E147" s="31" t="n">
        <f aca="false">SQRT(B147)</f>
        <v>8</v>
      </c>
      <c r="F147" s="31"/>
      <c r="G147" s="31"/>
      <c r="H147" s="13" t="s">
        <v>257</v>
      </c>
      <c r="I147" s="13"/>
      <c r="J147" s="13"/>
      <c r="K147" s="13"/>
      <c r="L147" s="13"/>
      <c r="M147" s="13"/>
      <c r="N147" s="13"/>
    </row>
    <row r="148" customFormat="false" ht="17.25" hidden="false" customHeight="true" outlineLevel="0" collapsed="false">
      <c r="B148" s="6" t="n">
        <v>512</v>
      </c>
      <c r="C148" s="6"/>
      <c r="D148" s="6"/>
      <c r="E148" s="33" t="n">
        <f aca="false">SQRT(B148)</f>
        <v>22.6274169979695</v>
      </c>
      <c r="F148" s="33"/>
      <c r="G148" s="33"/>
      <c r="H148" s="16" t="s">
        <v>258</v>
      </c>
      <c r="I148" s="16"/>
      <c r="J148" s="16"/>
      <c r="K148" s="16"/>
      <c r="L148" s="16"/>
      <c r="M148" s="16"/>
      <c r="N148" s="16"/>
    </row>
    <row r="150" customFormat="false" ht="21.75" hidden="false" customHeight="true" outlineLevel="0" collapsed="false">
      <c r="B150" s="4" t="s">
        <v>259</v>
      </c>
      <c r="C150" s="4"/>
      <c r="D150" s="4"/>
      <c r="E150" s="4"/>
      <c r="F150" s="4"/>
      <c r="G150" s="4"/>
      <c r="H150" s="4"/>
      <c r="I150" s="4"/>
      <c r="J150" s="4"/>
      <c r="K150" s="4"/>
      <c r="L150" s="4"/>
      <c r="M150" s="4"/>
      <c r="N150" s="4"/>
    </row>
    <row r="151" customFormat="false" ht="20.25" hidden="false" customHeight="true" outlineLevel="0" collapsed="false">
      <c r="B151" s="24" t="s">
        <v>260</v>
      </c>
      <c r="C151" s="24"/>
      <c r="D151" s="24"/>
      <c r="E151" s="24"/>
      <c r="F151" s="24"/>
      <c r="G151" s="24"/>
      <c r="H151" s="24"/>
      <c r="I151" s="24"/>
      <c r="J151" s="24"/>
      <c r="K151" s="24"/>
      <c r="L151" s="24"/>
      <c r="M151" s="24"/>
      <c r="N151" s="24"/>
    </row>
    <row r="152" customFormat="false" ht="17.25" hidden="false" customHeight="true" outlineLevel="0" collapsed="false">
      <c r="B152" s="5" t="s">
        <v>261</v>
      </c>
      <c r="C152" s="5"/>
      <c r="D152" s="5"/>
      <c r="E152" s="5"/>
      <c r="F152" s="5"/>
      <c r="G152" s="5"/>
      <c r="H152" s="5"/>
      <c r="I152" s="5"/>
      <c r="J152" s="5"/>
      <c r="K152" s="5"/>
      <c r="L152" s="5"/>
      <c r="M152" s="5"/>
      <c r="N152" s="5"/>
    </row>
    <row r="153" customFormat="false" ht="17.25" hidden="false" customHeight="true" outlineLevel="0" collapsed="false">
      <c r="B153" s="20" t="s">
        <v>190</v>
      </c>
      <c r="C153" s="20"/>
      <c r="D153" s="20"/>
      <c r="E153" s="20"/>
      <c r="F153" s="20"/>
      <c r="G153" s="20"/>
    </row>
    <row r="154" customFormat="false" ht="15" hidden="false" customHeight="false" outlineLevel="0" collapsed="false">
      <c r="B154" s="16"/>
      <c r="C154" s="21" t="s">
        <v>262</v>
      </c>
      <c r="D154" s="21" t="s">
        <v>263</v>
      </c>
      <c r="E154" s="21" t="s">
        <v>264</v>
      </c>
      <c r="F154" s="21" t="s">
        <v>265</v>
      </c>
      <c r="G154" s="21" t="s">
        <v>266</v>
      </c>
    </row>
    <row r="155" customFormat="false" ht="15" hidden="false" customHeight="false" outlineLevel="0" collapsed="false">
      <c r="B155" s="22"/>
      <c r="C155" s="35" t="n">
        <v>-2</v>
      </c>
      <c r="D155" s="35" t="n">
        <v>-0.5</v>
      </c>
      <c r="E155" s="35" t="n">
        <v>0</v>
      </c>
      <c r="F155" s="35" t="n">
        <v>1.5</v>
      </c>
      <c r="G155" s="35" t="n">
        <v>3</v>
      </c>
    </row>
    <row r="156" customFormat="false" ht="17.25" hidden="false" customHeight="true" outlineLevel="0" collapsed="false">
      <c r="B156" s="20" t="s">
        <v>267</v>
      </c>
      <c r="C156" s="20"/>
      <c r="D156" s="20"/>
      <c r="E156" s="20"/>
      <c r="F156" s="20"/>
      <c r="G156" s="20"/>
    </row>
    <row r="157" customFormat="false" ht="15" hidden="false" customHeight="false" outlineLevel="0" collapsed="false">
      <c r="B157" s="16"/>
      <c r="C157" s="21" t="s">
        <v>262</v>
      </c>
      <c r="D157" s="21" t="s">
        <v>263</v>
      </c>
      <c r="E157" s="21" t="s">
        <v>264</v>
      </c>
      <c r="F157" s="21" t="s">
        <v>265</v>
      </c>
      <c r="G157" s="21" t="s">
        <v>266</v>
      </c>
    </row>
    <row r="158" customFormat="false" ht="15" hidden="false" customHeight="false" outlineLevel="0" collapsed="false">
      <c r="B158" s="22"/>
      <c r="C158" s="42" t="n">
        <f aca="false">MAX(0,C155)</f>
        <v>0</v>
      </c>
      <c r="D158" s="42" t="n">
        <f aca="false">MAX(0,D155)</f>
        <v>0</v>
      </c>
      <c r="E158" s="42" t="n">
        <f aca="false">MAX(0,E155)</f>
        <v>0</v>
      </c>
      <c r="F158" s="42" t="n">
        <f aca="false">MAX(0,F155)</f>
        <v>1.5</v>
      </c>
      <c r="G158" s="42" t="n">
        <f aca="false">MAX(0,G155)</f>
        <v>3</v>
      </c>
    </row>
    <row r="160" customFormat="false" ht="21.75" hidden="false" customHeight="true" outlineLevel="0" collapsed="false">
      <c r="B160" s="4" t="s">
        <v>268</v>
      </c>
      <c r="C160" s="4"/>
      <c r="D160" s="4"/>
      <c r="E160" s="4"/>
      <c r="F160" s="4"/>
      <c r="G160" s="4"/>
      <c r="H160" s="4"/>
      <c r="I160" s="4"/>
      <c r="J160" s="4"/>
      <c r="K160" s="4"/>
      <c r="L160" s="4"/>
      <c r="M160" s="4"/>
      <c r="N160" s="4"/>
    </row>
    <row r="161" customFormat="false" ht="31.5" hidden="false" customHeight="true" outlineLevel="0" collapsed="false">
      <c r="B161" s="5" t="s">
        <v>269</v>
      </c>
      <c r="C161" s="5"/>
      <c r="D161" s="5"/>
      <c r="E161" s="5"/>
      <c r="F161" s="5"/>
      <c r="G161" s="5"/>
      <c r="H161" s="5"/>
      <c r="I161" s="5"/>
      <c r="J161" s="5"/>
      <c r="K161" s="5"/>
      <c r="L161" s="5"/>
      <c r="M161" s="5"/>
      <c r="N161" s="5"/>
    </row>
    <row r="162" customFormat="false" ht="17.25" hidden="false" customHeight="true" outlineLevel="0" collapsed="false">
      <c r="B162" s="11" t="s">
        <v>270</v>
      </c>
      <c r="C162" s="11"/>
      <c r="D162" s="11"/>
      <c r="E162" s="11"/>
      <c r="F162" s="11" t="s">
        <v>271</v>
      </c>
      <c r="G162" s="11"/>
      <c r="H162" s="11"/>
      <c r="I162" s="11" t="s">
        <v>192</v>
      </c>
      <c r="J162" s="11"/>
      <c r="K162" s="11"/>
      <c r="L162" s="11"/>
      <c r="M162" s="11"/>
      <c r="N162" s="11"/>
    </row>
    <row r="163" customFormat="false" ht="17.25" hidden="false" customHeight="true" outlineLevel="0" collapsed="false">
      <c r="B163" s="6" t="n">
        <v>1</v>
      </c>
      <c r="C163" s="6"/>
      <c r="D163" s="6"/>
      <c r="E163" s="6"/>
      <c r="F163" s="31" t="n">
        <f aca="false">-LN(B163)</f>
        <v>-0</v>
      </c>
      <c r="G163" s="31"/>
      <c r="H163" s="31"/>
      <c r="I163" s="13" t="s">
        <v>272</v>
      </c>
      <c r="J163" s="13"/>
      <c r="K163" s="13"/>
      <c r="L163" s="13"/>
      <c r="M163" s="13"/>
      <c r="N163" s="13"/>
    </row>
    <row r="164" customFormat="false" ht="17.25" hidden="false" customHeight="true" outlineLevel="0" collapsed="false">
      <c r="B164" s="6" t="n">
        <v>0.9</v>
      </c>
      <c r="C164" s="6"/>
      <c r="D164" s="6"/>
      <c r="E164" s="6"/>
      <c r="F164" s="33" t="n">
        <f aca="false">-LN(B164)</f>
        <v>0.105360515657826</v>
      </c>
      <c r="G164" s="33"/>
      <c r="H164" s="33"/>
      <c r="I164" s="16" t="s">
        <v>273</v>
      </c>
      <c r="J164" s="16"/>
      <c r="K164" s="16"/>
      <c r="L164" s="16"/>
      <c r="M164" s="16"/>
      <c r="N164" s="16"/>
    </row>
    <row r="165" customFormat="false" ht="17.25" hidden="false" customHeight="true" outlineLevel="0" collapsed="false">
      <c r="B165" s="6" t="n">
        <v>0.5</v>
      </c>
      <c r="C165" s="6"/>
      <c r="D165" s="6"/>
      <c r="E165" s="6"/>
      <c r="F165" s="31" t="n">
        <f aca="false">-LN(B165)</f>
        <v>0.693147180559945</v>
      </c>
      <c r="G165" s="31"/>
      <c r="H165" s="31"/>
      <c r="I165" s="13" t="s">
        <v>274</v>
      </c>
      <c r="J165" s="13"/>
      <c r="K165" s="13"/>
      <c r="L165" s="13"/>
      <c r="M165" s="13"/>
      <c r="N165" s="13"/>
    </row>
    <row r="166" customFormat="false" ht="17.25" hidden="false" customHeight="true" outlineLevel="0" collapsed="false">
      <c r="B166" s="6" t="n">
        <v>0.1</v>
      </c>
      <c r="C166" s="6"/>
      <c r="D166" s="6"/>
      <c r="E166" s="6"/>
      <c r="F166" s="33" t="n">
        <f aca="false">-LN(B166)</f>
        <v>2.30258509299405</v>
      </c>
      <c r="G166" s="33"/>
      <c r="H166" s="33"/>
      <c r="I166" s="16" t="s">
        <v>275</v>
      </c>
      <c r="J166" s="16"/>
      <c r="K166" s="16"/>
      <c r="L166" s="16"/>
      <c r="M166" s="16"/>
      <c r="N166" s="16"/>
    </row>
    <row r="167" customFormat="false" ht="17.25" hidden="false" customHeight="true" outlineLevel="0" collapsed="false">
      <c r="B167" s="6" t="n">
        <v>0.01</v>
      </c>
      <c r="C167" s="6"/>
      <c r="D167" s="6"/>
      <c r="E167" s="6"/>
      <c r="F167" s="31" t="n">
        <f aca="false">-LN(B167)</f>
        <v>4.60517018598809</v>
      </c>
      <c r="G167" s="31"/>
      <c r="H167" s="31"/>
      <c r="I167" s="13" t="s">
        <v>276</v>
      </c>
      <c r="J167" s="13"/>
      <c r="K167" s="13"/>
      <c r="L167" s="13"/>
      <c r="M167" s="13"/>
      <c r="N167" s="13"/>
    </row>
    <row r="169" customFormat="false" ht="21.75" hidden="false" customHeight="true" outlineLevel="0" collapsed="false">
      <c r="B169" s="4" t="s">
        <v>277</v>
      </c>
      <c r="C169" s="4"/>
      <c r="D169" s="4"/>
      <c r="E169" s="4"/>
      <c r="F169" s="4"/>
      <c r="G169" s="4"/>
      <c r="H169" s="4"/>
      <c r="I169" s="4"/>
      <c r="J169" s="4"/>
      <c r="K169" s="4"/>
      <c r="L169" s="4"/>
      <c r="M169" s="4"/>
      <c r="N169" s="4"/>
    </row>
    <row r="170" customFormat="false" ht="31.5" hidden="false" customHeight="true" outlineLevel="0" collapsed="false">
      <c r="B170" s="5" t="s">
        <v>278</v>
      </c>
      <c r="C170" s="5"/>
      <c r="D170" s="5"/>
      <c r="E170" s="5"/>
      <c r="F170" s="5"/>
      <c r="G170" s="5"/>
      <c r="H170" s="5"/>
      <c r="I170" s="5"/>
      <c r="J170" s="5"/>
      <c r="K170" s="5"/>
      <c r="L170" s="5"/>
      <c r="M170" s="5"/>
      <c r="N170" s="5"/>
    </row>
    <row r="171" customFormat="false" ht="18.75" hidden="false" customHeight="true" outlineLevel="0" collapsed="false">
      <c r="B171" s="25" t="s">
        <v>279</v>
      </c>
      <c r="C171" s="25"/>
      <c r="D171" s="25"/>
      <c r="E171" s="25"/>
      <c r="F171" s="25"/>
      <c r="G171" s="25"/>
      <c r="H171" s="25"/>
      <c r="I171" s="25"/>
      <c r="J171" s="25"/>
      <c r="K171" s="25"/>
      <c r="L171" s="25"/>
      <c r="M171" s="25"/>
      <c r="N171" s="25"/>
    </row>
    <row r="172" customFormat="false" ht="17.25" hidden="false" customHeight="true" outlineLevel="0" collapsed="false">
      <c r="B172" s="43" t="s">
        <v>280</v>
      </c>
      <c r="C172" s="43"/>
      <c r="D172" s="43"/>
      <c r="E172" s="43"/>
      <c r="F172" s="43"/>
      <c r="G172" s="43"/>
      <c r="H172" s="43"/>
      <c r="I172" s="43"/>
      <c r="J172" s="43"/>
      <c r="K172" s="43"/>
      <c r="L172" s="43"/>
      <c r="M172" s="43"/>
      <c r="N172" s="43"/>
    </row>
    <row r="173" customFormat="false" ht="17.25" hidden="false" customHeight="true" outlineLevel="0" collapsed="false">
      <c r="B173" s="44" t="s">
        <v>281</v>
      </c>
      <c r="C173" s="44"/>
      <c r="D173" s="44"/>
      <c r="E173" s="44"/>
      <c r="F173" s="44"/>
      <c r="G173" s="44"/>
      <c r="H173" s="44"/>
      <c r="I173" s="44"/>
      <c r="J173" s="44"/>
      <c r="K173" s="44"/>
      <c r="L173" s="44"/>
      <c r="M173" s="44"/>
      <c r="N173" s="44"/>
    </row>
    <row r="174" customFormat="false" ht="17.25" hidden="false" customHeight="true" outlineLevel="0" collapsed="false">
      <c r="B174" s="43" t="s">
        <v>282</v>
      </c>
      <c r="C174" s="43"/>
      <c r="D174" s="43"/>
      <c r="E174" s="43"/>
      <c r="F174" s="43"/>
      <c r="G174" s="43"/>
      <c r="H174" s="43"/>
      <c r="I174" s="43"/>
      <c r="J174" s="43"/>
      <c r="K174" s="43"/>
      <c r="L174" s="43"/>
      <c r="M174" s="43"/>
      <c r="N174" s="43"/>
    </row>
    <row r="175" customFormat="false" ht="17.25" hidden="false" customHeight="true" outlineLevel="0" collapsed="false">
      <c r="B175" s="44" t="s">
        <v>283</v>
      </c>
      <c r="C175" s="44"/>
      <c r="D175" s="44"/>
      <c r="E175" s="44"/>
      <c r="F175" s="44"/>
      <c r="G175" s="44"/>
      <c r="H175" s="44"/>
      <c r="I175" s="44"/>
      <c r="J175" s="44"/>
      <c r="K175" s="44"/>
      <c r="L175" s="44"/>
      <c r="M175" s="44"/>
      <c r="N175" s="44"/>
    </row>
    <row r="176" customFormat="false" ht="17.25" hidden="false" customHeight="true" outlineLevel="0" collapsed="false">
      <c r="B176" s="43" t="s">
        <v>284</v>
      </c>
      <c r="C176" s="43"/>
      <c r="D176" s="43"/>
      <c r="E176" s="43"/>
      <c r="F176" s="43"/>
      <c r="G176" s="43"/>
      <c r="H176" s="43"/>
      <c r="I176" s="43"/>
      <c r="J176" s="43"/>
      <c r="K176" s="43"/>
      <c r="L176" s="43"/>
      <c r="M176" s="43"/>
      <c r="N176" s="43"/>
    </row>
    <row r="177" customFormat="false" ht="17.25" hidden="false" customHeight="true" outlineLevel="0" collapsed="false">
      <c r="B177" s="44" t="s">
        <v>285</v>
      </c>
      <c r="C177" s="44"/>
      <c r="D177" s="44"/>
      <c r="E177" s="44"/>
      <c r="F177" s="44"/>
      <c r="G177" s="44"/>
      <c r="H177" s="44"/>
      <c r="I177" s="44"/>
      <c r="J177" s="44"/>
      <c r="K177" s="44"/>
      <c r="L177" s="44"/>
      <c r="M177" s="44"/>
      <c r="N177" s="44"/>
    </row>
  </sheetData>
  <mergeCells count="191">
    <mergeCell ref="B1:N1"/>
    <mergeCell ref="B2:N2"/>
    <mergeCell ref="B4:N4"/>
    <mergeCell ref="B5:N5"/>
    <mergeCell ref="B7:N7"/>
    <mergeCell ref="B8:N8"/>
    <mergeCell ref="B9:N9"/>
    <mergeCell ref="B10:D10"/>
    <mergeCell ref="B16:N16"/>
    <mergeCell ref="B17:N17"/>
    <mergeCell ref="B18:N18"/>
    <mergeCell ref="B19:N19"/>
    <mergeCell ref="B20:D20"/>
    <mergeCell ref="E20:G20"/>
    <mergeCell ref="D24:N24"/>
    <mergeCell ref="D25:N25"/>
    <mergeCell ref="D26:N26"/>
    <mergeCell ref="C27:N27"/>
    <mergeCell ref="B29:N29"/>
    <mergeCell ref="B30:N30"/>
    <mergeCell ref="B31:F31"/>
    <mergeCell ref="C37:D37"/>
    <mergeCell ref="E37:F37"/>
    <mergeCell ref="G37:H37"/>
    <mergeCell ref="I37:J37"/>
    <mergeCell ref="K37:N37"/>
    <mergeCell ref="C38:D38"/>
    <mergeCell ref="E38:F38"/>
    <mergeCell ref="G38:H38"/>
    <mergeCell ref="I38:J38"/>
    <mergeCell ref="K38:N38"/>
    <mergeCell ref="C39:D39"/>
    <mergeCell ref="E39:F39"/>
    <mergeCell ref="G39:H39"/>
    <mergeCell ref="I39:J39"/>
    <mergeCell ref="K39:N39"/>
    <mergeCell ref="C40:D40"/>
    <mergeCell ref="E40:F40"/>
    <mergeCell ref="G40:H40"/>
    <mergeCell ref="I40:J40"/>
    <mergeCell ref="K40:N40"/>
    <mergeCell ref="C41:N41"/>
    <mergeCell ref="B43:N43"/>
    <mergeCell ref="B44:N44"/>
    <mergeCell ref="B45:E45"/>
    <mergeCell ref="G45:J45"/>
    <mergeCell ref="B51:N51"/>
    <mergeCell ref="B52:N52"/>
    <mergeCell ref="B53:N53"/>
    <mergeCell ref="B54:N54"/>
    <mergeCell ref="B55:D55"/>
    <mergeCell ref="E55:G55"/>
    <mergeCell ref="H55:J55"/>
    <mergeCell ref="C60:N60"/>
    <mergeCell ref="C61:N61"/>
    <mergeCell ref="C62:N62"/>
    <mergeCell ref="C63:N63"/>
    <mergeCell ref="B65:N65"/>
    <mergeCell ref="B66:N66"/>
    <mergeCell ref="B67:F67"/>
    <mergeCell ref="G67:I67"/>
    <mergeCell ref="J67:L67"/>
    <mergeCell ref="C74:N74"/>
    <mergeCell ref="C75:N75"/>
    <mergeCell ref="C76:N76"/>
    <mergeCell ref="C77:N77"/>
    <mergeCell ref="C78:N78"/>
    <mergeCell ref="C79:N79"/>
    <mergeCell ref="B81:N81"/>
    <mergeCell ref="B82:N82"/>
    <mergeCell ref="C83:D83"/>
    <mergeCell ref="E83:N83"/>
    <mergeCell ref="C84:D84"/>
    <mergeCell ref="E84:N84"/>
    <mergeCell ref="C85:D85"/>
    <mergeCell ref="E85:N85"/>
    <mergeCell ref="C86:D86"/>
    <mergeCell ref="E86:N86"/>
    <mergeCell ref="C87:D87"/>
    <mergeCell ref="E87:N87"/>
    <mergeCell ref="C88:D88"/>
    <mergeCell ref="E88:N88"/>
    <mergeCell ref="C89:D89"/>
    <mergeCell ref="E89:N89"/>
    <mergeCell ref="C90:D90"/>
    <mergeCell ref="E90:N90"/>
    <mergeCell ref="B92:N92"/>
    <mergeCell ref="B93:N93"/>
    <mergeCell ref="B94:N94"/>
    <mergeCell ref="B95:N95"/>
    <mergeCell ref="B96:E96"/>
    <mergeCell ref="B99:E99"/>
    <mergeCell ref="D102:N102"/>
    <mergeCell ref="B103:E103"/>
    <mergeCell ref="D106:N106"/>
    <mergeCell ref="C107:N107"/>
    <mergeCell ref="C108:N108"/>
    <mergeCell ref="C109:N109"/>
    <mergeCell ref="B111:N111"/>
    <mergeCell ref="B112:N112"/>
    <mergeCell ref="D113:N113"/>
    <mergeCell ref="D114:N114"/>
    <mergeCell ref="B115:C115"/>
    <mergeCell ref="D115:E115"/>
    <mergeCell ref="F115:G115"/>
    <mergeCell ref="H115:I115"/>
    <mergeCell ref="J115:N115"/>
    <mergeCell ref="B116:C116"/>
    <mergeCell ref="D116:E116"/>
    <mergeCell ref="F116:G116"/>
    <mergeCell ref="H116:I116"/>
    <mergeCell ref="J116:N116"/>
    <mergeCell ref="B117:C117"/>
    <mergeCell ref="D117:E117"/>
    <mergeCell ref="F117:G117"/>
    <mergeCell ref="H117:I117"/>
    <mergeCell ref="J117:N117"/>
    <mergeCell ref="B118:C118"/>
    <mergeCell ref="D118:E118"/>
    <mergeCell ref="F118:G118"/>
    <mergeCell ref="H118:I118"/>
    <mergeCell ref="J118:N118"/>
    <mergeCell ref="B119:C119"/>
    <mergeCell ref="D119:E119"/>
    <mergeCell ref="F119:G119"/>
    <mergeCell ref="H119:I119"/>
    <mergeCell ref="J119:N119"/>
    <mergeCell ref="B121:N121"/>
    <mergeCell ref="B122:N122"/>
    <mergeCell ref="B123:N123"/>
    <mergeCell ref="B124:F124"/>
    <mergeCell ref="D127:N127"/>
    <mergeCell ref="B128:F128"/>
    <mergeCell ref="B131:F131"/>
    <mergeCell ref="D134:N134"/>
    <mergeCell ref="D135:N135"/>
    <mergeCell ref="C136:N136"/>
    <mergeCell ref="B137:N137"/>
    <mergeCell ref="B138:N138"/>
    <mergeCell ref="B139:F139"/>
    <mergeCell ref="D142:N142"/>
    <mergeCell ref="D143:N143"/>
    <mergeCell ref="B144:D144"/>
    <mergeCell ref="E144:G144"/>
    <mergeCell ref="H144:N144"/>
    <mergeCell ref="B145:D145"/>
    <mergeCell ref="E145:G145"/>
    <mergeCell ref="H145:N145"/>
    <mergeCell ref="B146:D146"/>
    <mergeCell ref="E146:G146"/>
    <mergeCell ref="H146:N146"/>
    <mergeCell ref="B147:D147"/>
    <mergeCell ref="E147:G147"/>
    <mergeCell ref="H147:N147"/>
    <mergeCell ref="B148:D148"/>
    <mergeCell ref="E148:G148"/>
    <mergeCell ref="H148:N148"/>
    <mergeCell ref="B150:N150"/>
    <mergeCell ref="B151:N151"/>
    <mergeCell ref="B152:N152"/>
    <mergeCell ref="B153:G153"/>
    <mergeCell ref="B156:G156"/>
    <mergeCell ref="B160:N160"/>
    <mergeCell ref="B161:N161"/>
    <mergeCell ref="B162:E162"/>
    <mergeCell ref="F162:H162"/>
    <mergeCell ref="I162:N162"/>
    <mergeCell ref="B163:E163"/>
    <mergeCell ref="F163:H163"/>
    <mergeCell ref="I163:N163"/>
    <mergeCell ref="B164:E164"/>
    <mergeCell ref="F164:H164"/>
    <mergeCell ref="I164:N164"/>
    <mergeCell ref="B165:E165"/>
    <mergeCell ref="F165:H165"/>
    <mergeCell ref="I165:N165"/>
    <mergeCell ref="B166:E166"/>
    <mergeCell ref="F166:H166"/>
    <mergeCell ref="I166:N166"/>
    <mergeCell ref="B167:E167"/>
    <mergeCell ref="F167:H167"/>
    <mergeCell ref="I167:N167"/>
    <mergeCell ref="B169:N169"/>
    <mergeCell ref="B170:N170"/>
    <mergeCell ref="B171:N171"/>
    <mergeCell ref="B172:N172"/>
    <mergeCell ref="B173:N173"/>
    <mergeCell ref="B174:N174"/>
    <mergeCell ref="B175:N175"/>
    <mergeCell ref="B176:N176"/>
    <mergeCell ref="B177:N17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286</v>
      </c>
      <c r="C1" s="1"/>
      <c r="D1" s="1"/>
      <c r="E1" s="1"/>
      <c r="F1" s="1"/>
      <c r="G1" s="1"/>
      <c r="H1" s="1"/>
      <c r="I1" s="1"/>
      <c r="J1" s="1"/>
      <c r="K1" s="1"/>
      <c r="L1" s="1"/>
      <c r="M1" s="1"/>
      <c r="N1" s="1"/>
    </row>
    <row r="2" customFormat="false" ht="17.25" hidden="false" customHeight="true" outlineLevel="0" collapsed="false">
      <c r="B2" s="2" t="s">
        <v>287</v>
      </c>
      <c r="C2" s="2"/>
      <c r="D2" s="2"/>
      <c r="E2" s="2"/>
      <c r="F2" s="2"/>
      <c r="G2" s="2"/>
      <c r="H2" s="2"/>
      <c r="I2" s="2"/>
      <c r="J2" s="2"/>
      <c r="K2" s="2"/>
      <c r="L2" s="2"/>
      <c r="M2" s="2"/>
      <c r="N2" s="2"/>
    </row>
    <row r="4" customFormat="false" ht="34.5" hidden="false" customHeight="true" outlineLevel="0" collapsed="false">
      <c r="B4" s="3" t="s">
        <v>288</v>
      </c>
      <c r="C4" s="3"/>
      <c r="D4" s="3"/>
      <c r="E4" s="3"/>
      <c r="F4" s="3"/>
      <c r="G4" s="3"/>
      <c r="H4" s="3"/>
      <c r="I4" s="3"/>
      <c r="J4" s="3"/>
      <c r="K4" s="3"/>
      <c r="L4" s="3"/>
      <c r="M4" s="3"/>
      <c r="N4" s="3"/>
    </row>
    <row r="5" customFormat="false" ht="21.75" hidden="false" customHeight="true" outlineLevel="0" collapsed="false">
      <c r="B5" s="4" t="s">
        <v>289</v>
      </c>
      <c r="C5" s="4"/>
      <c r="D5" s="4"/>
      <c r="E5" s="4"/>
      <c r="F5" s="4"/>
      <c r="G5" s="4"/>
      <c r="H5" s="4"/>
      <c r="I5" s="4"/>
      <c r="J5" s="4"/>
      <c r="K5" s="4"/>
      <c r="L5" s="4"/>
      <c r="M5" s="4"/>
      <c r="N5" s="4"/>
    </row>
    <row r="6" customFormat="false" ht="31.5" hidden="false" customHeight="true" outlineLevel="0" collapsed="false">
      <c r="B6" s="5" t="s">
        <v>290</v>
      </c>
      <c r="C6" s="5"/>
      <c r="D6" s="5"/>
      <c r="E6" s="5"/>
      <c r="F6" s="5"/>
      <c r="G6" s="5"/>
      <c r="H6" s="5"/>
      <c r="I6" s="5"/>
      <c r="J6" s="5"/>
      <c r="K6" s="5"/>
      <c r="L6" s="5"/>
      <c r="M6" s="5"/>
      <c r="N6" s="5"/>
    </row>
    <row r="7" customFormat="false" ht="46.5" hidden="false" customHeight="true" outlineLevel="0" collapsed="false">
      <c r="B7" s="5" t="s">
        <v>291</v>
      </c>
      <c r="C7" s="5"/>
      <c r="D7" s="5"/>
      <c r="E7" s="5"/>
      <c r="F7" s="5"/>
      <c r="G7" s="5"/>
      <c r="H7" s="5"/>
      <c r="I7" s="5"/>
      <c r="J7" s="5"/>
      <c r="K7" s="5"/>
      <c r="L7" s="5"/>
      <c r="M7" s="5"/>
      <c r="N7" s="5"/>
    </row>
    <row r="8" customFormat="false" ht="31.5" hidden="false" customHeight="true" outlineLevel="0" collapsed="false">
      <c r="B8" s="45" t="s">
        <v>292</v>
      </c>
      <c r="C8" s="45"/>
      <c r="D8" s="45"/>
      <c r="E8" s="45"/>
      <c r="F8" s="45"/>
      <c r="G8" s="45"/>
      <c r="H8" s="45"/>
      <c r="I8" s="45"/>
      <c r="J8" s="45"/>
      <c r="K8" s="45"/>
      <c r="L8" s="45"/>
      <c r="M8" s="45"/>
      <c r="N8" s="45"/>
    </row>
    <row r="9" customFormat="false" ht="21.75" hidden="false" customHeight="true" outlineLevel="0" collapsed="false">
      <c r="B9" s="4" t="s">
        <v>293</v>
      </c>
      <c r="C9" s="4"/>
      <c r="D9" s="4"/>
      <c r="E9" s="4"/>
      <c r="F9" s="4"/>
      <c r="G9" s="4"/>
      <c r="H9" s="4"/>
      <c r="I9" s="4"/>
      <c r="J9" s="4"/>
      <c r="K9" s="4"/>
      <c r="L9" s="4"/>
      <c r="M9" s="4"/>
      <c r="N9" s="4"/>
    </row>
    <row r="10" customFormat="false" ht="20.25" hidden="false" customHeight="true" outlineLevel="0" collapsed="false">
      <c r="B10" s="24" t="s">
        <v>294</v>
      </c>
      <c r="C10" s="24"/>
      <c r="D10" s="24"/>
      <c r="E10" s="24"/>
      <c r="F10" s="24"/>
      <c r="G10" s="24"/>
      <c r="H10" s="24"/>
      <c r="I10" s="24"/>
      <c r="J10" s="24"/>
      <c r="K10" s="24"/>
      <c r="L10" s="24"/>
      <c r="M10" s="24"/>
      <c r="N10" s="24"/>
    </row>
    <row r="11" customFormat="false" ht="31.5" hidden="false" customHeight="true" outlineLevel="0" collapsed="false">
      <c r="B11" s="5" t="s">
        <v>295</v>
      </c>
      <c r="C11" s="5"/>
      <c r="D11" s="5"/>
      <c r="E11" s="5"/>
      <c r="F11" s="5"/>
      <c r="G11" s="5"/>
      <c r="H11" s="5"/>
      <c r="I11" s="5"/>
      <c r="J11" s="5"/>
      <c r="K11" s="5"/>
      <c r="L11" s="5"/>
      <c r="M11" s="5"/>
      <c r="N11" s="5"/>
    </row>
    <row r="12" customFormat="false" ht="31.5" hidden="false" customHeight="true" outlineLevel="0" collapsed="false">
      <c r="B12" s="5" t="s">
        <v>296</v>
      </c>
      <c r="C12" s="5"/>
      <c r="D12" s="5"/>
      <c r="E12" s="5"/>
      <c r="F12" s="5"/>
      <c r="G12" s="5"/>
      <c r="H12" s="5"/>
      <c r="I12" s="5"/>
      <c r="J12" s="5"/>
      <c r="K12" s="5"/>
      <c r="L12" s="5"/>
      <c r="M12" s="5"/>
      <c r="N12" s="5"/>
    </row>
    <row r="13" customFormat="false" ht="31.5" hidden="false" customHeight="true" outlineLevel="0" collapsed="false">
      <c r="B13" s="5" t="s">
        <v>297</v>
      </c>
      <c r="C13" s="5"/>
      <c r="D13" s="5"/>
      <c r="E13" s="5"/>
      <c r="F13" s="5"/>
      <c r="G13" s="5"/>
      <c r="H13" s="5"/>
      <c r="I13" s="5"/>
      <c r="J13" s="5"/>
      <c r="K13" s="5"/>
      <c r="L13" s="5"/>
      <c r="M13" s="5"/>
      <c r="N13" s="5"/>
    </row>
    <row r="14" customFormat="false" ht="17.25" hidden="false" customHeight="true" outlineLevel="0" collapsed="false">
      <c r="B14" s="45" t="s">
        <v>298</v>
      </c>
      <c r="C14" s="45"/>
      <c r="D14" s="45"/>
      <c r="E14" s="45"/>
      <c r="F14" s="45"/>
      <c r="G14" s="45"/>
      <c r="H14" s="45"/>
      <c r="I14" s="45"/>
      <c r="J14" s="45"/>
      <c r="K14" s="45"/>
      <c r="L14" s="45"/>
      <c r="M14" s="45"/>
      <c r="N14" s="45"/>
    </row>
    <row r="15" customFormat="false" ht="21.75" hidden="false" customHeight="true" outlineLevel="0" collapsed="false">
      <c r="B15" s="4" t="s">
        <v>299</v>
      </c>
      <c r="C15" s="4"/>
      <c r="D15" s="4"/>
      <c r="E15" s="4"/>
      <c r="F15" s="4"/>
      <c r="G15" s="4"/>
      <c r="H15" s="4"/>
      <c r="I15" s="4"/>
      <c r="J15" s="4"/>
      <c r="K15" s="4"/>
      <c r="L15" s="4"/>
      <c r="M15" s="4"/>
      <c r="N15" s="4"/>
    </row>
    <row r="16" customFormat="false" ht="46.5" hidden="false" customHeight="true" outlineLevel="0" collapsed="false">
      <c r="B16" s="5" t="s">
        <v>300</v>
      </c>
      <c r="C16" s="5"/>
      <c r="D16" s="5"/>
      <c r="E16" s="5"/>
      <c r="F16" s="5"/>
      <c r="G16" s="5"/>
      <c r="H16" s="5"/>
      <c r="I16" s="5"/>
      <c r="J16" s="5"/>
      <c r="K16" s="5"/>
      <c r="L16" s="5"/>
      <c r="M16" s="5"/>
      <c r="N16" s="5"/>
    </row>
    <row r="17" customFormat="false" ht="18.75" hidden="false" customHeight="true" outlineLevel="0" collapsed="false">
      <c r="B17" s="25" t="s">
        <v>301</v>
      </c>
      <c r="C17" s="25"/>
      <c r="D17" s="25"/>
      <c r="E17" s="25"/>
      <c r="F17" s="25"/>
      <c r="G17" s="25"/>
      <c r="H17" s="25"/>
      <c r="I17" s="25"/>
      <c r="J17" s="25"/>
      <c r="K17" s="25"/>
      <c r="L17" s="25"/>
      <c r="M17" s="25"/>
      <c r="N17" s="25"/>
    </row>
    <row r="18" customFormat="false" ht="17.25" hidden="false" customHeight="true" outlineLevel="0" collapsed="false">
      <c r="B18" s="22" t="s">
        <v>302</v>
      </c>
      <c r="C18" s="23" t="n">
        <v>3</v>
      </c>
      <c r="D18" s="27" t="s">
        <v>303</v>
      </c>
      <c r="E18" s="27"/>
      <c r="F18" s="27"/>
      <c r="G18" s="27"/>
      <c r="H18" s="27"/>
      <c r="I18" s="27"/>
      <c r="J18" s="27"/>
      <c r="K18" s="27"/>
      <c r="L18" s="27"/>
      <c r="M18" s="27"/>
      <c r="N18" s="27"/>
    </row>
    <row r="19" customFormat="false" ht="17.25" hidden="false" customHeight="true" outlineLevel="0" collapsed="false">
      <c r="B19" s="11" t="s">
        <v>304</v>
      </c>
      <c r="C19" s="11"/>
      <c r="D19" s="11"/>
      <c r="E19" s="11"/>
      <c r="F19" s="11"/>
      <c r="G19" s="11" t="s">
        <v>305</v>
      </c>
      <c r="H19" s="11"/>
      <c r="I19" s="11" t="s">
        <v>306</v>
      </c>
      <c r="J19" s="11"/>
      <c r="K19" s="11" t="s">
        <v>307</v>
      </c>
      <c r="L19" s="11"/>
      <c r="M19" s="11"/>
      <c r="N19" s="11"/>
    </row>
    <row r="20" customFormat="false" ht="31.5" hidden="false" customHeight="true" outlineLevel="0" collapsed="false">
      <c r="B20" s="13" t="s">
        <v>308</v>
      </c>
      <c r="C20" s="13"/>
      <c r="D20" s="13"/>
      <c r="E20" s="13"/>
      <c r="F20" s="13"/>
      <c r="G20" s="46" t="n">
        <f aca="false">C18</f>
        <v>3</v>
      </c>
      <c r="H20" s="46"/>
      <c r="I20" s="46" t="n">
        <f aca="false">1</f>
        <v>1</v>
      </c>
      <c r="J20" s="46"/>
      <c r="K20" s="13" t="s">
        <v>309</v>
      </c>
      <c r="L20" s="13"/>
      <c r="M20" s="13"/>
      <c r="N20" s="13"/>
    </row>
    <row r="21" customFormat="false" ht="31.5" hidden="false" customHeight="true" outlineLevel="0" collapsed="false">
      <c r="B21" s="16" t="s">
        <v>310</v>
      </c>
      <c r="C21" s="16"/>
      <c r="D21" s="16"/>
      <c r="E21" s="16"/>
      <c r="F21" s="16"/>
      <c r="G21" s="47" t="n">
        <f aca="false">C18-1</f>
        <v>2</v>
      </c>
      <c r="H21" s="47"/>
      <c r="I21" s="47" t="n">
        <f aca="false">1</f>
        <v>1</v>
      </c>
      <c r="J21" s="47"/>
      <c r="K21" s="16" t="s">
        <v>311</v>
      </c>
      <c r="L21" s="16"/>
      <c r="M21" s="16"/>
      <c r="N21" s="16"/>
    </row>
    <row r="22" customFormat="false" ht="31.5" hidden="false" customHeight="true" outlineLevel="0" collapsed="false">
      <c r="B22" s="13" t="s">
        <v>312</v>
      </c>
      <c r="C22" s="13"/>
      <c r="D22" s="13"/>
      <c r="E22" s="13"/>
      <c r="F22" s="13"/>
      <c r="G22" s="46" t="n">
        <f aca="false">C18-1</f>
        <v>2</v>
      </c>
      <c r="H22" s="46"/>
      <c r="I22" s="46" t="n">
        <f aca="false">C18^2</f>
        <v>9</v>
      </c>
      <c r="J22" s="46"/>
      <c r="K22" s="13" t="s">
        <v>313</v>
      </c>
      <c r="L22" s="13"/>
      <c r="M22" s="13"/>
      <c r="N22" s="13"/>
    </row>
    <row r="24" customFormat="false" ht="18.75" hidden="false" customHeight="true" outlineLevel="0" collapsed="false">
      <c r="B24" s="25" t="s">
        <v>314</v>
      </c>
      <c r="C24" s="25"/>
      <c r="D24" s="25"/>
      <c r="E24" s="25"/>
      <c r="F24" s="25"/>
      <c r="G24" s="25"/>
      <c r="H24" s="25"/>
      <c r="I24" s="25"/>
      <c r="J24" s="25"/>
      <c r="K24" s="25"/>
      <c r="L24" s="25"/>
      <c r="M24" s="25"/>
      <c r="N24" s="25"/>
    </row>
    <row r="25" customFormat="false" ht="31.5" hidden="false" customHeight="true" outlineLevel="0" collapsed="false">
      <c r="B25" s="5" t="s">
        <v>315</v>
      </c>
      <c r="C25" s="5"/>
      <c r="D25" s="5"/>
      <c r="E25" s="5"/>
      <c r="F25" s="5"/>
      <c r="G25" s="5"/>
      <c r="H25" s="5"/>
      <c r="I25" s="5"/>
      <c r="J25" s="5"/>
      <c r="K25" s="5"/>
      <c r="L25" s="5"/>
      <c r="M25" s="5"/>
      <c r="N25" s="5"/>
    </row>
    <row r="26" customFormat="false" ht="17.25" hidden="false" customHeight="true" outlineLevel="0" collapsed="false">
      <c r="B26" s="22" t="s">
        <v>316</v>
      </c>
      <c r="C26" s="48" t="n">
        <v>0.9</v>
      </c>
      <c r="D26" s="27" t="s">
        <v>317</v>
      </c>
      <c r="E26" s="27"/>
      <c r="F26" s="27"/>
      <c r="G26" s="27"/>
      <c r="H26" s="27"/>
      <c r="I26" s="27"/>
      <c r="J26" s="27"/>
      <c r="K26" s="27"/>
      <c r="L26" s="27"/>
      <c r="M26" s="27"/>
      <c r="N26" s="27"/>
    </row>
    <row r="27" customFormat="false" ht="17.25" hidden="false" customHeight="true" outlineLevel="0" collapsed="false">
      <c r="B27" s="11" t="s">
        <v>318</v>
      </c>
      <c r="C27" s="11"/>
      <c r="D27" s="11"/>
      <c r="E27" s="11" t="s">
        <v>319</v>
      </c>
      <c r="F27" s="11"/>
      <c r="G27" s="11"/>
      <c r="H27" s="11" t="s">
        <v>320</v>
      </c>
      <c r="I27" s="11"/>
      <c r="J27" s="11"/>
      <c r="K27" s="11" t="s">
        <v>135</v>
      </c>
      <c r="L27" s="11"/>
      <c r="M27" s="11"/>
      <c r="N27" s="11"/>
    </row>
    <row r="28" customFormat="false" ht="17.25" hidden="false" customHeight="true" outlineLevel="0" collapsed="false">
      <c r="B28" s="6" t="n">
        <v>1</v>
      </c>
      <c r="C28" s="6"/>
      <c r="D28" s="6"/>
      <c r="E28" s="49" t="n">
        <f aca="false">C26^B28</f>
        <v>0.9</v>
      </c>
      <c r="F28" s="49"/>
      <c r="G28" s="49"/>
      <c r="H28" s="49" t="n">
        <f aca="false">C26</f>
        <v>0.9</v>
      </c>
      <c r="I28" s="49"/>
      <c r="J28" s="49"/>
      <c r="K28" s="13" t="str">
        <f aca="false">IF(E28&lt;0.01,"RNN signal essentially lost",IF(E28&lt;0.5,"RNN signal badly faded","RNN still OK"))</f>
        <v>RNN still OK</v>
      </c>
      <c r="L28" s="13"/>
      <c r="M28" s="13"/>
      <c r="N28" s="13"/>
    </row>
    <row r="29" customFormat="false" ht="17.25" hidden="false" customHeight="true" outlineLevel="0" collapsed="false">
      <c r="B29" s="6" t="n">
        <v>5</v>
      </c>
      <c r="C29" s="6"/>
      <c r="D29" s="6"/>
      <c r="E29" s="50" t="n">
        <f aca="false">C26^B29</f>
        <v>0.59049</v>
      </c>
      <c r="F29" s="50"/>
      <c r="G29" s="50"/>
      <c r="H29" s="50" t="n">
        <f aca="false">C26</f>
        <v>0.9</v>
      </c>
      <c r="I29" s="50"/>
      <c r="J29" s="50"/>
      <c r="K29" s="16" t="str">
        <f aca="false">IF(E29&lt;0.01,"RNN signal essentially lost",IF(E29&lt;0.5,"RNN signal badly faded","RNN still OK"))</f>
        <v>RNN still OK</v>
      </c>
      <c r="L29" s="16"/>
      <c r="M29" s="16"/>
      <c r="N29" s="16"/>
    </row>
    <row r="30" customFormat="false" ht="17.25" hidden="false" customHeight="true" outlineLevel="0" collapsed="false">
      <c r="B30" s="6" t="n">
        <v>10</v>
      </c>
      <c r="C30" s="6"/>
      <c r="D30" s="6"/>
      <c r="E30" s="49" t="n">
        <f aca="false">C26^B30</f>
        <v>0.3486784401</v>
      </c>
      <c r="F30" s="49"/>
      <c r="G30" s="49"/>
      <c r="H30" s="49" t="n">
        <f aca="false">C26</f>
        <v>0.9</v>
      </c>
      <c r="I30" s="49"/>
      <c r="J30" s="49"/>
      <c r="K30" s="13" t="str">
        <f aca="false">IF(E30&lt;0.01,"RNN signal essentially lost",IF(E30&lt;0.5,"RNN signal badly faded","RNN still OK"))</f>
        <v>RNN signal badly faded</v>
      </c>
      <c r="L30" s="13"/>
      <c r="M30" s="13"/>
      <c r="N30" s="13"/>
    </row>
    <row r="31" customFormat="false" ht="17.25" hidden="false" customHeight="true" outlineLevel="0" collapsed="false">
      <c r="B31" s="6" t="n">
        <v>20</v>
      </c>
      <c r="C31" s="6"/>
      <c r="D31" s="6"/>
      <c r="E31" s="50" t="n">
        <f aca="false">C26^B31</f>
        <v>0.121576654590569</v>
      </c>
      <c r="F31" s="50"/>
      <c r="G31" s="50"/>
      <c r="H31" s="50" t="n">
        <f aca="false">C26</f>
        <v>0.9</v>
      </c>
      <c r="I31" s="50"/>
      <c r="J31" s="50"/>
      <c r="K31" s="16" t="str">
        <f aca="false">IF(E31&lt;0.01,"RNN signal essentially lost",IF(E31&lt;0.5,"RNN signal badly faded","RNN still OK"))</f>
        <v>RNN signal badly faded</v>
      </c>
      <c r="L31" s="16"/>
      <c r="M31" s="16"/>
      <c r="N31" s="16"/>
    </row>
    <row r="32" customFormat="false" ht="17.25" hidden="false" customHeight="true" outlineLevel="0" collapsed="false">
      <c r="B32" s="6" t="n">
        <v>50</v>
      </c>
      <c r="C32" s="6"/>
      <c r="D32" s="6"/>
      <c r="E32" s="49" t="n">
        <f aca="false">C26^B32</f>
        <v>0.00515377520732012</v>
      </c>
      <c r="F32" s="49"/>
      <c r="G32" s="49"/>
      <c r="H32" s="49" t="n">
        <f aca="false">C26</f>
        <v>0.9</v>
      </c>
      <c r="I32" s="49"/>
      <c r="J32" s="49"/>
      <c r="K32" s="13" t="str">
        <f aca="false">IF(E32&lt;0.01,"RNN signal essentially lost",IF(E32&lt;0.5,"RNN signal badly faded","RNN still OK"))</f>
        <v>RNN signal essentially lost</v>
      </c>
      <c r="L32" s="13"/>
      <c r="M32" s="13"/>
      <c r="N32" s="13"/>
    </row>
    <row r="33" customFormat="false" ht="17.25" hidden="false" customHeight="true" outlineLevel="0" collapsed="false">
      <c r="B33" s="6" t="n">
        <v>100</v>
      </c>
      <c r="C33" s="6"/>
      <c r="D33" s="6"/>
      <c r="E33" s="50" t="n">
        <f aca="false">C26^B33</f>
        <v>2.65613988875875E-005</v>
      </c>
      <c r="F33" s="50"/>
      <c r="G33" s="50"/>
      <c r="H33" s="50" t="n">
        <f aca="false">C26</f>
        <v>0.9</v>
      </c>
      <c r="I33" s="50"/>
      <c r="J33" s="50"/>
      <c r="K33" s="16" t="str">
        <f aca="false">IF(E33&lt;0.01,"RNN signal essentially lost",IF(E33&lt;0.5,"RNN signal badly faded","RNN still OK"))</f>
        <v>RNN signal essentially lost</v>
      </c>
      <c r="L33" s="16"/>
      <c r="M33" s="16"/>
      <c r="N33" s="16"/>
    </row>
    <row r="35" customFormat="false" ht="21.75" hidden="false" customHeight="true" outlineLevel="0" collapsed="false">
      <c r="B35" s="4" t="s">
        <v>321</v>
      </c>
      <c r="C35" s="4"/>
      <c r="D35" s="4"/>
      <c r="E35" s="4"/>
      <c r="F35" s="4"/>
      <c r="G35" s="4"/>
      <c r="H35" s="4"/>
      <c r="I35" s="4"/>
      <c r="J35" s="4"/>
      <c r="K35" s="4"/>
      <c r="L35" s="4"/>
      <c r="M35" s="4"/>
      <c r="N35" s="4"/>
    </row>
    <row r="36" customFormat="false" ht="17.25" hidden="false" customHeight="true" outlineLevel="0" collapsed="false">
      <c r="B36" s="19" t="s">
        <v>322</v>
      </c>
      <c r="C36" s="19"/>
      <c r="D36" s="19"/>
      <c r="E36" s="19"/>
      <c r="F36" s="19"/>
      <c r="G36" s="19"/>
      <c r="H36" s="19"/>
      <c r="I36" s="19"/>
      <c r="J36" s="19"/>
      <c r="K36" s="19"/>
      <c r="L36" s="19"/>
      <c r="M36" s="19"/>
      <c r="N36" s="19"/>
    </row>
    <row r="37" customFormat="false" ht="15" hidden="false" customHeight="true" outlineLevel="0" collapsed="false">
      <c r="C37" s="51" t="s">
        <v>323</v>
      </c>
      <c r="D37" s="51"/>
      <c r="E37" s="51"/>
      <c r="F37" s="51"/>
      <c r="G37" s="51"/>
      <c r="I37" s="51" t="s">
        <v>324</v>
      </c>
      <c r="J37" s="51"/>
      <c r="K37" s="51"/>
      <c r="L37" s="51"/>
      <c r="M37" s="51"/>
    </row>
    <row r="38" customFormat="false" ht="16.5" hidden="false" customHeight="true" outlineLevel="0" collapsed="false">
      <c r="C38" s="52" t="s">
        <v>325</v>
      </c>
      <c r="D38" s="52"/>
      <c r="E38" s="52"/>
      <c r="F38" s="52"/>
      <c r="G38" s="52"/>
      <c r="H38" s="53"/>
      <c r="I38" s="54" t="s">
        <v>326</v>
      </c>
      <c r="J38" s="54"/>
      <c r="K38" s="54"/>
      <c r="L38" s="54"/>
      <c r="M38" s="54"/>
    </row>
    <row r="39" customFormat="false" ht="16.5" hidden="false" customHeight="true" outlineLevel="0" collapsed="false">
      <c r="C39" s="52" t="s">
        <v>327</v>
      </c>
      <c r="D39" s="52"/>
      <c r="E39" s="52"/>
      <c r="F39" s="52"/>
      <c r="G39" s="52"/>
      <c r="H39" s="53"/>
      <c r="I39" s="54" t="s">
        <v>328</v>
      </c>
      <c r="J39" s="54"/>
      <c r="K39" s="54"/>
      <c r="L39" s="54"/>
      <c r="M39" s="54"/>
    </row>
    <row r="40" customFormat="false" ht="16.5" hidden="false" customHeight="true" outlineLevel="0" collapsed="false">
      <c r="C40" s="52" t="s">
        <v>329</v>
      </c>
      <c r="D40" s="52"/>
      <c r="E40" s="52"/>
      <c r="F40" s="52"/>
      <c r="G40" s="52"/>
      <c r="H40" s="53"/>
      <c r="I40" s="54" t="s">
        <v>329</v>
      </c>
      <c r="J40" s="54"/>
      <c r="K40" s="54"/>
      <c r="L40" s="54"/>
      <c r="M40" s="54"/>
    </row>
    <row r="41" customFormat="false" ht="16.5" hidden="false" customHeight="true" outlineLevel="0" collapsed="false">
      <c r="C41" s="52" t="s">
        <v>330</v>
      </c>
      <c r="D41" s="52"/>
      <c r="E41" s="52"/>
      <c r="F41" s="52"/>
      <c r="G41" s="52"/>
      <c r="H41" s="53"/>
      <c r="I41" s="54" t="s">
        <v>331</v>
      </c>
      <c r="J41" s="54"/>
      <c r="K41" s="54"/>
      <c r="L41" s="54"/>
      <c r="M41" s="54"/>
    </row>
    <row r="42" customFormat="false" ht="16.5" hidden="false" customHeight="true" outlineLevel="0" collapsed="false">
      <c r="C42" s="52" t="s">
        <v>332</v>
      </c>
      <c r="D42" s="52"/>
      <c r="E42" s="52"/>
      <c r="F42" s="52"/>
      <c r="G42" s="52"/>
      <c r="H42" s="53"/>
      <c r="I42" s="54" t="s">
        <v>333</v>
      </c>
      <c r="J42" s="54"/>
      <c r="K42" s="54"/>
      <c r="L42" s="54"/>
      <c r="M42" s="54"/>
    </row>
    <row r="43" customFormat="false" ht="16.5" hidden="false" customHeight="true" outlineLevel="0" collapsed="false">
      <c r="C43" s="52" t="s">
        <v>334</v>
      </c>
      <c r="D43" s="52"/>
      <c r="E43" s="52"/>
      <c r="F43" s="52"/>
      <c r="G43" s="52"/>
      <c r="H43" s="53"/>
      <c r="I43" s="54" t="s">
        <v>335</v>
      </c>
      <c r="J43" s="54"/>
      <c r="K43" s="54"/>
      <c r="L43" s="54"/>
      <c r="M43" s="54"/>
    </row>
    <row r="44" customFormat="false" ht="16.5" hidden="false" customHeight="true" outlineLevel="0" collapsed="false">
      <c r="C44" s="52" t="s">
        <v>336</v>
      </c>
      <c r="D44" s="52"/>
      <c r="E44" s="52"/>
      <c r="F44" s="52"/>
      <c r="G44" s="52"/>
      <c r="H44" s="53"/>
      <c r="I44" s="54" t="s">
        <v>337</v>
      </c>
      <c r="J44" s="54"/>
      <c r="K44" s="54"/>
      <c r="L44" s="54"/>
      <c r="M44" s="54"/>
    </row>
    <row r="45" customFormat="false" ht="16.5" hidden="false" customHeight="true" outlineLevel="0" collapsed="false">
      <c r="C45" s="52" t="s">
        <v>334</v>
      </c>
      <c r="D45" s="52"/>
      <c r="E45" s="52"/>
      <c r="F45" s="52"/>
      <c r="G45" s="52"/>
      <c r="H45" s="53"/>
      <c r="I45" s="54" t="s">
        <v>335</v>
      </c>
      <c r="J45" s="54"/>
      <c r="K45" s="54"/>
      <c r="L45" s="54"/>
      <c r="M45" s="54"/>
    </row>
    <row r="46" customFormat="false" ht="16.5" hidden="false" customHeight="true" outlineLevel="0" collapsed="false">
      <c r="C46" s="52" t="s">
        <v>338</v>
      </c>
      <c r="D46" s="52"/>
      <c r="E46" s="52"/>
      <c r="F46" s="52"/>
      <c r="G46" s="52"/>
      <c r="H46" s="53"/>
      <c r="I46" s="54" t="s">
        <v>339</v>
      </c>
      <c r="J46" s="54"/>
      <c r="K46" s="54"/>
      <c r="L46" s="54"/>
      <c r="M46" s="54"/>
    </row>
    <row r="47" customFormat="false" ht="16.5" hidden="false" customHeight="true" outlineLevel="0" collapsed="false">
      <c r="C47" s="52" t="s">
        <v>340</v>
      </c>
      <c r="D47" s="52"/>
      <c r="E47" s="52"/>
      <c r="F47" s="52"/>
      <c r="G47" s="52"/>
      <c r="H47" s="53"/>
      <c r="I47" s="54" t="s">
        <v>341</v>
      </c>
      <c r="J47" s="54"/>
      <c r="K47" s="54"/>
      <c r="L47" s="54"/>
      <c r="M47" s="54"/>
    </row>
    <row r="49" customFormat="false" ht="21.75" hidden="false" customHeight="true" outlineLevel="0" collapsed="false">
      <c r="B49" s="4" t="s">
        <v>342</v>
      </c>
      <c r="C49" s="4"/>
      <c r="D49" s="4"/>
      <c r="E49" s="4"/>
      <c r="F49" s="4"/>
      <c r="G49" s="4"/>
      <c r="H49" s="4"/>
      <c r="I49" s="4"/>
      <c r="J49" s="4"/>
      <c r="K49" s="4"/>
      <c r="L49" s="4"/>
      <c r="M49" s="4"/>
      <c r="N49" s="4"/>
    </row>
    <row r="50" customFormat="false" ht="17.25" hidden="false" customHeight="true" outlineLevel="0" collapsed="false">
      <c r="B50" s="5" t="s">
        <v>343</v>
      </c>
      <c r="C50" s="5"/>
      <c r="D50" s="5"/>
      <c r="E50" s="5"/>
      <c r="F50" s="5"/>
      <c r="G50" s="5"/>
      <c r="H50" s="5"/>
      <c r="I50" s="5"/>
      <c r="J50" s="5"/>
      <c r="K50" s="5"/>
      <c r="L50" s="5"/>
      <c r="M50" s="5"/>
      <c r="N50" s="5"/>
    </row>
    <row r="51" customFormat="false" ht="17.25" hidden="false" customHeight="true" outlineLevel="0" collapsed="false">
      <c r="B51" s="5" t="s">
        <v>344</v>
      </c>
      <c r="C51" s="5"/>
      <c r="D51" s="5"/>
      <c r="E51" s="5"/>
      <c r="F51" s="5"/>
      <c r="G51" s="5"/>
      <c r="H51" s="5"/>
      <c r="I51" s="5"/>
      <c r="J51" s="5"/>
      <c r="K51" s="5"/>
      <c r="L51" s="5"/>
      <c r="M51" s="5"/>
      <c r="N51" s="5"/>
    </row>
    <row r="52" customFormat="false" ht="17.25" hidden="false" customHeight="true" outlineLevel="0" collapsed="false">
      <c r="B52" s="5" t="s">
        <v>345</v>
      </c>
      <c r="C52" s="5"/>
      <c r="D52" s="5"/>
      <c r="E52" s="5"/>
      <c r="F52" s="5"/>
      <c r="G52" s="5"/>
      <c r="H52" s="5"/>
      <c r="I52" s="5"/>
      <c r="J52" s="5"/>
      <c r="K52" s="5"/>
      <c r="L52" s="5"/>
      <c r="M52" s="5"/>
      <c r="N52" s="5"/>
    </row>
    <row r="53" customFormat="false" ht="17.25" hidden="false" customHeight="true" outlineLevel="0" collapsed="false">
      <c r="B53" s="5" t="s">
        <v>346</v>
      </c>
      <c r="C53" s="5"/>
      <c r="D53" s="5"/>
      <c r="E53" s="5"/>
      <c r="F53" s="5"/>
      <c r="G53" s="5"/>
      <c r="H53" s="5"/>
      <c r="I53" s="5"/>
      <c r="J53" s="5"/>
      <c r="K53" s="5"/>
      <c r="L53" s="5"/>
      <c r="M53" s="5"/>
      <c r="N53" s="5"/>
    </row>
    <row r="54" customFormat="false" ht="18.75" hidden="false" customHeight="true" outlineLevel="0" collapsed="false">
      <c r="B54" s="25" t="s">
        <v>279</v>
      </c>
      <c r="C54" s="25"/>
      <c r="D54" s="25"/>
      <c r="E54" s="25"/>
      <c r="F54" s="25"/>
      <c r="G54" s="25"/>
      <c r="H54" s="25"/>
      <c r="I54" s="25"/>
      <c r="J54" s="25"/>
      <c r="K54" s="25"/>
      <c r="L54" s="25"/>
      <c r="M54" s="25"/>
      <c r="N54" s="25"/>
    </row>
    <row r="55" customFormat="false" ht="17.25" hidden="false" customHeight="true" outlineLevel="0" collapsed="false">
      <c r="B55" s="43" t="s">
        <v>347</v>
      </c>
      <c r="C55" s="43"/>
      <c r="D55" s="43"/>
      <c r="E55" s="43"/>
      <c r="F55" s="43"/>
      <c r="G55" s="43"/>
      <c r="H55" s="43"/>
      <c r="I55" s="43"/>
      <c r="J55" s="43"/>
      <c r="K55" s="43"/>
      <c r="L55" s="43"/>
      <c r="M55" s="43"/>
      <c r="N55" s="43"/>
    </row>
    <row r="56" customFormat="false" ht="17.25" hidden="false" customHeight="true" outlineLevel="0" collapsed="false">
      <c r="B56" s="44" t="s">
        <v>348</v>
      </c>
      <c r="C56" s="44"/>
      <c r="D56" s="44"/>
      <c r="E56" s="44"/>
      <c r="F56" s="44"/>
      <c r="G56" s="44"/>
      <c r="H56" s="44"/>
      <c r="I56" s="44"/>
      <c r="J56" s="44"/>
      <c r="K56" s="44"/>
      <c r="L56" s="44"/>
      <c r="M56" s="44"/>
      <c r="N56" s="44"/>
    </row>
    <row r="57" customFormat="false" ht="17.25" hidden="false" customHeight="true" outlineLevel="0" collapsed="false">
      <c r="B57" s="43" t="s">
        <v>349</v>
      </c>
      <c r="C57" s="43"/>
      <c r="D57" s="43"/>
      <c r="E57" s="43"/>
      <c r="F57" s="43"/>
      <c r="G57" s="43"/>
      <c r="H57" s="43"/>
      <c r="I57" s="43"/>
      <c r="J57" s="43"/>
      <c r="K57" s="43"/>
      <c r="L57" s="43"/>
      <c r="M57" s="43"/>
      <c r="N57" s="43"/>
    </row>
    <row r="58" customFormat="false" ht="17.25" hidden="false" customHeight="true" outlineLevel="0" collapsed="false">
      <c r="B58" s="44" t="s">
        <v>350</v>
      </c>
      <c r="C58" s="44"/>
      <c r="D58" s="44"/>
      <c r="E58" s="44"/>
      <c r="F58" s="44"/>
      <c r="G58" s="44"/>
      <c r="H58" s="44"/>
      <c r="I58" s="44"/>
      <c r="J58" s="44"/>
      <c r="K58" s="44"/>
      <c r="L58" s="44"/>
      <c r="M58" s="44"/>
      <c r="N58" s="44"/>
    </row>
    <row r="59" customFormat="false" ht="17.25" hidden="false" customHeight="true" outlineLevel="0" collapsed="false">
      <c r="B59" s="43" t="s">
        <v>351</v>
      </c>
      <c r="C59" s="43"/>
      <c r="D59" s="43"/>
      <c r="E59" s="43"/>
      <c r="F59" s="43"/>
      <c r="G59" s="43"/>
      <c r="H59" s="43"/>
      <c r="I59" s="43"/>
      <c r="J59" s="43"/>
      <c r="K59" s="43"/>
      <c r="L59" s="43"/>
      <c r="M59" s="43"/>
      <c r="N59" s="43"/>
    </row>
    <row r="60" customFormat="false" ht="17.25" hidden="false" customHeight="true" outlineLevel="0" collapsed="false">
      <c r="B60" s="44" t="s">
        <v>352</v>
      </c>
      <c r="C60" s="44"/>
      <c r="D60" s="44"/>
      <c r="E60" s="44"/>
      <c r="F60" s="44"/>
      <c r="G60" s="44"/>
      <c r="H60" s="44"/>
      <c r="I60" s="44"/>
      <c r="J60" s="44"/>
      <c r="K60" s="44"/>
      <c r="L60" s="44"/>
      <c r="M60" s="44"/>
      <c r="N60" s="44"/>
    </row>
  </sheetData>
  <mergeCells count="100">
    <mergeCell ref="B1:N1"/>
    <mergeCell ref="B2:N2"/>
    <mergeCell ref="B4:N4"/>
    <mergeCell ref="B5:N5"/>
    <mergeCell ref="B6:N6"/>
    <mergeCell ref="B7:N7"/>
    <mergeCell ref="B8:N8"/>
    <mergeCell ref="B9:N9"/>
    <mergeCell ref="B10:N10"/>
    <mergeCell ref="B11:N11"/>
    <mergeCell ref="B12:N12"/>
    <mergeCell ref="B13:N13"/>
    <mergeCell ref="B14:N14"/>
    <mergeCell ref="B15:N15"/>
    <mergeCell ref="B16:N16"/>
    <mergeCell ref="B17:N17"/>
    <mergeCell ref="D18:N18"/>
    <mergeCell ref="B19:F19"/>
    <mergeCell ref="G19:H19"/>
    <mergeCell ref="I19:J19"/>
    <mergeCell ref="K19:N19"/>
    <mergeCell ref="B20:F20"/>
    <mergeCell ref="G20:H20"/>
    <mergeCell ref="I20:J20"/>
    <mergeCell ref="K20:N20"/>
    <mergeCell ref="B21:F21"/>
    <mergeCell ref="G21:H21"/>
    <mergeCell ref="I21:J21"/>
    <mergeCell ref="K21:N21"/>
    <mergeCell ref="B22:F22"/>
    <mergeCell ref="G22:H22"/>
    <mergeCell ref="I22:J22"/>
    <mergeCell ref="K22:N22"/>
    <mergeCell ref="B24:N24"/>
    <mergeCell ref="B25:N25"/>
    <mergeCell ref="D26:N26"/>
    <mergeCell ref="B27:D27"/>
    <mergeCell ref="E27:G27"/>
    <mergeCell ref="H27:J27"/>
    <mergeCell ref="K27:N27"/>
    <mergeCell ref="B28:D28"/>
    <mergeCell ref="E28:G28"/>
    <mergeCell ref="H28:J28"/>
    <mergeCell ref="K28:N28"/>
    <mergeCell ref="B29:D29"/>
    <mergeCell ref="E29:G29"/>
    <mergeCell ref="H29:J29"/>
    <mergeCell ref="K29:N29"/>
    <mergeCell ref="B30:D30"/>
    <mergeCell ref="E30:G30"/>
    <mergeCell ref="H30:J30"/>
    <mergeCell ref="K30:N30"/>
    <mergeCell ref="B31:D31"/>
    <mergeCell ref="E31:G31"/>
    <mergeCell ref="H31:J31"/>
    <mergeCell ref="K31:N31"/>
    <mergeCell ref="B32:D32"/>
    <mergeCell ref="E32:G32"/>
    <mergeCell ref="H32:J32"/>
    <mergeCell ref="K32:N32"/>
    <mergeCell ref="B33:D33"/>
    <mergeCell ref="E33:G33"/>
    <mergeCell ref="H33:J33"/>
    <mergeCell ref="K33:N33"/>
    <mergeCell ref="B35:N35"/>
    <mergeCell ref="B36:N36"/>
    <mergeCell ref="C37:G37"/>
    <mergeCell ref="I37:M37"/>
    <mergeCell ref="C38:G38"/>
    <mergeCell ref="I38:M38"/>
    <mergeCell ref="C39:G39"/>
    <mergeCell ref="I39:M39"/>
    <mergeCell ref="C40:G40"/>
    <mergeCell ref="I40:M40"/>
    <mergeCell ref="C41:G41"/>
    <mergeCell ref="I41:M41"/>
    <mergeCell ref="C42:G42"/>
    <mergeCell ref="I42:M42"/>
    <mergeCell ref="C43:G43"/>
    <mergeCell ref="I43:M43"/>
    <mergeCell ref="C44:G44"/>
    <mergeCell ref="I44:M44"/>
    <mergeCell ref="C45:G45"/>
    <mergeCell ref="I45:M45"/>
    <mergeCell ref="C46:G46"/>
    <mergeCell ref="I46:M46"/>
    <mergeCell ref="C47:G47"/>
    <mergeCell ref="I47:M47"/>
    <mergeCell ref="B49:N49"/>
    <mergeCell ref="B50:N50"/>
    <mergeCell ref="B51:N51"/>
    <mergeCell ref="B52:N52"/>
    <mergeCell ref="B53:N53"/>
    <mergeCell ref="B54:N54"/>
    <mergeCell ref="B55:N55"/>
    <mergeCell ref="B56:N56"/>
    <mergeCell ref="B57:N57"/>
    <mergeCell ref="B58:N58"/>
    <mergeCell ref="B59:N59"/>
    <mergeCell ref="B60:N6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353</v>
      </c>
      <c r="C1" s="1"/>
      <c r="D1" s="1"/>
      <c r="E1" s="1"/>
      <c r="F1" s="1"/>
      <c r="G1" s="1"/>
      <c r="H1" s="1"/>
      <c r="I1" s="1"/>
      <c r="J1" s="1"/>
      <c r="K1" s="1"/>
      <c r="L1" s="1"/>
      <c r="M1" s="1"/>
      <c r="N1" s="1"/>
    </row>
    <row r="2" customFormat="false" ht="17.25" hidden="false" customHeight="true" outlineLevel="0" collapsed="false">
      <c r="B2" s="2" t="s">
        <v>354</v>
      </c>
      <c r="C2" s="2"/>
      <c r="D2" s="2"/>
      <c r="E2" s="2"/>
      <c r="F2" s="2"/>
      <c r="G2" s="2"/>
      <c r="H2" s="2"/>
      <c r="I2" s="2"/>
      <c r="J2" s="2"/>
      <c r="K2" s="2"/>
      <c r="L2" s="2"/>
      <c r="M2" s="2"/>
      <c r="N2" s="2"/>
    </row>
    <row r="4" customFormat="false" ht="34.5" hidden="false" customHeight="true" outlineLevel="0" collapsed="false">
      <c r="B4" s="3" t="s">
        <v>355</v>
      </c>
      <c r="C4" s="3"/>
      <c r="D4" s="3"/>
      <c r="E4" s="3"/>
      <c r="F4" s="3"/>
      <c r="G4" s="3"/>
      <c r="H4" s="3"/>
      <c r="I4" s="3"/>
      <c r="J4" s="3"/>
      <c r="K4" s="3"/>
      <c r="L4" s="3"/>
      <c r="M4" s="3"/>
      <c r="N4" s="3"/>
    </row>
    <row r="5" customFormat="false" ht="21.75" hidden="false" customHeight="true" outlineLevel="0" collapsed="false">
      <c r="B5" s="4" t="s">
        <v>356</v>
      </c>
      <c r="C5" s="4"/>
      <c r="D5" s="4"/>
      <c r="E5" s="4"/>
      <c r="F5" s="4"/>
      <c r="G5" s="4"/>
      <c r="H5" s="4"/>
      <c r="I5" s="4"/>
      <c r="J5" s="4"/>
      <c r="K5" s="4"/>
      <c r="L5" s="4"/>
      <c r="M5" s="4"/>
      <c r="N5" s="4"/>
    </row>
    <row r="6" customFormat="false" ht="46.5" hidden="false" customHeight="true" outlineLevel="0" collapsed="false">
      <c r="B6" s="5" t="s">
        <v>357</v>
      </c>
      <c r="C6" s="5"/>
      <c r="D6" s="5"/>
      <c r="E6" s="5"/>
      <c r="F6" s="5"/>
      <c r="G6" s="5"/>
      <c r="H6" s="5"/>
      <c r="I6" s="5"/>
      <c r="J6" s="5"/>
      <c r="K6" s="5"/>
      <c r="L6" s="5"/>
      <c r="M6" s="5"/>
      <c r="N6" s="5"/>
    </row>
    <row r="7" customFormat="false" ht="17.25" hidden="false" customHeight="true" outlineLevel="0" collapsed="false">
      <c r="B7" s="11" t="s">
        <v>358</v>
      </c>
      <c r="C7" s="11"/>
      <c r="D7" s="11"/>
      <c r="E7" s="11" t="s">
        <v>359</v>
      </c>
      <c r="F7" s="11"/>
      <c r="G7" s="11"/>
      <c r="H7" s="11"/>
      <c r="I7" s="11"/>
      <c r="J7" s="11" t="s">
        <v>307</v>
      </c>
      <c r="K7" s="11"/>
      <c r="L7" s="11"/>
      <c r="M7" s="11"/>
      <c r="N7" s="11"/>
    </row>
    <row r="8" customFormat="false" ht="17.25" hidden="false" customHeight="true" outlineLevel="0" collapsed="false">
      <c r="B8" s="13" t="s">
        <v>360</v>
      </c>
      <c r="C8" s="13"/>
      <c r="D8" s="13"/>
      <c r="E8" s="13" t="s">
        <v>360</v>
      </c>
      <c r="F8" s="13"/>
      <c r="G8" s="13"/>
      <c r="H8" s="13"/>
      <c r="I8" s="13"/>
      <c r="J8" s="13" t="s">
        <v>361</v>
      </c>
      <c r="K8" s="13"/>
      <c r="L8" s="13"/>
      <c r="M8" s="13"/>
      <c r="N8" s="13"/>
    </row>
    <row r="9" customFormat="false" ht="17.25" hidden="false" customHeight="true" outlineLevel="0" collapsed="false">
      <c r="B9" s="16" t="s">
        <v>362</v>
      </c>
      <c r="C9" s="16"/>
      <c r="D9" s="16"/>
      <c r="E9" s="16" t="s">
        <v>363</v>
      </c>
      <c r="F9" s="16"/>
      <c r="G9" s="16"/>
      <c r="H9" s="16"/>
      <c r="I9" s="16"/>
      <c r="J9" s="16" t="s">
        <v>364</v>
      </c>
      <c r="K9" s="16"/>
      <c r="L9" s="16"/>
      <c r="M9" s="16"/>
      <c r="N9" s="16"/>
    </row>
    <row r="10" customFormat="false" ht="17.25" hidden="false" customHeight="true" outlineLevel="0" collapsed="false">
      <c r="B10" s="13" t="s">
        <v>365</v>
      </c>
      <c r="C10" s="13"/>
      <c r="D10" s="13"/>
      <c r="E10" s="13" t="s">
        <v>366</v>
      </c>
      <c r="F10" s="13"/>
      <c r="G10" s="13"/>
      <c r="H10" s="13"/>
      <c r="I10" s="13"/>
      <c r="J10" s="13" t="s">
        <v>367</v>
      </c>
      <c r="K10" s="13"/>
      <c r="L10" s="13"/>
      <c r="M10" s="13"/>
      <c r="N10" s="13"/>
    </row>
    <row r="11" customFormat="false" ht="17.25" hidden="false" customHeight="true" outlineLevel="0" collapsed="false">
      <c r="B11" s="16" t="s">
        <v>368</v>
      </c>
      <c r="C11" s="16"/>
      <c r="D11" s="16"/>
      <c r="E11" s="16" t="s">
        <v>369</v>
      </c>
      <c r="F11" s="16"/>
      <c r="G11" s="16"/>
      <c r="H11" s="16"/>
      <c r="I11" s="16"/>
      <c r="J11" s="16" t="s">
        <v>370</v>
      </c>
      <c r="K11" s="16"/>
      <c r="L11" s="16"/>
      <c r="M11" s="16"/>
      <c r="N11" s="16"/>
    </row>
    <row r="13" customFormat="false" ht="21.75" hidden="false" customHeight="true" outlineLevel="0" collapsed="false">
      <c r="B13" s="4" t="s">
        <v>371</v>
      </c>
      <c r="C13" s="4"/>
      <c r="D13" s="4"/>
      <c r="E13" s="4"/>
      <c r="F13" s="4"/>
      <c r="G13" s="4"/>
      <c r="H13" s="4"/>
      <c r="I13" s="4"/>
      <c r="J13" s="4"/>
      <c r="K13" s="4"/>
      <c r="L13" s="4"/>
      <c r="M13" s="4"/>
      <c r="N13" s="4"/>
    </row>
    <row r="14" customFormat="false" ht="31.5" hidden="false" customHeight="true" outlineLevel="0" collapsed="false">
      <c r="B14" s="5" t="s">
        <v>372</v>
      </c>
      <c r="C14" s="5"/>
      <c r="D14" s="5"/>
      <c r="E14" s="5"/>
      <c r="F14" s="5"/>
      <c r="G14" s="5"/>
      <c r="H14" s="5"/>
      <c r="I14" s="5"/>
      <c r="J14" s="5"/>
      <c r="K14" s="5"/>
      <c r="L14" s="5"/>
      <c r="M14" s="5"/>
      <c r="N14" s="5"/>
    </row>
    <row r="15" customFormat="false" ht="20.25" hidden="false" customHeight="true" outlineLevel="0" collapsed="false">
      <c r="B15" s="24" t="s">
        <v>373</v>
      </c>
      <c r="C15" s="24"/>
      <c r="D15" s="24"/>
      <c r="E15" s="24"/>
      <c r="F15" s="24"/>
      <c r="G15" s="24"/>
      <c r="H15" s="24"/>
      <c r="I15" s="24"/>
      <c r="J15" s="24"/>
      <c r="K15" s="24"/>
      <c r="L15" s="24"/>
      <c r="M15" s="24"/>
      <c r="N15" s="24"/>
    </row>
    <row r="16" customFormat="false" ht="17.25" hidden="false" customHeight="true" outlineLevel="0" collapsed="false">
      <c r="B16" s="11" t="s">
        <v>374</v>
      </c>
      <c r="C16" s="11" t="s">
        <v>375</v>
      </c>
      <c r="D16" s="11"/>
      <c r="E16" s="11"/>
      <c r="F16" s="11"/>
      <c r="G16" s="11"/>
      <c r="H16" s="11"/>
      <c r="I16" s="11"/>
      <c r="J16" s="11"/>
      <c r="K16" s="11"/>
      <c r="L16" s="11" t="s">
        <v>376</v>
      </c>
      <c r="M16" s="11"/>
      <c r="N16" s="11"/>
    </row>
    <row r="17" customFormat="false" ht="17.25" hidden="false" customHeight="true" outlineLevel="0" collapsed="false">
      <c r="B17" s="55" t="s">
        <v>377</v>
      </c>
      <c r="C17" s="13" t="s">
        <v>378</v>
      </c>
      <c r="D17" s="13"/>
      <c r="E17" s="13"/>
      <c r="F17" s="13"/>
      <c r="G17" s="13"/>
      <c r="H17" s="13"/>
      <c r="I17" s="13"/>
      <c r="J17" s="13"/>
      <c r="K17" s="13"/>
      <c r="L17" s="13" t="s">
        <v>379</v>
      </c>
      <c r="M17" s="13"/>
      <c r="N17" s="13"/>
    </row>
    <row r="18" customFormat="false" ht="17.25" hidden="false" customHeight="true" outlineLevel="0" collapsed="false">
      <c r="B18" s="10" t="s">
        <v>380</v>
      </c>
      <c r="C18" s="16" t="s">
        <v>381</v>
      </c>
      <c r="D18" s="16"/>
      <c r="E18" s="16"/>
      <c r="F18" s="16"/>
      <c r="G18" s="16"/>
      <c r="H18" s="16"/>
      <c r="I18" s="16"/>
      <c r="J18" s="16"/>
      <c r="K18" s="16"/>
      <c r="L18" s="16" t="s">
        <v>382</v>
      </c>
      <c r="M18" s="16"/>
      <c r="N18" s="16"/>
    </row>
    <row r="19" customFormat="false" ht="17.25" hidden="false" customHeight="true" outlineLevel="0" collapsed="false">
      <c r="B19" s="55" t="s">
        <v>383</v>
      </c>
      <c r="C19" s="13" t="s">
        <v>384</v>
      </c>
      <c r="D19" s="13"/>
      <c r="E19" s="13"/>
      <c r="F19" s="13"/>
      <c r="G19" s="13"/>
      <c r="H19" s="13"/>
      <c r="I19" s="13"/>
      <c r="J19" s="13"/>
      <c r="K19" s="13"/>
      <c r="L19" s="13" t="s">
        <v>385</v>
      </c>
      <c r="M19" s="13"/>
      <c r="N19" s="13"/>
    </row>
    <row r="20" customFormat="false" ht="18.75" hidden="false" customHeight="true" outlineLevel="0" collapsed="false">
      <c r="B20" s="25" t="s">
        <v>386</v>
      </c>
      <c r="C20" s="25"/>
      <c r="D20" s="25"/>
      <c r="E20" s="25"/>
      <c r="F20" s="25"/>
      <c r="G20" s="25"/>
      <c r="H20" s="25"/>
      <c r="I20" s="25"/>
      <c r="J20" s="25"/>
      <c r="K20" s="25"/>
      <c r="L20" s="25"/>
      <c r="M20" s="25"/>
      <c r="N20" s="25"/>
    </row>
    <row r="21" customFormat="false" ht="31.5" hidden="false" customHeight="true" outlineLevel="0" collapsed="false">
      <c r="B21" s="5" t="s">
        <v>387</v>
      </c>
      <c r="C21" s="5"/>
      <c r="D21" s="5"/>
      <c r="E21" s="5"/>
      <c r="F21" s="5"/>
      <c r="G21" s="5"/>
      <c r="H21" s="5"/>
      <c r="I21" s="5"/>
      <c r="J21" s="5"/>
      <c r="K21" s="5"/>
      <c r="L21" s="5"/>
      <c r="M21" s="5"/>
      <c r="N21" s="5"/>
    </row>
    <row r="22" customFormat="false" ht="17.25" hidden="false" customHeight="true" outlineLevel="0" collapsed="false">
      <c r="B22" s="20" t="s">
        <v>388</v>
      </c>
      <c r="C22" s="20"/>
      <c r="D22" s="20"/>
      <c r="E22" s="20"/>
      <c r="F22" s="20"/>
    </row>
    <row r="23" customFormat="false" ht="15" hidden="false" customHeight="false" outlineLevel="0" collapsed="false">
      <c r="B23" s="16"/>
      <c r="C23" s="21" t="s">
        <v>389</v>
      </c>
      <c r="D23" s="21" t="s">
        <v>390</v>
      </c>
      <c r="E23" s="21" t="s">
        <v>391</v>
      </c>
      <c r="F23" s="21" t="s">
        <v>392</v>
      </c>
    </row>
    <row r="24" customFormat="false" ht="15" hidden="false" customHeight="false" outlineLevel="0" collapsed="false">
      <c r="B24" s="22" t="s">
        <v>393</v>
      </c>
      <c r="C24" s="30" t="n">
        <v>0.1</v>
      </c>
      <c r="D24" s="30" t="n">
        <v>-0.1</v>
      </c>
      <c r="E24" s="30" t="n">
        <v>0</v>
      </c>
      <c r="F24" s="30" t="n">
        <v>0.2</v>
      </c>
    </row>
    <row r="25" customFormat="false" ht="15" hidden="false" customHeight="false" outlineLevel="0" collapsed="false">
      <c r="B25" s="22" t="s">
        <v>394</v>
      </c>
      <c r="C25" s="30" t="n">
        <v>-0.1</v>
      </c>
      <c r="D25" s="30" t="n">
        <v>0.1</v>
      </c>
      <c r="E25" s="30" t="n">
        <v>0.2</v>
      </c>
      <c r="F25" s="30" t="n">
        <v>0</v>
      </c>
    </row>
    <row r="26" customFormat="false" ht="15" hidden="false" customHeight="false" outlineLevel="0" collapsed="false">
      <c r="B26" s="22" t="s">
        <v>360</v>
      </c>
      <c r="C26" s="30" t="n">
        <v>0.5</v>
      </c>
      <c r="D26" s="30" t="n">
        <v>-0.2</v>
      </c>
      <c r="E26" s="30" t="n">
        <v>0.1</v>
      </c>
      <c r="F26" s="30" t="n">
        <v>0</v>
      </c>
    </row>
    <row r="27" customFormat="false" ht="15" hidden="false" customHeight="false" outlineLevel="0" collapsed="false">
      <c r="B27" s="22" t="s">
        <v>395</v>
      </c>
      <c r="C27" s="30" t="n">
        <v>-0.3</v>
      </c>
      <c r="D27" s="30" t="n">
        <v>0.8</v>
      </c>
      <c r="E27" s="30" t="n">
        <v>0.4</v>
      </c>
      <c r="F27" s="30" t="n">
        <v>-0.1</v>
      </c>
    </row>
    <row r="28" customFormat="false" ht="15" hidden="false" customHeight="false" outlineLevel="0" collapsed="false">
      <c r="B28" s="22" t="s">
        <v>396</v>
      </c>
      <c r="C28" s="30" t="n">
        <v>0.2</v>
      </c>
      <c r="D28" s="30" t="n">
        <v>0.1</v>
      </c>
      <c r="E28" s="30" t="n">
        <v>-0.6</v>
      </c>
      <c r="F28" s="30" t="n">
        <v>0.5</v>
      </c>
    </row>
    <row r="29" customFormat="false" ht="15" hidden="false" customHeight="false" outlineLevel="0" collapsed="false">
      <c r="B29" s="22" t="s">
        <v>397</v>
      </c>
      <c r="C29" s="30" t="n">
        <v>0.4</v>
      </c>
      <c r="D29" s="30" t="n">
        <v>-0.3</v>
      </c>
      <c r="E29" s="30" t="n">
        <v>0.2</v>
      </c>
      <c r="F29" s="30" t="n">
        <v>0.1</v>
      </c>
    </row>
    <row r="30" customFormat="false" ht="15" hidden="false" customHeight="false" outlineLevel="0" collapsed="false">
      <c r="B30" s="22" t="s">
        <v>369</v>
      </c>
      <c r="C30" s="30" t="n">
        <v>-0.2</v>
      </c>
      <c r="D30" s="30" t="n">
        <v>0.7</v>
      </c>
      <c r="E30" s="30" t="n">
        <v>0.5</v>
      </c>
      <c r="F30" s="30" t="n">
        <v>-0.2</v>
      </c>
    </row>
    <row r="31" customFormat="false" ht="15" hidden="false" customHeight="false" outlineLevel="0" collapsed="false">
      <c r="B31" s="22" t="s">
        <v>398</v>
      </c>
      <c r="C31" s="30" t="n">
        <v>0.3</v>
      </c>
      <c r="D31" s="30" t="n">
        <v>0</v>
      </c>
      <c r="E31" s="30" t="n">
        <v>-0.5</v>
      </c>
      <c r="F31" s="30" t="n">
        <v>0.6</v>
      </c>
    </row>
    <row r="33" customFormat="false" ht="17.25" hidden="false" customHeight="true" outlineLevel="0" collapsed="false">
      <c r="B33" s="22" t="s">
        <v>380</v>
      </c>
      <c r="C33" s="23" t="n">
        <v>4</v>
      </c>
      <c r="D33" s="27" t="s">
        <v>399</v>
      </c>
      <c r="E33" s="27"/>
      <c r="F33" s="27"/>
      <c r="G33" s="27"/>
      <c r="H33" s="27"/>
      <c r="I33" s="27"/>
      <c r="J33" s="27"/>
      <c r="K33" s="27"/>
      <c r="L33" s="27"/>
      <c r="M33" s="27"/>
      <c r="N33" s="27"/>
    </row>
    <row r="34" customFormat="false" ht="17.25" hidden="false" customHeight="true" outlineLevel="0" collapsed="false">
      <c r="B34" s="43" t="s">
        <v>400</v>
      </c>
      <c r="C34" s="43"/>
      <c r="D34" s="43"/>
      <c r="E34" s="43"/>
      <c r="F34" s="43"/>
      <c r="G34" s="43"/>
      <c r="H34" s="43"/>
      <c r="I34" s="43"/>
      <c r="J34" s="43"/>
      <c r="K34" s="43"/>
      <c r="L34" s="43"/>
      <c r="M34" s="43"/>
      <c r="N34" s="43"/>
    </row>
    <row r="35" customFormat="false" ht="30" hidden="false" customHeight="true" outlineLevel="0" collapsed="false">
      <c r="B35" s="22" t="s">
        <v>401</v>
      </c>
      <c r="C35" s="22" t="s">
        <v>402</v>
      </c>
      <c r="D35" s="22"/>
    </row>
    <row r="36" customFormat="false" ht="15" hidden="false" customHeight="false" outlineLevel="0" collapsed="false">
      <c r="B36" s="56" t="s">
        <v>360</v>
      </c>
      <c r="C36" s="57" t="n">
        <f aca="false">MATCH(B36,$B$24:$B$31,0)</f>
        <v>3</v>
      </c>
    </row>
    <row r="37" customFormat="false" ht="15" hidden="false" customHeight="false" outlineLevel="0" collapsed="false">
      <c r="B37" s="56" t="s">
        <v>395</v>
      </c>
      <c r="C37" s="57" t="n">
        <f aca="false">MATCH(B37,$B$24:$B$31,0)</f>
        <v>4</v>
      </c>
    </row>
    <row r="38" customFormat="false" ht="15" hidden="false" customHeight="false" outlineLevel="0" collapsed="false">
      <c r="B38" s="56" t="s">
        <v>396</v>
      </c>
      <c r="C38" s="57" t="n">
        <f aca="false">MATCH(B38,$B$24:$B$31,0)</f>
        <v>5</v>
      </c>
    </row>
    <row r="40" customFormat="false" ht="17.25" hidden="false" customHeight="true" outlineLevel="0" collapsed="false">
      <c r="B40" s="20" t="s">
        <v>403</v>
      </c>
      <c r="C40" s="20"/>
      <c r="D40" s="20"/>
      <c r="E40" s="20"/>
      <c r="F40" s="20"/>
      <c r="H40" s="20" t="s">
        <v>404</v>
      </c>
      <c r="I40" s="20"/>
      <c r="J40" s="20"/>
      <c r="K40" s="20"/>
      <c r="L40" s="20"/>
    </row>
    <row r="41" customFormat="false" ht="15" hidden="false" customHeight="false" outlineLevel="0" collapsed="false">
      <c r="B41" s="16"/>
      <c r="C41" s="21" t="s">
        <v>389</v>
      </c>
      <c r="D41" s="21" t="s">
        <v>390</v>
      </c>
      <c r="E41" s="21" t="s">
        <v>391</v>
      </c>
      <c r="F41" s="21" t="s">
        <v>392</v>
      </c>
      <c r="H41" s="16"/>
      <c r="I41" s="21" t="s">
        <v>389</v>
      </c>
      <c r="J41" s="21" t="s">
        <v>390</v>
      </c>
      <c r="K41" s="21" t="s">
        <v>391</v>
      </c>
      <c r="L41" s="21" t="s">
        <v>392</v>
      </c>
    </row>
    <row r="42" customFormat="false" ht="15" hidden="false" customHeight="false" outlineLevel="0" collapsed="false">
      <c r="B42" s="22" t="str">
        <f aca="false">B36</f>
        <v>the</v>
      </c>
      <c r="C42" s="58" t="n">
        <f aca="false">INDEX($C$24:$F$31,C36,1)</f>
        <v>0.5</v>
      </c>
      <c r="D42" s="58" t="n">
        <f aca="false">INDEX($C$24:$F$31,C36,2)</f>
        <v>-0.2</v>
      </c>
      <c r="E42" s="58" t="n">
        <f aca="false">INDEX($C$24:$F$31,C36,3)</f>
        <v>0.1</v>
      </c>
      <c r="F42" s="58" t="n">
        <f aca="false">INDEX($C$24:$F$31,C36,4)</f>
        <v>0</v>
      </c>
      <c r="H42" s="22" t="str">
        <f aca="false">B36</f>
        <v>the</v>
      </c>
      <c r="I42" s="41" t="n">
        <f aca="false">C42*SQRT(C33)</f>
        <v>1</v>
      </c>
      <c r="J42" s="41" t="n">
        <f aca="false">D42*SQRT(C33)</f>
        <v>-0.4</v>
      </c>
      <c r="K42" s="41" t="n">
        <f aca="false">E42*SQRT(C33)</f>
        <v>0.2</v>
      </c>
      <c r="L42" s="41" t="n">
        <f aca="false">F42*SQRT(C33)</f>
        <v>0</v>
      </c>
    </row>
    <row r="43" customFormat="false" ht="15" hidden="false" customHeight="false" outlineLevel="0" collapsed="false">
      <c r="B43" s="22" t="str">
        <f aca="false">B37</f>
        <v>cat</v>
      </c>
      <c r="C43" s="58" t="n">
        <f aca="false">INDEX($C$24:$F$31,C37,1)</f>
        <v>-0.3</v>
      </c>
      <c r="D43" s="58" t="n">
        <f aca="false">INDEX($C$24:$F$31,C37,2)</f>
        <v>0.8</v>
      </c>
      <c r="E43" s="58" t="n">
        <f aca="false">INDEX($C$24:$F$31,C37,3)</f>
        <v>0.4</v>
      </c>
      <c r="F43" s="58" t="n">
        <f aca="false">INDEX($C$24:$F$31,C37,4)</f>
        <v>-0.1</v>
      </c>
      <c r="H43" s="22" t="str">
        <f aca="false">B37</f>
        <v>cat</v>
      </c>
      <c r="I43" s="41" t="n">
        <f aca="false">C43*SQRT(C33)</f>
        <v>-0.6</v>
      </c>
      <c r="J43" s="41" t="n">
        <f aca="false">D43*SQRT(C33)</f>
        <v>1.6</v>
      </c>
      <c r="K43" s="41" t="n">
        <f aca="false">E43*SQRT(C33)</f>
        <v>0.8</v>
      </c>
      <c r="L43" s="41" t="n">
        <f aca="false">F43*SQRT(C33)</f>
        <v>-0.2</v>
      </c>
    </row>
    <row r="44" customFormat="false" ht="15" hidden="false" customHeight="false" outlineLevel="0" collapsed="false">
      <c r="B44" s="22" t="str">
        <f aca="false">B38</f>
        <v>sat</v>
      </c>
      <c r="C44" s="58" t="n">
        <f aca="false">INDEX($C$24:$F$31,C38,1)</f>
        <v>0.2</v>
      </c>
      <c r="D44" s="58" t="n">
        <f aca="false">INDEX($C$24:$F$31,C38,2)</f>
        <v>0.1</v>
      </c>
      <c r="E44" s="58" t="n">
        <f aca="false">INDEX($C$24:$F$31,C38,3)</f>
        <v>-0.6</v>
      </c>
      <c r="F44" s="58" t="n">
        <f aca="false">INDEX($C$24:$F$31,C38,4)</f>
        <v>0.5</v>
      </c>
      <c r="H44" s="22" t="str">
        <f aca="false">B38</f>
        <v>sat</v>
      </c>
      <c r="I44" s="41" t="n">
        <f aca="false">C44*SQRT(C33)</f>
        <v>0.4</v>
      </c>
      <c r="J44" s="41" t="n">
        <f aca="false">D44*SQRT(C33)</f>
        <v>0.2</v>
      </c>
      <c r="K44" s="41" t="n">
        <f aca="false">E44*SQRT(C33)</f>
        <v>-1.2</v>
      </c>
      <c r="L44" s="41" t="n">
        <f aca="false">F44*SQRT(C33)</f>
        <v>1</v>
      </c>
    </row>
    <row r="46" customFormat="false" ht="15.75" hidden="false" customHeight="true" outlineLevel="0" collapsed="false">
      <c r="B46" s="10" t="s">
        <v>15</v>
      </c>
      <c r="C46" s="29" t="str">
        <f aca="false">"Token "&amp;B37&amp;" is row "&amp;C37&amp;" of the table; √d_model = √"&amp;C33&amp;" = "&amp;IF(ROUND(SQRT(C33),3)&lt;0,"("&amp;ROUND(SQRT(C33),3)&amp;")",ROUND(SQRT(C33),3)&amp;"")&amp;"; so dim 2 becomes "&amp;IF(ROUND(D43,3)&lt;0,"("&amp;ROUND(D43,3)&amp;")",ROUND(D43,3)&amp;"")&amp;" × "&amp;IF(ROUND(SQRT(C33),3)&lt;0,"("&amp;ROUND(SQRT(C33),3)&amp;")",ROUND(SQRT(C33),3)&amp;"")&amp;" = "&amp;IF(ROUND(J43,3)&lt;0,"("&amp;ROUND(J43,3)&amp;")",ROUND(J43,3)&amp;"")</f>
        <v>Token cat is row 4 of the table; √d_model = √4 = 2; so dim 2 becomes 0.8 × 2 = 1.6</v>
      </c>
      <c r="D46" s="29"/>
      <c r="E46" s="29"/>
      <c r="F46" s="29"/>
      <c r="G46" s="29"/>
      <c r="H46" s="29"/>
      <c r="I46" s="29"/>
      <c r="J46" s="29"/>
      <c r="K46" s="29"/>
      <c r="L46" s="29"/>
      <c r="M46" s="29"/>
      <c r="N46" s="29"/>
    </row>
    <row r="47" customFormat="false" ht="31.5" hidden="false" customHeight="true" outlineLevel="0" collapsed="false">
      <c r="B47" s="18" t="s">
        <v>405</v>
      </c>
      <c r="C47" s="18"/>
      <c r="D47" s="18"/>
      <c r="E47" s="18"/>
      <c r="F47" s="18"/>
      <c r="G47" s="18"/>
      <c r="H47" s="18"/>
      <c r="I47" s="18"/>
      <c r="J47" s="18"/>
      <c r="K47" s="18"/>
      <c r="L47" s="18"/>
      <c r="M47" s="18"/>
      <c r="N47" s="18"/>
    </row>
    <row r="49" customFormat="false" ht="18.75" hidden="false" customHeight="true" outlineLevel="0" collapsed="false">
      <c r="B49" s="25" t="s">
        <v>406</v>
      </c>
      <c r="C49" s="25"/>
      <c r="D49" s="25"/>
      <c r="E49" s="25"/>
      <c r="F49" s="25"/>
      <c r="G49" s="25"/>
      <c r="H49" s="25"/>
      <c r="I49" s="25"/>
      <c r="J49" s="25"/>
      <c r="K49" s="25"/>
      <c r="L49" s="25"/>
      <c r="M49" s="25"/>
      <c r="N49" s="25"/>
    </row>
    <row r="50" customFormat="false" ht="31.5" hidden="false" customHeight="true" outlineLevel="0" collapsed="false">
      <c r="B50" s="5" t="s">
        <v>407</v>
      </c>
      <c r="C50" s="5"/>
      <c r="D50" s="5"/>
      <c r="E50" s="5"/>
      <c r="F50" s="5"/>
      <c r="G50" s="5"/>
      <c r="H50" s="5"/>
      <c r="I50" s="5"/>
      <c r="J50" s="5"/>
      <c r="K50" s="5"/>
      <c r="L50" s="5"/>
      <c r="M50" s="5"/>
      <c r="N50" s="5"/>
    </row>
    <row r="51" customFormat="false" ht="17.25" hidden="false" customHeight="true" outlineLevel="0" collapsed="false">
      <c r="B51" s="11" t="s">
        <v>408</v>
      </c>
      <c r="C51" s="11" t="s">
        <v>134</v>
      </c>
      <c r="D51" s="11"/>
      <c r="E51" s="11" t="s">
        <v>135</v>
      </c>
      <c r="F51" s="11"/>
      <c r="G51" s="11"/>
      <c r="H51" s="11"/>
      <c r="I51" s="11"/>
      <c r="J51" s="11"/>
      <c r="K51" s="11"/>
      <c r="L51" s="11"/>
      <c r="M51" s="11"/>
      <c r="N51" s="11"/>
    </row>
    <row r="52" customFormat="false" ht="17.25" hidden="false" customHeight="true" outlineLevel="0" collapsed="false">
      <c r="B52" s="13" t="s">
        <v>409</v>
      </c>
      <c r="C52" s="59" t="n">
        <f aca="false">(C27*C30+D27*D30+E27*E30+F27*F30)/(SQRT(SUMSQ(C27:F27))*SQRT(SUMSQ(C30:F30)))</f>
        <v>0.977802414077409</v>
      </c>
      <c r="D52" s="59"/>
      <c r="E52" s="13" t="str">
        <f aca="false">IF(C52&gt;0.8,"very similar",IF(C52&gt;0.3,"somewhat similar","different"))</f>
        <v>very similar</v>
      </c>
      <c r="F52" s="13"/>
      <c r="G52" s="13"/>
      <c r="H52" s="13"/>
      <c r="I52" s="13"/>
      <c r="J52" s="13"/>
      <c r="K52" s="13"/>
      <c r="L52" s="13"/>
      <c r="M52" s="13"/>
      <c r="N52" s="13"/>
    </row>
    <row r="53" customFormat="false" ht="17.25" hidden="false" customHeight="true" outlineLevel="0" collapsed="false">
      <c r="B53" s="16" t="s">
        <v>410</v>
      </c>
      <c r="C53" s="60" t="n">
        <f aca="false">(C26*C29+D26*D29+E26*E29+F26*F29)/(SQRT(SUMSQ(C26:F26))*SQRT(SUMSQ(C29:F29)))</f>
        <v>0.933333333333333</v>
      </c>
      <c r="D53" s="60"/>
      <c r="E53" s="16" t="str">
        <f aca="false">IF(C53&gt;0.8,"very similar",IF(C53&gt;0.3,"somewhat similar","different"))</f>
        <v>very similar</v>
      </c>
      <c r="F53" s="16"/>
      <c r="G53" s="16"/>
      <c r="H53" s="16"/>
      <c r="I53" s="16"/>
      <c r="J53" s="16"/>
      <c r="K53" s="16"/>
      <c r="L53" s="16"/>
      <c r="M53" s="16"/>
      <c r="N53" s="16"/>
    </row>
    <row r="54" customFormat="false" ht="17.25" hidden="false" customHeight="true" outlineLevel="0" collapsed="false">
      <c r="B54" s="13" t="s">
        <v>411</v>
      </c>
      <c r="C54" s="59" t="n">
        <f aca="false">(C28*C31+D28*D31+E28*E31+F28*F31)/(SQRT(SUMSQ(C28:F28))*SQRT(SUMSQ(C31:F31)))</f>
        <v>0.971008312455224</v>
      </c>
      <c r="D54" s="59"/>
      <c r="E54" s="13" t="str">
        <f aca="false">IF(C54&gt;0.8,"very similar",IF(C54&gt;0.3,"somewhat similar","different"))</f>
        <v>very similar</v>
      </c>
      <c r="F54" s="13"/>
      <c r="G54" s="13"/>
      <c r="H54" s="13"/>
      <c r="I54" s="13"/>
      <c r="J54" s="13"/>
      <c r="K54" s="13"/>
      <c r="L54" s="13"/>
      <c r="M54" s="13"/>
      <c r="N54" s="13"/>
    </row>
    <row r="55" customFormat="false" ht="17.25" hidden="false" customHeight="true" outlineLevel="0" collapsed="false">
      <c r="B55" s="16" t="s">
        <v>412</v>
      </c>
      <c r="C55" s="60" t="n">
        <f aca="false">(C27*C28+D27*D28+E27*E28+F27*F28)/(SQRT(SUMSQ(C27:F27))*SQRT(SUMSQ(C28:F28)))</f>
        <v>-0.350324524872685</v>
      </c>
      <c r="D55" s="60"/>
      <c r="E55" s="16" t="str">
        <f aca="false">IF(C55&gt;0.8,"very similar",IF(C55&gt;0.3,"somewhat similar","different"))</f>
        <v>different</v>
      </c>
      <c r="F55" s="16"/>
      <c r="G55" s="16"/>
      <c r="H55" s="16"/>
      <c r="I55" s="16"/>
      <c r="J55" s="16"/>
      <c r="K55" s="16"/>
      <c r="L55" s="16"/>
      <c r="M55" s="16"/>
      <c r="N55" s="16"/>
    </row>
    <row r="56" customFormat="false" ht="17.25" hidden="false" customHeight="true" outlineLevel="0" collapsed="false">
      <c r="B56" s="13" t="s">
        <v>413</v>
      </c>
      <c r="C56" s="59" t="n">
        <f aca="false">(C26*C30+D26*D30+E26*E30+F26*F30)/(SQRT(SUMSQ(C26:F26))*SQRT(SUMSQ(C30:F30)))</f>
        <v>-0.383076973309118</v>
      </c>
      <c r="D56" s="59"/>
      <c r="E56" s="13" t="str">
        <f aca="false">IF(C56&gt;0.8,"very similar",IF(C56&gt;0.3,"somewhat similar","different"))</f>
        <v>different</v>
      </c>
      <c r="F56" s="13"/>
      <c r="G56" s="13"/>
      <c r="H56" s="13"/>
      <c r="I56" s="13"/>
      <c r="J56" s="13"/>
      <c r="K56" s="13"/>
      <c r="L56" s="13"/>
      <c r="M56" s="13"/>
      <c r="N56" s="13"/>
    </row>
    <row r="58" customFormat="false" ht="18.75" hidden="false" customHeight="true" outlineLevel="0" collapsed="false">
      <c r="B58" s="25" t="s">
        <v>414</v>
      </c>
      <c r="C58" s="25"/>
      <c r="D58" s="25"/>
      <c r="E58" s="25"/>
      <c r="F58" s="25"/>
      <c r="G58" s="25"/>
      <c r="H58" s="25"/>
      <c r="I58" s="25"/>
      <c r="J58" s="25"/>
      <c r="K58" s="25"/>
      <c r="L58" s="25"/>
      <c r="M58" s="25"/>
      <c r="N58" s="25"/>
    </row>
    <row r="59" customFormat="false" ht="31.5" hidden="false" customHeight="true" outlineLevel="0" collapsed="false">
      <c r="B59" s="5" t="s">
        <v>415</v>
      </c>
      <c r="C59" s="5"/>
      <c r="D59" s="5"/>
      <c r="E59" s="5"/>
      <c r="F59" s="5"/>
      <c r="G59" s="5"/>
      <c r="H59" s="5"/>
      <c r="I59" s="5"/>
      <c r="J59" s="5"/>
      <c r="K59" s="5"/>
      <c r="L59" s="5"/>
      <c r="M59" s="5"/>
      <c r="N59" s="5"/>
    </row>
    <row r="60" customFormat="false" ht="17.25" hidden="false" customHeight="true" outlineLevel="0" collapsed="false">
      <c r="B60" s="22" t="s">
        <v>416</v>
      </c>
      <c r="C60" s="61" t="n">
        <v>37000</v>
      </c>
      <c r="D60" s="27" t="s">
        <v>417</v>
      </c>
      <c r="E60" s="27"/>
      <c r="F60" s="27"/>
      <c r="G60" s="27"/>
      <c r="H60" s="27"/>
      <c r="I60" s="27"/>
      <c r="J60" s="27"/>
      <c r="K60" s="27"/>
      <c r="L60" s="27"/>
      <c r="M60" s="27"/>
      <c r="N60" s="27"/>
    </row>
    <row r="61" customFormat="false" ht="17.25" hidden="false" customHeight="true" outlineLevel="0" collapsed="false">
      <c r="B61" s="22" t="s">
        <v>380</v>
      </c>
      <c r="C61" s="61" t="n">
        <v>512</v>
      </c>
      <c r="D61" s="27" t="s">
        <v>418</v>
      </c>
      <c r="E61" s="27"/>
      <c r="F61" s="27"/>
      <c r="G61" s="27"/>
      <c r="H61" s="27"/>
      <c r="I61" s="27"/>
      <c r="J61" s="27"/>
      <c r="K61" s="27"/>
      <c r="L61" s="27"/>
      <c r="M61" s="27"/>
      <c r="N61" s="27"/>
    </row>
    <row r="62" customFormat="false" ht="17.25" hidden="false" customHeight="true" outlineLevel="0" collapsed="false">
      <c r="B62" s="22" t="s">
        <v>419</v>
      </c>
      <c r="C62" s="62" t="n">
        <f aca="false">C60*C61</f>
        <v>18944000</v>
      </c>
      <c r="D62" s="27" t="s">
        <v>420</v>
      </c>
      <c r="E62" s="27"/>
      <c r="F62" s="27"/>
      <c r="G62" s="27"/>
      <c r="H62" s="27"/>
      <c r="I62" s="27"/>
      <c r="J62" s="27"/>
      <c r="K62" s="27"/>
      <c r="L62" s="27"/>
      <c r="M62" s="27"/>
      <c r="N62" s="27"/>
    </row>
    <row r="63" customFormat="false" ht="17.25" hidden="false" customHeight="true" outlineLevel="0" collapsed="false">
      <c r="B63" s="22" t="s">
        <v>421</v>
      </c>
      <c r="C63" s="63" t="n">
        <f aca="false">C62*4/1024^2</f>
        <v>72.265625</v>
      </c>
      <c r="D63" s="27" t="s">
        <v>422</v>
      </c>
      <c r="E63" s="27"/>
      <c r="F63" s="27"/>
      <c r="G63" s="27"/>
      <c r="H63" s="27"/>
      <c r="I63" s="27"/>
      <c r="J63" s="27"/>
      <c r="K63" s="27"/>
      <c r="L63" s="27"/>
      <c r="M63" s="27"/>
      <c r="N63" s="27"/>
    </row>
    <row r="64" customFormat="false" ht="17.25" hidden="false" customHeight="true" outlineLevel="0" collapsed="false">
      <c r="B64" s="22" t="s">
        <v>423</v>
      </c>
      <c r="C64" s="64" t="n">
        <f aca="false">2*C62</f>
        <v>37888000</v>
      </c>
      <c r="D64" s="27" t="s">
        <v>424</v>
      </c>
      <c r="E64" s="27"/>
      <c r="F64" s="27"/>
      <c r="G64" s="27"/>
      <c r="H64" s="27"/>
      <c r="I64" s="27"/>
      <c r="J64" s="27"/>
      <c r="K64" s="27"/>
      <c r="L64" s="27"/>
      <c r="M64" s="27"/>
      <c r="N64" s="27"/>
    </row>
    <row r="65" customFormat="false" ht="17.25" hidden="false" customHeight="true" outlineLevel="0" collapsed="false">
      <c r="B65" s="22" t="s">
        <v>425</v>
      </c>
      <c r="C65" s="65" t="n">
        <f aca="false">C62/65000000</f>
        <v>0.291446153846154</v>
      </c>
      <c r="D65" s="27" t="s">
        <v>426</v>
      </c>
      <c r="E65" s="27"/>
      <c r="F65" s="27"/>
      <c r="G65" s="27"/>
      <c r="H65" s="27"/>
      <c r="I65" s="27"/>
      <c r="J65" s="27"/>
      <c r="K65" s="27"/>
      <c r="L65" s="27"/>
      <c r="M65" s="27"/>
      <c r="N65" s="27"/>
    </row>
    <row r="66" customFormat="false" ht="18.75" hidden="false" customHeight="true" outlineLevel="0" collapsed="false">
      <c r="B66" s="25" t="s">
        <v>279</v>
      </c>
      <c r="C66" s="25"/>
      <c r="D66" s="25"/>
      <c r="E66" s="25"/>
      <c r="F66" s="25"/>
      <c r="G66" s="25"/>
      <c r="H66" s="25"/>
      <c r="I66" s="25"/>
      <c r="J66" s="25"/>
      <c r="K66" s="25"/>
      <c r="L66" s="25"/>
      <c r="M66" s="25"/>
      <c r="N66" s="25"/>
    </row>
    <row r="67" customFormat="false" ht="17.25" hidden="false" customHeight="true" outlineLevel="0" collapsed="false">
      <c r="B67" s="43" t="s">
        <v>427</v>
      </c>
      <c r="C67" s="43"/>
      <c r="D67" s="43"/>
      <c r="E67" s="43"/>
      <c r="F67" s="43"/>
      <c r="G67" s="43"/>
      <c r="H67" s="43"/>
      <c r="I67" s="43"/>
      <c r="J67" s="43"/>
      <c r="K67" s="43"/>
      <c r="L67" s="43"/>
      <c r="M67" s="43"/>
      <c r="N67" s="43"/>
    </row>
    <row r="68" customFormat="false" ht="17.25" hidden="false" customHeight="true" outlineLevel="0" collapsed="false">
      <c r="B68" s="44" t="s">
        <v>428</v>
      </c>
      <c r="C68" s="44"/>
      <c r="D68" s="44"/>
      <c r="E68" s="44"/>
      <c r="F68" s="44"/>
      <c r="G68" s="44"/>
      <c r="H68" s="44"/>
      <c r="I68" s="44"/>
      <c r="J68" s="44"/>
      <c r="K68" s="44"/>
      <c r="L68" s="44"/>
      <c r="M68" s="44"/>
      <c r="N68" s="44"/>
    </row>
    <row r="69" customFormat="false" ht="17.25" hidden="false" customHeight="true" outlineLevel="0" collapsed="false">
      <c r="B69" s="43" t="s">
        <v>429</v>
      </c>
      <c r="C69" s="43"/>
      <c r="D69" s="43"/>
      <c r="E69" s="43"/>
      <c r="F69" s="43"/>
      <c r="G69" s="43"/>
      <c r="H69" s="43"/>
      <c r="I69" s="43"/>
      <c r="J69" s="43"/>
      <c r="K69" s="43"/>
      <c r="L69" s="43"/>
      <c r="M69" s="43"/>
      <c r="N69" s="43"/>
    </row>
    <row r="70" customFormat="false" ht="17.25" hidden="false" customHeight="true" outlineLevel="0" collapsed="false">
      <c r="B70" s="44" t="s">
        <v>430</v>
      </c>
      <c r="C70" s="44"/>
      <c r="D70" s="44"/>
      <c r="E70" s="44"/>
      <c r="F70" s="44"/>
      <c r="G70" s="44"/>
      <c r="H70" s="44"/>
      <c r="I70" s="44"/>
      <c r="J70" s="44"/>
      <c r="K70" s="44"/>
      <c r="L70" s="44"/>
      <c r="M70" s="44"/>
      <c r="N70" s="44"/>
    </row>
    <row r="71" customFormat="false" ht="17.25" hidden="false" customHeight="true" outlineLevel="0" collapsed="false">
      <c r="B71" s="43" t="s">
        <v>431</v>
      </c>
      <c r="C71" s="43"/>
      <c r="D71" s="43"/>
      <c r="E71" s="43"/>
      <c r="F71" s="43"/>
      <c r="G71" s="43"/>
      <c r="H71" s="43"/>
      <c r="I71" s="43"/>
      <c r="J71" s="43"/>
      <c r="K71" s="43"/>
      <c r="L71" s="43"/>
      <c r="M71" s="43"/>
      <c r="N71" s="43"/>
    </row>
    <row r="72" customFormat="false" ht="17.25" hidden="false" customHeight="true" outlineLevel="0" collapsed="false">
      <c r="B72" s="44" t="s">
        <v>432</v>
      </c>
      <c r="C72" s="44"/>
      <c r="D72" s="44"/>
      <c r="E72" s="44"/>
      <c r="F72" s="44"/>
      <c r="G72" s="44"/>
      <c r="H72" s="44"/>
      <c r="I72" s="44"/>
      <c r="J72" s="44"/>
      <c r="K72" s="44"/>
      <c r="L72" s="44"/>
      <c r="M72" s="44"/>
      <c r="N72" s="44"/>
    </row>
  </sheetData>
  <mergeCells count="70">
    <mergeCell ref="B1:N1"/>
    <mergeCell ref="B2:N2"/>
    <mergeCell ref="B4:N4"/>
    <mergeCell ref="B5:N5"/>
    <mergeCell ref="B6:N6"/>
    <mergeCell ref="B7:D7"/>
    <mergeCell ref="E7:I7"/>
    <mergeCell ref="J7:N7"/>
    <mergeCell ref="B8:D8"/>
    <mergeCell ref="E8:I8"/>
    <mergeCell ref="J8:N8"/>
    <mergeCell ref="B9:D9"/>
    <mergeCell ref="E9:I9"/>
    <mergeCell ref="J9:N9"/>
    <mergeCell ref="B10:D10"/>
    <mergeCell ref="E10:I10"/>
    <mergeCell ref="J10:N10"/>
    <mergeCell ref="B11:D11"/>
    <mergeCell ref="E11:I11"/>
    <mergeCell ref="J11:N11"/>
    <mergeCell ref="B13:N13"/>
    <mergeCell ref="B14:N14"/>
    <mergeCell ref="B15:N15"/>
    <mergeCell ref="C16:K16"/>
    <mergeCell ref="L16:N16"/>
    <mergeCell ref="C17:K17"/>
    <mergeCell ref="L17:N17"/>
    <mergeCell ref="C18:K18"/>
    <mergeCell ref="L18:N18"/>
    <mergeCell ref="C19:K19"/>
    <mergeCell ref="L19:N19"/>
    <mergeCell ref="B20:N20"/>
    <mergeCell ref="B21:N21"/>
    <mergeCell ref="B22:F22"/>
    <mergeCell ref="D33:N33"/>
    <mergeCell ref="B34:N34"/>
    <mergeCell ref="C35:D35"/>
    <mergeCell ref="B40:F40"/>
    <mergeCell ref="H40:L40"/>
    <mergeCell ref="C46:N46"/>
    <mergeCell ref="B47:N47"/>
    <mergeCell ref="B49:N49"/>
    <mergeCell ref="B50:N50"/>
    <mergeCell ref="C51:D51"/>
    <mergeCell ref="E51:N51"/>
    <mergeCell ref="C52:D52"/>
    <mergeCell ref="E52:N52"/>
    <mergeCell ref="C53:D53"/>
    <mergeCell ref="E53:N53"/>
    <mergeCell ref="C54:D54"/>
    <mergeCell ref="E54:N54"/>
    <mergeCell ref="C55:D55"/>
    <mergeCell ref="E55:N55"/>
    <mergeCell ref="C56:D56"/>
    <mergeCell ref="E56:N56"/>
    <mergeCell ref="B58:N58"/>
    <mergeCell ref="B59:N59"/>
    <mergeCell ref="D60:N60"/>
    <mergeCell ref="D61:N61"/>
    <mergeCell ref="D62:N62"/>
    <mergeCell ref="D63:N63"/>
    <mergeCell ref="D64:N64"/>
    <mergeCell ref="D65:N65"/>
    <mergeCell ref="B66:N66"/>
    <mergeCell ref="B67:N67"/>
    <mergeCell ref="B68:N68"/>
    <mergeCell ref="B69:N69"/>
    <mergeCell ref="B70:N70"/>
    <mergeCell ref="B71:N71"/>
    <mergeCell ref="B72:N7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433</v>
      </c>
      <c r="C1" s="1"/>
      <c r="D1" s="1"/>
      <c r="E1" s="1"/>
      <c r="F1" s="1"/>
      <c r="G1" s="1"/>
      <c r="H1" s="1"/>
      <c r="I1" s="1"/>
      <c r="J1" s="1"/>
      <c r="K1" s="1"/>
      <c r="L1" s="1"/>
      <c r="M1" s="1"/>
      <c r="N1" s="1"/>
    </row>
    <row r="2" customFormat="false" ht="17.25" hidden="false" customHeight="true" outlineLevel="0" collapsed="false">
      <c r="B2" s="2" t="s">
        <v>434</v>
      </c>
      <c r="C2" s="2"/>
      <c r="D2" s="2"/>
      <c r="E2" s="2"/>
      <c r="F2" s="2"/>
      <c r="G2" s="2"/>
      <c r="H2" s="2"/>
      <c r="I2" s="2"/>
      <c r="J2" s="2"/>
      <c r="K2" s="2"/>
      <c r="L2" s="2"/>
      <c r="M2" s="2"/>
      <c r="N2" s="2"/>
    </row>
    <row r="4" customFormat="false" ht="34.5" hidden="false" customHeight="true" outlineLevel="0" collapsed="false">
      <c r="B4" s="3" t="s">
        <v>435</v>
      </c>
      <c r="C4" s="3"/>
      <c r="D4" s="3"/>
      <c r="E4" s="3"/>
      <c r="F4" s="3"/>
      <c r="G4" s="3"/>
      <c r="H4" s="3"/>
      <c r="I4" s="3"/>
      <c r="J4" s="3"/>
      <c r="K4" s="3"/>
      <c r="L4" s="3"/>
      <c r="M4" s="3"/>
      <c r="N4" s="3"/>
    </row>
    <row r="5" customFormat="false" ht="21.75" hidden="false" customHeight="true" outlineLevel="0" collapsed="false">
      <c r="B5" s="4" t="s">
        <v>436</v>
      </c>
      <c r="C5" s="4"/>
      <c r="D5" s="4"/>
      <c r="E5" s="4"/>
      <c r="F5" s="4"/>
      <c r="G5" s="4"/>
      <c r="H5" s="4"/>
      <c r="I5" s="4"/>
      <c r="J5" s="4"/>
      <c r="K5" s="4"/>
      <c r="L5" s="4"/>
      <c r="M5" s="4"/>
      <c r="N5" s="4"/>
    </row>
    <row r="6" customFormat="false" ht="31.5" hidden="false" customHeight="true" outlineLevel="0" collapsed="false">
      <c r="B6" s="5" t="s">
        <v>437</v>
      </c>
      <c r="C6" s="5"/>
      <c r="D6" s="5"/>
      <c r="E6" s="5"/>
      <c r="F6" s="5"/>
      <c r="G6" s="5"/>
      <c r="H6" s="5"/>
      <c r="I6" s="5"/>
      <c r="J6" s="5"/>
      <c r="K6" s="5"/>
      <c r="L6" s="5"/>
      <c r="M6" s="5"/>
      <c r="N6" s="5"/>
    </row>
    <row r="7" customFormat="false" ht="31.5" hidden="false" customHeight="true" outlineLevel="0" collapsed="false">
      <c r="B7" s="45" t="s">
        <v>438</v>
      </c>
      <c r="C7" s="45"/>
      <c r="D7" s="45"/>
      <c r="E7" s="45"/>
      <c r="F7" s="45"/>
      <c r="G7" s="45"/>
      <c r="H7" s="45"/>
      <c r="I7" s="45"/>
      <c r="J7" s="45"/>
      <c r="K7" s="45"/>
      <c r="L7" s="45"/>
      <c r="M7" s="45"/>
      <c r="N7" s="45"/>
    </row>
    <row r="8" customFormat="false" ht="21.75" hidden="false" customHeight="true" outlineLevel="0" collapsed="false">
      <c r="B8" s="4" t="s">
        <v>439</v>
      </c>
      <c r="C8" s="4"/>
      <c r="D8" s="4"/>
      <c r="E8" s="4"/>
      <c r="F8" s="4"/>
      <c r="G8" s="4"/>
      <c r="H8" s="4"/>
      <c r="I8" s="4"/>
      <c r="J8" s="4"/>
      <c r="K8" s="4"/>
      <c r="L8" s="4"/>
      <c r="M8" s="4"/>
      <c r="N8" s="4"/>
    </row>
    <row r="9" customFormat="false" ht="20.25" hidden="false" customHeight="true" outlineLevel="0" collapsed="false">
      <c r="B9" s="24" t="s">
        <v>440</v>
      </c>
      <c r="C9" s="24"/>
      <c r="D9" s="24"/>
      <c r="E9" s="24"/>
      <c r="F9" s="24"/>
      <c r="G9" s="24"/>
      <c r="H9" s="24"/>
      <c r="I9" s="24"/>
      <c r="J9" s="24"/>
      <c r="K9" s="24"/>
      <c r="L9" s="24"/>
      <c r="M9" s="24"/>
      <c r="N9" s="24"/>
    </row>
    <row r="10" customFormat="false" ht="17.25" hidden="false" customHeight="true" outlineLevel="0" collapsed="false">
      <c r="B10" s="11" t="s">
        <v>374</v>
      </c>
      <c r="C10" s="11" t="s">
        <v>375</v>
      </c>
      <c r="D10" s="11"/>
      <c r="E10" s="11"/>
      <c r="F10" s="11"/>
      <c r="G10" s="11"/>
      <c r="H10" s="11"/>
      <c r="I10" s="11"/>
      <c r="J10" s="11"/>
      <c r="K10" s="11"/>
      <c r="L10" s="11" t="s">
        <v>376</v>
      </c>
      <c r="M10" s="11"/>
      <c r="N10" s="11"/>
    </row>
    <row r="11" customFormat="false" ht="17.25" hidden="false" customHeight="true" outlineLevel="0" collapsed="false">
      <c r="B11" s="55" t="s">
        <v>441</v>
      </c>
      <c r="C11" s="13" t="s">
        <v>442</v>
      </c>
      <c r="D11" s="13"/>
      <c r="E11" s="13"/>
      <c r="F11" s="13"/>
      <c r="G11" s="13"/>
      <c r="H11" s="13"/>
      <c r="I11" s="13"/>
      <c r="J11" s="13"/>
      <c r="K11" s="13"/>
      <c r="L11" s="13" t="s">
        <v>443</v>
      </c>
      <c r="M11" s="13"/>
      <c r="N11" s="13"/>
    </row>
    <row r="12" customFormat="false" ht="17.25" hidden="false" customHeight="true" outlineLevel="0" collapsed="false">
      <c r="B12" s="10" t="s">
        <v>444</v>
      </c>
      <c r="C12" s="16" t="s">
        <v>445</v>
      </c>
      <c r="D12" s="16"/>
      <c r="E12" s="16"/>
      <c r="F12" s="16"/>
      <c r="G12" s="16"/>
      <c r="H12" s="16"/>
      <c r="I12" s="16"/>
      <c r="J12" s="16"/>
      <c r="K12" s="16"/>
      <c r="L12" s="16" t="s">
        <v>446</v>
      </c>
      <c r="M12" s="16"/>
      <c r="N12" s="16"/>
    </row>
    <row r="13" customFormat="false" ht="17.25" hidden="false" customHeight="true" outlineLevel="0" collapsed="false">
      <c r="B13" s="55" t="s">
        <v>447</v>
      </c>
      <c r="C13" s="13" t="s">
        <v>448</v>
      </c>
      <c r="D13" s="13"/>
      <c r="E13" s="13"/>
      <c r="F13" s="13"/>
      <c r="G13" s="13"/>
      <c r="H13" s="13"/>
      <c r="I13" s="13"/>
      <c r="J13" s="13"/>
      <c r="K13" s="13"/>
      <c r="L13" s="13" t="s">
        <v>86</v>
      </c>
      <c r="M13" s="13"/>
      <c r="N13" s="13"/>
    </row>
    <row r="14" customFormat="false" ht="17.25" hidden="false" customHeight="true" outlineLevel="0" collapsed="false">
      <c r="B14" s="10" t="s">
        <v>449</v>
      </c>
      <c r="C14" s="16" t="s">
        <v>450</v>
      </c>
      <c r="D14" s="16"/>
      <c r="E14" s="16"/>
      <c r="F14" s="16"/>
      <c r="G14" s="16"/>
      <c r="H14" s="16"/>
      <c r="I14" s="16"/>
      <c r="J14" s="16"/>
      <c r="K14" s="16"/>
      <c r="L14" s="16" t="s">
        <v>86</v>
      </c>
      <c r="M14" s="16"/>
      <c r="N14" s="16"/>
    </row>
    <row r="15" customFormat="false" ht="17.25" hidden="false" customHeight="true" outlineLevel="0" collapsed="false">
      <c r="B15" s="55" t="s">
        <v>451</v>
      </c>
      <c r="C15" s="13" t="s">
        <v>452</v>
      </c>
      <c r="D15" s="13"/>
      <c r="E15" s="13"/>
      <c r="F15" s="13"/>
      <c r="G15" s="13"/>
      <c r="H15" s="13"/>
      <c r="I15" s="13"/>
      <c r="J15" s="13"/>
      <c r="K15" s="13"/>
      <c r="L15" s="13" t="s">
        <v>453</v>
      </c>
      <c r="M15" s="13"/>
      <c r="N15" s="13"/>
    </row>
    <row r="16" customFormat="false" ht="17.25" hidden="false" customHeight="true" outlineLevel="0" collapsed="false">
      <c r="B16" s="5" t="s">
        <v>454</v>
      </c>
      <c r="C16" s="5"/>
      <c r="D16" s="5"/>
      <c r="E16" s="5"/>
      <c r="F16" s="5"/>
      <c r="G16" s="5"/>
      <c r="H16" s="5"/>
      <c r="I16" s="5"/>
      <c r="J16" s="5"/>
      <c r="K16" s="5"/>
      <c r="L16" s="5"/>
      <c r="M16" s="5"/>
      <c r="N16" s="5"/>
    </row>
    <row r="17" customFormat="false" ht="18.75" hidden="false" customHeight="true" outlineLevel="0" collapsed="false">
      <c r="B17" s="25" t="s">
        <v>455</v>
      </c>
      <c r="C17" s="25"/>
      <c r="D17" s="25"/>
      <c r="E17" s="25"/>
      <c r="F17" s="25"/>
      <c r="G17" s="25"/>
      <c r="H17" s="25"/>
      <c r="I17" s="25"/>
      <c r="J17" s="25"/>
      <c r="K17" s="25"/>
      <c r="L17" s="25"/>
      <c r="M17" s="25"/>
      <c r="N17" s="25"/>
    </row>
    <row r="18" customFormat="false" ht="17.25" hidden="false" customHeight="true" outlineLevel="0" collapsed="false">
      <c r="B18" s="19" t="s">
        <v>456</v>
      </c>
      <c r="C18" s="19"/>
      <c r="D18" s="19"/>
      <c r="E18" s="19"/>
      <c r="F18" s="19"/>
      <c r="G18" s="19"/>
      <c r="H18" s="19"/>
      <c r="I18" s="19"/>
      <c r="J18" s="19"/>
      <c r="K18" s="19"/>
      <c r="L18" s="19"/>
      <c r="M18" s="19"/>
      <c r="N18" s="19"/>
    </row>
    <row r="19" customFormat="false" ht="17.25" hidden="false" customHeight="true" outlineLevel="0" collapsed="false">
      <c r="B19" s="22" t="s">
        <v>380</v>
      </c>
      <c r="C19" s="23" t="n">
        <v>4</v>
      </c>
      <c r="D19" s="27" t="s">
        <v>457</v>
      </c>
      <c r="E19" s="27"/>
      <c r="F19" s="27"/>
      <c r="G19" s="27"/>
      <c r="H19" s="27"/>
      <c r="I19" s="27"/>
      <c r="J19" s="27"/>
      <c r="K19" s="27"/>
      <c r="L19" s="27"/>
      <c r="M19" s="27"/>
      <c r="N19" s="27"/>
    </row>
    <row r="20" customFormat="false" ht="17.25" hidden="false" customHeight="true" outlineLevel="0" collapsed="false">
      <c r="B20" s="22" t="s">
        <v>458</v>
      </c>
      <c r="C20" s="61" t="n">
        <v>10000</v>
      </c>
      <c r="D20" s="27" t="s">
        <v>459</v>
      </c>
      <c r="E20" s="27"/>
      <c r="F20" s="27"/>
      <c r="G20" s="27"/>
      <c r="H20" s="27"/>
      <c r="I20" s="27"/>
      <c r="J20" s="27"/>
      <c r="K20" s="27"/>
      <c r="L20" s="27"/>
      <c r="M20" s="27"/>
      <c r="N20" s="27"/>
    </row>
    <row r="21" customFormat="false" ht="17.25" hidden="false" customHeight="true" outlineLevel="0" collapsed="false">
      <c r="B21" s="22" t="s">
        <v>460</v>
      </c>
      <c r="C21" s="66" t="n">
        <f aca="false">C20^(2*0/C19)</f>
        <v>1</v>
      </c>
      <c r="D21" s="27" t="s">
        <v>461</v>
      </c>
      <c r="E21" s="27"/>
      <c r="F21" s="27"/>
      <c r="G21" s="27"/>
      <c r="H21" s="27"/>
      <c r="I21" s="27"/>
      <c r="J21" s="27"/>
      <c r="K21" s="27"/>
      <c r="L21" s="27"/>
      <c r="M21" s="27"/>
      <c r="N21" s="27"/>
    </row>
    <row r="22" customFormat="false" ht="17.25" hidden="false" customHeight="true" outlineLevel="0" collapsed="false">
      <c r="B22" s="22" t="s">
        <v>462</v>
      </c>
      <c r="C22" s="66" t="n">
        <f aca="false">C20^(2*1/C19)</f>
        <v>100</v>
      </c>
      <c r="D22" s="27" t="s">
        <v>463</v>
      </c>
      <c r="E22" s="27"/>
      <c r="F22" s="27"/>
      <c r="G22" s="27"/>
      <c r="H22" s="27"/>
      <c r="I22" s="27"/>
      <c r="J22" s="27"/>
      <c r="K22" s="27"/>
      <c r="L22" s="27"/>
      <c r="M22" s="27"/>
      <c r="N22" s="27"/>
    </row>
    <row r="23" customFormat="false" ht="30" hidden="false" customHeight="true" outlineLevel="0" collapsed="false">
      <c r="B23" s="21" t="s">
        <v>441</v>
      </c>
      <c r="C23" s="21" t="s">
        <v>464</v>
      </c>
      <c r="D23" s="21" t="s">
        <v>465</v>
      </c>
      <c r="E23" s="21" t="s">
        <v>466</v>
      </c>
      <c r="F23" s="21" t="s">
        <v>467</v>
      </c>
      <c r="G23" s="21" t="s">
        <v>468</v>
      </c>
      <c r="H23" s="21" t="s">
        <v>469</v>
      </c>
    </row>
    <row r="24" customFormat="false" ht="15" hidden="false" customHeight="false" outlineLevel="0" collapsed="false">
      <c r="B24" s="6" t="n">
        <v>0</v>
      </c>
      <c r="C24" s="31" t="n">
        <f aca="false">B24/C21</f>
        <v>0</v>
      </c>
      <c r="D24" s="67" t="n">
        <f aca="false">SIN(C24)</f>
        <v>0</v>
      </c>
      <c r="E24" s="67" t="n">
        <f aca="false">COS(C24)</f>
        <v>1</v>
      </c>
      <c r="F24" s="31" t="n">
        <f aca="false">B24/C22</f>
        <v>0</v>
      </c>
      <c r="G24" s="67" t="n">
        <f aca="false">SIN(F24)</f>
        <v>0</v>
      </c>
      <c r="H24" s="67" t="n">
        <f aca="false">COS(F24)</f>
        <v>1</v>
      </c>
    </row>
    <row r="25" customFormat="false" ht="15" hidden="false" customHeight="false" outlineLevel="0" collapsed="false">
      <c r="B25" s="6" t="n">
        <v>1</v>
      </c>
      <c r="C25" s="31" t="n">
        <f aca="false">B25/C21</f>
        <v>1</v>
      </c>
      <c r="D25" s="67" t="n">
        <f aca="false">SIN(C25)</f>
        <v>0.841470984807897</v>
      </c>
      <c r="E25" s="67" t="n">
        <f aca="false">COS(C25)</f>
        <v>0.54030230586814</v>
      </c>
      <c r="F25" s="31" t="n">
        <f aca="false">B25/C22</f>
        <v>0.01</v>
      </c>
      <c r="G25" s="67" t="n">
        <f aca="false">SIN(F25)</f>
        <v>0.00999983333416666</v>
      </c>
      <c r="H25" s="67" t="n">
        <f aca="false">COS(F25)</f>
        <v>0.999950000416665</v>
      </c>
    </row>
    <row r="26" customFormat="false" ht="15" hidden="false" customHeight="false" outlineLevel="0" collapsed="false">
      <c r="B26" s="6" t="n">
        <v>2</v>
      </c>
      <c r="C26" s="31" t="n">
        <f aca="false">B26/C21</f>
        <v>2</v>
      </c>
      <c r="D26" s="67" t="n">
        <f aca="false">SIN(C26)</f>
        <v>0.909297426825682</v>
      </c>
      <c r="E26" s="67" t="n">
        <f aca="false">COS(C26)</f>
        <v>-0.416146836547142</v>
      </c>
      <c r="F26" s="31" t="n">
        <f aca="false">B26/C22</f>
        <v>0.02</v>
      </c>
      <c r="G26" s="67" t="n">
        <f aca="false">SIN(F26)</f>
        <v>0.0199986666933331</v>
      </c>
      <c r="H26" s="67" t="n">
        <f aca="false">COS(F26)</f>
        <v>0.999800006666578</v>
      </c>
    </row>
    <row r="27" customFormat="false" ht="15" hidden="false" customHeight="false" outlineLevel="0" collapsed="false">
      <c r="B27" s="6" t="n">
        <v>3</v>
      </c>
      <c r="C27" s="31" t="n">
        <f aca="false">B27/C21</f>
        <v>3</v>
      </c>
      <c r="D27" s="67" t="n">
        <f aca="false">SIN(C27)</f>
        <v>0.141120008059867</v>
      </c>
      <c r="E27" s="67" t="n">
        <f aca="false">COS(C27)</f>
        <v>-0.989992496600445</v>
      </c>
      <c r="F27" s="31" t="n">
        <f aca="false">B27/C22</f>
        <v>0.03</v>
      </c>
      <c r="G27" s="67" t="n">
        <f aca="false">SIN(F27)</f>
        <v>0.0299955002024957</v>
      </c>
      <c r="H27" s="67" t="n">
        <f aca="false">COS(F27)</f>
        <v>0.999550033748988</v>
      </c>
    </row>
    <row r="28" customFormat="false" ht="15" hidden="false" customHeight="false" outlineLevel="0" collapsed="false">
      <c r="B28" s="6" t="n">
        <v>4</v>
      </c>
      <c r="C28" s="31" t="n">
        <f aca="false">B28/C21</f>
        <v>4</v>
      </c>
      <c r="D28" s="67" t="n">
        <f aca="false">SIN(C28)</f>
        <v>-0.756802495307928</v>
      </c>
      <c r="E28" s="67" t="n">
        <f aca="false">COS(C28)</f>
        <v>-0.653643620863612</v>
      </c>
      <c r="F28" s="31" t="n">
        <f aca="false">B28/C22</f>
        <v>0.04</v>
      </c>
      <c r="G28" s="67" t="n">
        <f aca="false">SIN(F28)</f>
        <v>0.0399893341866342</v>
      </c>
      <c r="H28" s="67" t="n">
        <f aca="false">COS(F28)</f>
        <v>0.999200106660978</v>
      </c>
    </row>
    <row r="29" customFormat="false" ht="15" hidden="false" customHeight="false" outlineLevel="0" collapsed="false">
      <c r="B29" s="6" t="n">
        <v>5</v>
      </c>
      <c r="C29" s="31" t="n">
        <f aca="false">B29/C21</f>
        <v>5</v>
      </c>
      <c r="D29" s="67" t="n">
        <f aca="false">SIN(C29)</f>
        <v>-0.958924274663139</v>
      </c>
      <c r="E29" s="67" t="n">
        <f aca="false">COS(C29)</f>
        <v>0.283662185463226</v>
      </c>
      <c r="F29" s="31" t="n">
        <f aca="false">B29/C22</f>
        <v>0.05</v>
      </c>
      <c r="G29" s="67" t="n">
        <f aca="false">SIN(F29)</f>
        <v>0.0499791692706783</v>
      </c>
      <c r="H29" s="67" t="n">
        <f aca="false">COS(F29)</f>
        <v>0.998750260394966</v>
      </c>
    </row>
    <row r="31" customFormat="false" ht="15.75" hidden="false" customHeight="true" outlineLevel="0" collapsed="false">
      <c r="B31" s="10" t="s">
        <v>470</v>
      </c>
      <c r="C31" s="29" t="str">
        <f aca="false">"sin( "&amp;B26&amp;" / "&amp;IF(ROUND(C21,3)&lt;0,"("&amp;ROUND(C21,3)&amp;")",ROUND(C21,3)&amp;"")&amp;" ) = sin("&amp;IF(ROUND(C26,3)&lt;0,"("&amp;ROUND(C26,3)&amp;")",ROUND(C26,3)&amp;"")&amp;" radians) = "&amp;IF(ROUND(D26,3)&lt;0,"("&amp;ROUND(D26,3)&amp;")",ROUND(D26,3)&amp;"")</f>
        <v>sin( 2 / 1 ) = sin(2 radians) = 0.909</v>
      </c>
      <c r="D31" s="29"/>
      <c r="E31" s="29"/>
      <c r="F31" s="29"/>
      <c r="G31" s="29"/>
      <c r="H31" s="29"/>
      <c r="I31" s="29"/>
      <c r="J31" s="29"/>
      <c r="K31" s="29"/>
      <c r="L31" s="29"/>
      <c r="M31" s="29"/>
      <c r="N31" s="29"/>
    </row>
    <row r="32" customFormat="false" ht="15.75" hidden="false" customHeight="true" outlineLevel="0" collapsed="false">
      <c r="B32" s="10" t="s">
        <v>471</v>
      </c>
      <c r="C32" s="29" t="str">
        <f aca="false">"sin( "&amp;B26&amp;" / "&amp;IF(ROUND(C22,3)&lt;0,"("&amp;ROUND(C22,3)&amp;")",ROUND(C22,3)&amp;"")&amp;" ) = sin("&amp;IF(ROUND(F26,3)&lt;0,"("&amp;ROUND(F26,3)&amp;")",ROUND(F26,3)&amp;"")&amp;" radians) = "&amp;IF(ROUND(G26,3)&lt;0,"("&amp;ROUND(G26,3)&amp;")",ROUND(G26,3)&amp;"")</f>
        <v>sin( 2 / 100 ) = sin(0.02 radians) = 0.02</v>
      </c>
      <c r="D32" s="29"/>
      <c r="E32" s="29"/>
      <c r="F32" s="29"/>
      <c r="G32" s="29"/>
      <c r="H32" s="29"/>
      <c r="I32" s="29"/>
      <c r="J32" s="29"/>
      <c r="K32" s="29"/>
      <c r="L32" s="29"/>
      <c r="M32" s="29"/>
      <c r="N32" s="29"/>
    </row>
    <row r="33" customFormat="false" ht="31.5" hidden="false" customHeight="true" outlineLevel="0" collapsed="false">
      <c r="B33" s="5" t="s">
        <v>472</v>
      </c>
      <c r="C33" s="5"/>
      <c r="D33" s="5"/>
      <c r="E33" s="5"/>
      <c r="F33" s="5"/>
      <c r="G33" s="5"/>
      <c r="H33" s="5"/>
      <c r="I33" s="5"/>
      <c r="J33" s="5"/>
      <c r="K33" s="5"/>
      <c r="L33" s="5"/>
      <c r="M33" s="5"/>
      <c r="N33" s="5"/>
    </row>
    <row r="35" customFormat="false" ht="18.75" hidden="false" customHeight="true" outlineLevel="0" collapsed="false">
      <c r="B35" s="25" t="s">
        <v>473</v>
      </c>
      <c r="C35" s="25"/>
      <c r="D35" s="25"/>
      <c r="E35" s="25"/>
      <c r="F35" s="25"/>
      <c r="G35" s="25"/>
      <c r="H35" s="25"/>
      <c r="I35" s="25"/>
      <c r="J35" s="25"/>
      <c r="K35" s="25"/>
      <c r="L35" s="25"/>
      <c r="M35" s="25"/>
      <c r="N35" s="25"/>
    </row>
    <row r="36" customFormat="false" ht="31.5" hidden="false" customHeight="true" outlineLevel="0" collapsed="false">
      <c r="B36" s="5" t="s">
        <v>474</v>
      </c>
      <c r="C36" s="5"/>
      <c r="D36" s="5"/>
      <c r="E36" s="5"/>
      <c r="F36" s="5"/>
      <c r="G36" s="5"/>
      <c r="H36" s="5"/>
      <c r="I36" s="5"/>
      <c r="J36" s="5"/>
      <c r="K36" s="5"/>
      <c r="L36" s="5"/>
      <c r="M36" s="5"/>
      <c r="N36" s="5"/>
    </row>
    <row r="37" customFormat="false" ht="17.25" hidden="false" customHeight="true" outlineLevel="0" collapsed="false">
      <c r="B37" s="20" t="s">
        <v>475</v>
      </c>
      <c r="C37" s="20"/>
      <c r="D37" s="20"/>
      <c r="E37" s="20"/>
      <c r="F37" s="20"/>
      <c r="G37" s="20" t="s">
        <v>476</v>
      </c>
      <c r="H37" s="20"/>
      <c r="I37" s="20"/>
      <c r="J37" s="20"/>
      <c r="K37" s="20"/>
    </row>
    <row r="38" customFormat="false" ht="15" hidden="false" customHeight="false" outlineLevel="0" collapsed="false">
      <c r="B38" s="16"/>
      <c r="C38" s="21" t="s">
        <v>389</v>
      </c>
      <c r="D38" s="21" t="s">
        <v>390</v>
      </c>
      <c r="E38" s="21" t="s">
        <v>391</v>
      </c>
      <c r="F38" s="21" t="s">
        <v>392</v>
      </c>
      <c r="G38" s="16"/>
      <c r="H38" s="21" t="s">
        <v>389</v>
      </c>
      <c r="I38" s="21" t="s">
        <v>390</v>
      </c>
      <c r="J38" s="21" t="s">
        <v>391</v>
      </c>
      <c r="K38" s="21" t="s">
        <v>392</v>
      </c>
    </row>
    <row r="39" customFormat="false" ht="15" hidden="false" customHeight="false" outlineLevel="0" collapsed="false">
      <c r="B39" s="22" t="str">
        <f aca="false">'03 Embeddings'!$B$36</f>
        <v>the</v>
      </c>
      <c r="C39" s="68" t="n">
        <f aca="false">'03 Embeddings'!$I$42</f>
        <v>1</v>
      </c>
      <c r="D39" s="68" t="n">
        <f aca="false">'03 Embeddings'!$J$42</f>
        <v>-0.4</v>
      </c>
      <c r="E39" s="68" t="n">
        <f aca="false">'03 Embeddings'!$K$42</f>
        <v>0.2</v>
      </c>
      <c r="F39" s="68" t="n">
        <f aca="false">'03 Embeddings'!$L$42</f>
        <v>0</v>
      </c>
      <c r="G39" s="22" t="s">
        <v>477</v>
      </c>
      <c r="H39" s="39" t="n">
        <f aca="false">D24</f>
        <v>0</v>
      </c>
      <c r="I39" s="39" t="n">
        <f aca="false">E24</f>
        <v>1</v>
      </c>
      <c r="J39" s="39" t="n">
        <f aca="false">G24</f>
        <v>0</v>
      </c>
      <c r="K39" s="39" t="n">
        <f aca="false">H24</f>
        <v>1</v>
      </c>
    </row>
    <row r="40" customFormat="false" ht="15" hidden="false" customHeight="false" outlineLevel="0" collapsed="false">
      <c r="B40" s="22" t="str">
        <f aca="false">'03 Embeddings'!$B$37</f>
        <v>cat</v>
      </c>
      <c r="C40" s="68" t="n">
        <f aca="false">'03 Embeddings'!$I$43</f>
        <v>-0.6</v>
      </c>
      <c r="D40" s="68" t="n">
        <f aca="false">'03 Embeddings'!$J$43</f>
        <v>1.6</v>
      </c>
      <c r="E40" s="68" t="n">
        <f aca="false">'03 Embeddings'!$K$43</f>
        <v>0.8</v>
      </c>
      <c r="F40" s="68" t="n">
        <f aca="false">'03 Embeddings'!$L$43</f>
        <v>-0.2</v>
      </c>
      <c r="G40" s="22" t="s">
        <v>113</v>
      </c>
      <c r="H40" s="39" t="n">
        <f aca="false">D25</f>
        <v>0.841470984807897</v>
      </c>
      <c r="I40" s="39" t="n">
        <f aca="false">E25</f>
        <v>0.54030230586814</v>
      </c>
      <c r="J40" s="39" t="n">
        <f aca="false">G25</f>
        <v>0.00999983333416666</v>
      </c>
      <c r="K40" s="39" t="n">
        <f aca="false">H25</f>
        <v>0.999950000416665</v>
      </c>
    </row>
    <row r="41" customFormat="false" ht="15" hidden="false" customHeight="false" outlineLevel="0" collapsed="false">
      <c r="B41" s="22" t="str">
        <f aca="false">'03 Embeddings'!$B$38</f>
        <v>sat</v>
      </c>
      <c r="C41" s="68" t="n">
        <f aca="false">'03 Embeddings'!$I$44</f>
        <v>0.4</v>
      </c>
      <c r="D41" s="68" t="n">
        <f aca="false">'03 Embeddings'!$J$44</f>
        <v>0.2</v>
      </c>
      <c r="E41" s="68" t="n">
        <f aca="false">'03 Embeddings'!$K$44</f>
        <v>-1.2</v>
      </c>
      <c r="F41" s="68" t="n">
        <f aca="false">'03 Embeddings'!$L$44</f>
        <v>1</v>
      </c>
      <c r="G41" s="22" t="s">
        <v>114</v>
      </c>
      <c r="H41" s="39" t="n">
        <f aca="false">D26</f>
        <v>0.909297426825682</v>
      </c>
      <c r="I41" s="39" t="n">
        <f aca="false">E26</f>
        <v>-0.416146836547142</v>
      </c>
      <c r="J41" s="39" t="n">
        <f aca="false">G26</f>
        <v>0.0199986666933331</v>
      </c>
      <c r="K41" s="39" t="n">
        <f aca="false">H26</f>
        <v>0.999800006666578</v>
      </c>
    </row>
    <row r="43" customFormat="false" ht="17.25" hidden="false" customHeight="true" outlineLevel="0" collapsed="false">
      <c r="B43" s="20" t="s">
        <v>478</v>
      </c>
      <c r="C43" s="20"/>
      <c r="D43" s="20"/>
      <c r="E43" s="20"/>
      <c r="F43" s="20"/>
    </row>
    <row r="44" customFormat="false" ht="15" hidden="false" customHeight="false" outlineLevel="0" collapsed="false">
      <c r="B44" s="16"/>
      <c r="C44" s="21" t="s">
        <v>389</v>
      </c>
      <c r="D44" s="21" t="s">
        <v>390</v>
      </c>
      <c r="E44" s="21" t="s">
        <v>391</v>
      </c>
      <c r="F44" s="21" t="s">
        <v>392</v>
      </c>
    </row>
    <row r="45" customFormat="false" ht="15" hidden="false" customHeight="false" outlineLevel="0" collapsed="false">
      <c r="B45" s="22" t="str">
        <f aca="false">'03 Embeddings'!$B$36</f>
        <v>the</v>
      </c>
      <c r="C45" s="41" t="n">
        <f aca="false">C39+H39</f>
        <v>1</v>
      </c>
      <c r="D45" s="41" t="n">
        <f aca="false">D39+I39</f>
        <v>0.6</v>
      </c>
      <c r="E45" s="41" t="n">
        <f aca="false">E39+J39</f>
        <v>0.2</v>
      </c>
      <c r="F45" s="41" t="n">
        <f aca="false">F39+K39</f>
        <v>1</v>
      </c>
    </row>
    <row r="46" customFormat="false" ht="15" hidden="false" customHeight="false" outlineLevel="0" collapsed="false">
      <c r="B46" s="22" t="str">
        <f aca="false">'03 Embeddings'!$B$37</f>
        <v>cat</v>
      </c>
      <c r="C46" s="41" t="n">
        <f aca="false">C40+H40</f>
        <v>0.241470984807897</v>
      </c>
      <c r="D46" s="41" t="n">
        <f aca="false">D40+I40</f>
        <v>2.14030230586814</v>
      </c>
      <c r="E46" s="41" t="n">
        <f aca="false">E40+J40</f>
        <v>0.809999833334167</v>
      </c>
      <c r="F46" s="41" t="n">
        <f aca="false">F40+K40</f>
        <v>0.799950000416665</v>
      </c>
    </row>
    <row r="47" customFormat="false" ht="15" hidden="false" customHeight="false" outlineLevel="0" collapsed="false">
      <c r="B47" s="22" t="str">
        <f aca="false">'03 Embeddings'!$B$38</f>
        <v>sat</v>
      </c>
      <c r="C47" s="41" t="n">
        <f aca="false">C41+H41</f>
        <v>1.30929742682568</v>
      </c>
      <c r="D47" s="41" t="n">
        <f aca="false">D41+I41</f>
        <v>-0.216146836547142</v>
      </c>
      <c r="E47" s="41" t="n">
        <f aca="false">E41+J41</f>
        <v>-1.18000133330667</v>
      </c>
      <c r="F47" s="41" t="n">
        <f aca="false">F41+K41</f>
        <v>1.99980000666658</v>
      </c>
    </row>
    <row r="49" customFormat="false" ht="15.75" hidden="false" customHeight="true" outlineLevel="0" collapsed="false">
      <c r="B49" s="10" t="s">
        <v>479</v>
      </c>
      <c r="C49" s="29" t="str">
        <f aca="false">"X = "&amp;IF(ROUND(D40,3)&lt;0,"("&amp;ROUND(D40,3)&amp;")",ROUND(D40,3)&amp;"")&amp;" (meaning) + "&amp;IF(ROUND(I40,3)&lt;0,"("&amp;ROUND(I40,3)&amp;")",ROUND(I40,3)&amp;"")&amp;" (position 1) = "&amp;IF(ROUND(D46,3)&lt;0,"("&amp;ROUND(D46,3)&amp;")",ROUND(D46,3)&amp;"")</f>
        <v>X = 1.6 (meaning) + 0.54 (position 1) = 2.14</v>
      </c>
      <c r="D49" s="29"/>
      <c r="E49" s="29"/>
      <c r="F49" s="29"/>
      <c r="G49" s="29"/>
      <c r="H49" s="29"/>
      <c r="I49" s="29"/>
      <c r="J49" s="29"/>
      <c r="K49" s="29"/>
      <c r="L49" s="29"/>
      <c r="M49" s="29"/>
      <c r="N49" s="29"/>
    </row>
    <row r="50" customFormat="false" ht="17.25" hidden="false" customHeight="true" outlineLevel="0" collapsed="false">
      <c r="B50" s="18" t="s">
        <v>480</v>
      </c>
      <c r="C50" s="18"/>
      <c r="D50" s="18"/>
      <c r="E50" s="18"/>
      <c r="F50" s="18"/>
      <c r="G50" s="18"/>
      <c r="H50" s="18"/>
      <c r="I50" s="18"/>
      <c r="J50" s="18"/>
      <c r="K50" s="18"/>
      <c r="L50" s="18"/>
      <c r="M50" s="18"/>
      <c r="N50" s="18"/>
    </row>
    <row r="52" customFormat="false" ht="18.75" hidden="false" customHeight="true" outlineLevel="0" collapsed="false">
      <c r="B52" s="25" t="s">
        <v>481</v>
      </c>
      <c r="C52" s="25"/>
      <c r="D52" s="25"/>
      <c r="E52" s="25"/>
      <c r="F52" s="25"/>
      <c r="G52" s="25"/>
      <c r="H52" s="25"/>
      <c r="I52" s="25"/>
      <c r="J52" s="25"/>
      <c r="K52" s="25"/>
      <c r="L52" s="25"/>
      <c r="M52" s="25"/>
      <c r="N52" s="25"/>
    </row>
    <row r="53" customFormat="false" ht="17.25" hidden="false" customHeight="true" outlineLevel="0" collapsed="false">
      <c r="B53" s="22" t="s">
        <v>380</v>
      </c>
      <c r="C53" s="23" t="n">
        <v>8</v>
      </c>
      <c r="D53" s="27" t="s">
        <v>482</v>
      </c>
      <c r="E53" s="27"/>
      <c r="F53" s="27"/>
      <c r="G53" s="27"/>
      <c r="H53" s="27"/>
      <c r="I53" s="27"/>
      <c r="J53" s="27"/>
      <c r="K53" s="27"/>
      <c r="L53" s="27"/>
      <c r="M53" s="27"/>
      <c r="N53" s="27"/>
    </row>
    <row r="54" customFormat="false" ht="30" hidden="false" customHeight="true" outlineLevel="0" collapsed="false">
      <c r="B54" s="21" t="s">
        <v>483</v>
      </c>
      <c r="C54" s="21" t="s">
        <v>484</v>
      </c>
      <c r="D54" s="21" t="s">
        <v>485</v>
      </c>
      <c r="E54" s="21" t="s">
        <v>486</v>
      </c>
      <c r="F54" s="21" t="s">
        <v>487</v>
      </c>
      <c r="G54" s="21" t="s">
        <v>488</v>
      </c>
      <c r="H54" s="21" t="s">
        <v>489</v>
      </c>
      <c r="I54" s="21" t="s">
        <v>490</v>
      </c>
      <c r="J54" s="21" t="s">
        <v>491</v>
      </c>
    </row>
    <row r="55" customFormat="false" ht="15" hidden="false" customHeight="false" outlineLevel="0" collapsed="false">
      <c r="B55" s="6" t="n">
        <v>0</v>
      </c>
      <c r="C55" s="69" t="n">
        <f aca="false">SIN($B55/C20^(2*0/C53))</f>
        <v>0</v>
      </c>
      <c r="D55" s="69" t="n">
        <f aca="false">COS($B55/C20^(2*0/C53))</f>
        <v>1</v>
      </c>
      <c r="E55" s="69" t="n">
        <f aca="false">SIN($B55/C20^(2*1/C53))</f>
        <v>0</v>
      </c>
      <c r="F55" s="69" t="n">
        <f aca="false">COS($B55/C20^(2*1/C53))</f>
        <v>1</v>
      </c>
      <c r="G55" s="69" t="n">
        <f aca="false">SIN($B55/C20^(2*2/C53))</f>
        <v>0</v>
      </c>
      <c r="H55" s="69" t="n">
        <f aca="false">COS($B55/C20^(2*2/C53))</f>
        <v>1</v>
      </c>
      <c r="I55" s="69" t="n">
        <f aca="false">SIN($B55/C20^(2*3/C53))</f>
        <v>0</v>
      </c>
      <c r="J55" s="69" t="n">
        <f aca="false">COS($B55/C20^(2*3/C53))</f>
        <v>1</v>
      </c>
    </row>
    <row r="56" customFormat="false" ht="15" hidden="false" customHeight="false" outlineLevel="0" collapsed="false">
      <c r="B56" s="6" t="n">
        <v>1</v>
      </c>
      <c r="C56" s="69" t="n">
        <f aca="false">SIN($B56/C20^(2*0/C53))</f>
        <v>0.841470984807897</v>
      </c>
      <c r="D56" s="69" t="n">
        <f aca="false">COS($B56/C20^(2*0/C53))</f>
        <v>0.54030230586814</v>
      </c>
      <c r="E56" s="69" t="n">
        <f aca="false">SIN($B56/C20^(2*1/C53))</f>
        <v>0.0998334166468282</v>
      </c>
      <c r="F56" s="69" t="n">
        <f aca="false">COS($B56/C20^(2*1/C53))</f>
        <v>0.995004165278026</v>
      </c>
      <c r="G56" s="69" t="n">
        <f aca="false">SIN($B56/C20^(2*2/C53))</f>
        <v>0.00999983333416666</v>
      </c>
      <c r="H56" s="69" t="n">
        <f aca="false">COS($B56/C20^(2*2/C53))</f>
        <v>0.999950000416665</v>
      </c>
      <c r="I56" s="69" t="n">
        <f aca="false">SIN($B56/C20^(2*3/C53))</f>
        <v>0.000999999833333342</v>
      </c>
      <c r="J56" s="69" t="n">
        <f aca="false">COS($B56/C20^(2*3/C53))</f>
        <v>0.999999500000042</v>
      </c>
    </row>
    <row r="57" customFormat="false" ht="15" hidden="false" customHeight="false" outlineLevel="0" collapsed="false">
      <c r="B57" s="6" t="n">
        <v>2</v>
      </c>
      <c r="C57" s="69" t="n">
        <f aca="false">SIN($B57/C20^(2*0/C53))</f>
        <v>0.909297426825682</v>
      </c>
      <c r="D57" s="69" t="n">
        <f aca="false">COS($B57/C20^(2*0/C53))</f>
        <v>-0.416146836547142</v>
      </c>
      <c r="E57" s="69" t="n">
        <f aca="false">SIN($B57/C20^(2*1/C53))</f>
        <v>0.198669330795061</v>
      </c>
      <c r="F57" s="69" t="n">
        <f aca="false">COS($B57/C20^(2*1/C53))</f>
        <v>0.980066577841242</v>
      </c>
      <c r="G57" s="69" t="n">
        <f aca="false">SIN($B57/C20^(2*2/C53))</f>
        <v>0.0199986666933331</v>
      </c>
      <c r="H57" s="69" t="n">
        <f aca="false">COS($B57/C20^(2*2/C53))</f>
        <v>0.999800006666578</v>
      </c>
      <c r="I57" s="69" t="n">
        <f aca="false">SIN($B57/C20^(2*3/C53))</f>
        <v>0.00199999866666693</v>
      </c>
      <c r="J57" s="69" t="n">
        <f aca="false">COS($B57/C20^(2*3/C53))</f>
        <v>0.999998000000667</v>
      </c>
    </row>
    <row r="58" customFormat="false" ht="15" hidden="false" customHeight="false" outlineLevel="0" collapsed="false">
      <c r="B58" s="6" t="n">
        <v>3</v>
      </c>
      <c r="C58" s="69" t="n">
        <f aca="false">SIN($B58/C20^(2*0/C53))</f>
        <v>0.141120008059867</v>
      </c>
      <c r="D58" s="69" t="n">
        <f aca="false">COS($B58/C20^(2*0/C53))</f>
        <v>-0.989992496600445</v>
      </c>
      <c r="E58" s="69" t="n">
        <f aca="false">SIN($B58/C20^(2*1/C53))</f>
        <v>0.29552020666134</v>
      </c>
      <c r="F58" s="69" t="n">
        <f aca="false">COS($B58/C20^(2*1/C53))</f>
        <v>0.955336489125606</v>
      </c>
      <c r="G58" s="69" t="n">
        <f aca="false">SIN($B58/C20^(2*2/C53))</f>
        <v>0.0299955002024957</v>
      </c>
      <c r="H58" s="69" t="n">
        <f aca="false">COS($B58/C20^(2*2/C53))</f>
        <v>0.999550033748988</v>
      </c>
      <c r="I58" s="69" t="n">
        <f aca="false">SIN($B58/C20^(2*3/C53))</f>
        <v>0.00299999550000203</v>
      </c>
      <c r="J58" s="69" t="n">
        <f aca="false">COS($B58/C20^(2*3/C53))</f>
        <v>0.999995500003375</v>
      </c>
    </row>
    <row r="59" customFormat="false" ht="15" hidden="false" customHeight="false" outlineLevel="0" collapsed="false">
      <c r="B59" s="6" t="n">
        <v>4</v>
      </c>
      <c r="C59" s="69" t="n">
        <f aca="false">SIN($B59/C20^(2*0/C53))</f>
        <v>-0.756802495307928</v>
      </c>
      <c r="D59" s="69" t="n">
        <f aca="false">COS($B59/C20^(2*0/C53))</f>
        <v>-0.653643620863612</v>
      </c>
      <c r="E59" s="69" t="n">
        <f aca="false">SIN($B59/C20^(2*1/C53))</f>
        <v>0.389418342308651</v>
      </c>
      <c r="F59" s="69" t="n">
        <f aca="false">COS($B59/C20^(2*1/C53))</f>
        <v>0.921060994002885</v>
      </c>
      <c r="G59" s="69" t="n">
        <f aca="false">SIN($B59/C20^(2*2/C53))</f>
        <v>0.0399893341866342</v>
      </c>
      <c r="H59" s="69" t="n">
        <f aca="false">COS($B59/C20^(2*2/C53))</f>
        <v>0.999200106660978</v>
      </c>
      <c r="I59" s="69" t="n">
        <f aca="false">SIN($B59/C20^(2*3/C53))</f>
        <v>0.00399998933334187</v>
      </c>
      <c r="J59" s="69" t="n">
        <f aca="false">COS($B59/C20^(2*3/C53))</f>
        <v>0.999992000010667</v>
      </c>
    </row>
    <row r="60" customFormat="false" ht="15" hidden="false" customHeight="false" outlineLevel="0" collapsed="false">
      <c r="B60" s="6" t="n">
        <v>5</v>
      </c>
      <c r="C60" s="69" t="n">
        <f aca="false">SIN($B60/C20^(2*0/C53))</f>
        <v>-0.958924274663139</v>
      </c>
      <c r="D60" s="69" t="n">
        <f aca="false">COS($B60/C20^(2*0/C53))</f>
        <v>0.283662185463226</v>
      </c>
      <c r="E60" s="69" t="n">
        <f aca="false">SIN($B60/C20^(2*1/C53))</f>
        <v>0.479425538604203</v>
      </c>
      <c r="F60" s="69" t="n">
        <f aca="false">COS($B60/C20^(2*1/C53))</f>
        <v>0.877582561890373</v>
      </c>
      <c r="G60" s="69" t="n">
        <f aca="false">SIN($B60/C20^(2*2/C53))</f>
        <v>0.0499791692706783</v>
      </c>
      <c r="H60" s="69" t="n">
        <f aca="false">COS($B60/C20^(2*2/C53))</f>
        <v>0.998750260394966</v>
      </c>
      <c r="I60" s="69" t="n">
        <f aca="false">SIN($B60/C20^(2*3/C53))</f>
        <v>0.00499997916669271</v>
      </c>
      <c r="J60" s="69" t="n">
        <f aca="false">COS($B60/C20^(2*3/C53))</f>
        <v>0.999987500026042</v>
      </c>
    </row>
    <row r="61" customFormat="false" ht="15" hidden="false" customHeight="false" outlineLevel="0" collapsed="false">
      <c r="B61" s="6" t="n">
        <v>6</v>
      </c>
      <c r="C61" s="69" t="n">
        <f aca="false">SIN($B61/C20^(2*0/C53))</f>
        <v>-0.279415498198926</v>
      </c>
      <c r="D61" s="69" t="n">
        <f aca="false">COS($B61/C20^(2*0/C53))</f>
        <v>0.960170286650366</v>
      </c>
      <c r="E61" s="69" t="n">
        <f aca="false">SIN($B61/C20^(2*1/C53))</f>
        <v>0.564642473395035</v>
      </c>
      <c r="F61" s="69" t="n">
        <f aca="false">COS($B61/C20^(2*1/C53))</f>
        <v>0.825335614909678</v>
      </c>
      <c r="G61" s="69" t="n">
        <f aca="false">SIN($B61/C20^(2*2/C53))</f>
        <v>0.0599640064794446</v>
      </c>
      <c r="H61" s="69" t="n">
        <f aca="false">COS($B61/C20^(2*2/C53))</f>
        <v>0.998200539935204</v>
      </c>
      <c r="I61" s="69" t="n">
        <f aca="false">SIN($B61/C20^(2*3/C53))</f>
        <v>0.0059999640000648</v>
      </c>
      <c r="J61" s="69" t="n">
        <f aca="false">COS($B61/C20^(2*3/C53))</f>
        <v>0.999982000054</v>
      </c>
    </row>
    <row r="62" customFormat="false" ht="15" hidden="false" customHeight="false" outlineLevel="0" collapsed="false">
      <c r="B62" s="6" t="n">
        <v>7</v>
      </c>
      <c r="C62" s="69" t="n">
        <f aca="false">SIN($B62/C20^(2*0/C53))</f>
        <v>0.656986598718789</v>
      </c>
      <c r="D62" s="69" t="n">
        <f aca="false">COS($B62/C20^(2*0/C53))</f>
        <v>0.753902254343305</v>
      </c>
      <c r="E62" s="69" t="n">
        <f aca="false">SIN($B62/C20^(2*1/C53))</f>
        <v>0.644217687237691</v>
      </c>
      <c r="F62" s="69" t="n">
        <f aca="false">COS($B62/C20^(2*1/C53))</f>
        <v>0.764842187284489</v>
      </c>
      <c r="G62" s="69" t="n">
        <f aca="false">SIN($B62/C20^(2*2/C53))</f>
        <v>0.0699428473375328</v>
      </c>
      <c r="H62" s="69" t="n">
        <f aca="false">COS($B62/C20^(2*2/C53))</f>
        <v>0.99755100025328</v>
      </c>
      <c r="I62" s="69" t="n">
        <f aca="false">SIN($B62/C20^(2*3/C53))</f>
        <v>0.00699994283347339</v>
      </c>
      <c r="J62" s="69" t="n">
        <f aca="false">COS($B62/C20^(2*3/C53))</f>
        <v>0.999975500100042</v>
      </c>
    </row>
    <row r="63" customFormat="false" ht="15" hidden="false" customHeight="false" outlineLevel="0" collapsed="false">
      <c r="B63" s="6" t="n">
        <v>8</v>
      </c>
      <c r="C63" s="69" t="n">
        <f aca="false">SIN($B63/C20^(2*0/C53))</f>
        <v>0.989358246623382</v>
      </c>
      <c r="D63" s="69" t="n">
        <f aca="false">COS($B63/C20^(2*0/C53))</f>
        <v>-0.145500033808614</v>
      </c>
      <c r="E63" s="69" t="n">
        <f aca="false">SIN($B63/C20^(2*1/C53))</f>
        <v>0.717356090899523</v>
      </c>
      <c r="F63" s="69" t="n">
        <f aca="false">COS($B63/C20^(2*1/C53))</f>
        <v>0.696706709347165</v>
      </c>
      <c r="G63" s="69" t="n">
        <f aca="false">SIN($B63/C20^(2*2/C53))</f>
        <v>0.0799146939691727</v>
      </c>
      <c r="H63" s="69" t="n">
        <f aca="false">COS($B63/C20^(2*2/C53))</f>
        <v>0.996801706302619</v>
      </c>
      <c r="I63" s="69" t="n">
        <f aca="false">SIN($B63/C20^(2*3/C53))</f>
        <v>0.00799991466693973</v>
      </c>
      <c r="J63" s="69" t="n">
        <f aca="false">COS($B63/C20^(2*3/C53))</f>
        <v>0.999968000170666</v>
      </c>
    </row>
    <row r="64" customFormat="false" ht="15" hidden="false" customHeight="false" outlineLevel="0" collapsed="false">
      <c r="B64" s="6" t="n">
        <v>9</v>
      </c>
      <c r="C64" s="69" t="n">
        <f aca="false">SIN($B64/C20^(2*0/C53))</f>
        <v>0.412118485241757</v>
      </c>
      <c r="D64" s="69" t="n">
        <f aca="false">COS($B64/C20^(2*0/C53))</f>
        <v>-0.911130261884677</v>
      </c>
      <c r="E64" s="69" t="n">
        <f aca="false">SIN($B64/C20^(2*1/C53))</f>
        <v>0.783326909627483</v>
      </c>
      <c r="F64" s="69" t="n">
        <f aca="false">COS($B64/C20^(2*1/C53))</f>
        <v>0.621609968270664</v>
      </c>
      <c r="G64" s="69" t="n">
        <f aca="false">SIN($B64/C20^(2*2/C53))</f>
        <v>0.089878549198011</v>
      </c>
      <c r="H64" s="69" t="n">
        <f aca="false">COS($B64/C20^(2*2/C53))</f>
        <v>0.995952733011994</v>
      </c>
      <c r="I64" s="69" t="n">
        <f aca="false">SIN($B64/C20^(2*3/C53))</f>
        <v>0.00899987850049207</v>
      </c>
      <c r="J64" s="69" t="n">
        <f aca="false">COS($B64/C20^(2*3/C53))</f>
        <v>0.999959500273374</v>
      </c>
    </row>
    <row r="65" customFormat="false" ht="15" hidden="false" customHeight="false" outlineLevel="0" collapsed="false">
      <c r="B65" s="6" t="n">
        <v>10</v>
      </c>
      <c r="C65" s="69" t="n">
        <f aca="false">SIN($B65/C20^(2*0/C53))</f>
        <v>-0.54402111088937</v>
      </c>
      <c r="D65" s="69" t="n">
        <f aca="false">COS($B65/C20^(2*0/C53))</f>
        <v>-0.839071529076452</v>
      </c>
      <c r="E65" s="69" t="n">
        <f aca="false">SIN($B65/C20^(2*1/C53))</f>
        <v>0.841470984807897</v>
      </c>
      <c r="F65" s="69" t="n">
        <f aca="false">COS($B65/C20^(2*1/C53))</f>
        <v>0.54030230586814</v>
      </c>
      <c r="G65" s="69" t="n">
        <f aca="false">SIN($B65/C20^(2*2/C53))</f>
        <v>0.0998334166468282</v>
      </c>
      <c r="H65" s="69" t="n">
        <f aca="false">COS($B65/C20^(2*2/C53))</f>
        <v>0.995004165278026</v>
      </c>
      <c r="I65" s="69" t="n">
        <f aca="false">SIN($B65/C20^(2*3/C53))</f>
        <v>0.00999983333416666</v>
      </c>
      <c r="J65" s="69" t="n">
        <f aca="false">COS($B65/C20^(2*3/C53))</f>
        <v>0.999950000416665</v>
      </c>
    </row>
    <row r="66" customFormat="false" ht="15" hidden="false" customHeight="false" outlineLevel="0" collapsed="false">
      <c r="B66" s="6" t="n">
        <v>11</v>
      </c>
      <c r="C66" s="69" t="n">
        <f aca="false">SIN($B66/C20^(2*0/C53))</f>
        <v>-0.999990206550704</v>
      </c>
      <c r="D66" s="69" t="n">
        <f aca="false">COS($B66/C20^(2*0/C53))</f>
        <v>0.00442569798805079</v>
      </c>
      <c r="E66" s="69" t="n">
        <f aca="false">SIN($B66/C20^(2*1/C53))</f>
        <v>0.891207360061435</v>
      </c>
      <c r="F66" s="69" t="n">
        <f aca="false">COS($B66/C20^(2*1/C53))</f>
        <v>0.453596121425577</v>
      </c>
      <c r="G66" s="69" t="n">
        <f aca="false">SIN($B66/C20^(2*2/C53))</f>
        <v>0.109778300837175</v>
      </c>
      <c r="H66" s="69" t="n">
        <f aca="false">COS($B66/C20^(2*2/C53))</f>
        <v>0.993956097956697</v>
      </c>
      <c r="I66" s="69" t="n">
        <f aca="false">SIN($B66/C20^(2*3/C53))</f>
        <v>0.0109997781680088</v>
      </c>
      <c r="J66" s="69" t="n">
        <f aca="false">COS($B66/C20^(2*3/C53))</f>
        <v>0.999939500610039</v>
      </c>
    </row>
    <row r="67" customFormat="false" ht="15" hidden="false" customHeight="false" outlineLevel="0" collapsed="false">
      <c r="B67" s="6" t="n">
        <v>12</v>
      </c>
      <c r="C67" s="69" t="n">
        <f aca="false">SIN($B67/C20^(2*0/C53))</f>
        <v>-0.536572918000435</v>
      </c>
      <c r="D67" s="69" t="n">
        <f aca="false">COS($B67/C20^(2*0/C53))</f>
        <v>0.843853958732492</v>
      </c>
      <c r="E67" s="69" t="n">
        <f aca="false">SIN($B67/C20^(2*1/C53))</f>
        <v>0.932039085967226</v>
      </c>
      <c r="F67" s="69" t="n">
        <f aca="false">COS($B67/C20^(2*1/C53))</f>
        <v>0.362357754476674</v>
      </c>
      <c r="G67" s="69" t="n">
        <f aca="false">SIN($B67/C20^(2*2/C53))</f>
        <v>0.119712207288919</v>
      </c>
      <c r="H67" s="69" t="n">
        <f aca="false">COS($B67/C20^(2*2/C53))</f>
        <v>0.992808635853866</v>
      </c>
      <c r="I67" s="69" t="n">
        <f aca="false">SIN($B67/C20^(2*3/C53))</f>
        <v>0.0119997120020736</v>
      </c>
      <c r="J67" s="69" t="n">
        <f aca="false">COS($B67/C20^(2*3/C53))</f>
        <v>0.999928000863996</v>
      </c>
    </row>
    <row r="68" customFormat="false" ht="15" hidden="false" customHeight="false" outlineLevel="0" collapsed="false">
      <c r="B68" s="6" t="n">
        <v>13</v>
      </c>
      <c r="C68" s="69" t="n">
        <f aca="false">SIN($B68/C20^(2*0/C53))</f>
        <v>0.420167036826641</v>
      </c>
      <c r="D68" s="69" t="n">
        <f aca="false">COS($B68/C20^(2*0/C53))</f>
        <v>0.907446781450196</v>
      </c>
      <c r="E68" s="69" t="n">
        <f aca="false">SIN($B68/C20^(2*1/C53))</f>
        <v>0.963558185417193</v>
      </c>
      <c r="F68" s="69" t="n">
        <f aca="false">COS($B68/C20^(2*1/C53))</f>
        <v>0.267498828624587</v>
      </c>
      <c r="G68" s="69" t="n">
        <f aca="false">SIN($B68/C20^(2*2/C53))</f>
        <v>0.129634142619695</v>
      </c>
      <c r="H68" s="69" t="n">
        <f aca="false">COS($B68/C20^(2*2/C53))</f>
        <v>0.991561893714788</v>
      </c>
      <c r="I68" s="69" t="n">
        <f aca="false">SIN($B68/C20^(2*3/C53))</f>
        <v>0.0129996338364274</v>
      </c>
      <c r="J68" s="69" t="n">
        <f aca="false">COS($B68/C20^(2*3/C53))</f>
        <v>0.999915501190035</v>
      </c>
    </row>
    <row r="69" customFormat="false" ht="15" hidden="false" customHeight="false" outlineLevel="0" collapsed="false">
      <c r="B69" s="6" t="n">
        <v>14</v>
      </c>
      <c r="C69" s="69" t="n">
        <f aca="false">SIN($B69/C20^(2*0/C53))</f>
        <v>0.99060735569487</v>
      </c>
      <c r="D69" s="69" t="n">
        <f aca="false">COS($B69/C20^(2*0/C53))</f>
        <v>0.136737218207834</v>
      </c>
      <c r="E69" s="69" t="n">
        <f aca="false">SIN($B69/C20^(2*1/C53))</f>
        <v>0.98544972998846</v>
      </c>
      <c r="F69" s="69" t="n">
        <f aca="false">COS($B69/C20^(2*1/C53))</f>
        <v>0.169967142900241</v>
      </c>
      <c r="G69" s="69" t="n">
        <f aca="false">SIN($B69/C20^(2*2/C53))</f>
        <v>0.139543114644237</v>
      </c>
      <c r="H69" s="69" t="n">
        <f aca="false">COS($B69/C20^(2*2/C53))</f>
        <v>0.990215996212637</v>
      </c>
      <c r="I69" s="69" t="n">
        <f aca="false">SIN($B69/C20^(2*3/C53))</f>
        <v>0.0139995426711485</v>
      </c>
      <c r="J69" s="69" t="n">
        <f aca="false">COS($B69/C20^(2*3/C53))</f>
        <v>0.999902001600656</v>
      </c>
    </row>
    <row r="70" customFormat="false" ht="15" hidden="false" customHeight="false" outlineLevel="0" collapsed="false">
      <c r="B70" s="6" t="n">
        <v>15</v>
      </c>
      <c r="C70" s="69" t="n">
        <f aca="false">SIN($B70/C20^(2*0/C53))</f>
        <v>0.650287840157117</v>
      </c>
      <c r="D70" s="69" t="n">
        <f aca="false">COS($B70/C20^(2*0/C53))</f>
        <v>-0.759687912858821</v>
      </c>
      <c r="E70" s="69" t="n">
        <f aca="false">SIN($B70/C20^(2*1/C53))</f>
        <v>0.997494986604054</v>
      </c>
      <c r="F70" s="69" t="n">
        <f aca="false">COS($B70/C20^(2*1/C53))</f>
        <v>0.0707372016677029</v>
      </c>
      <c r="G70" s="69" t="n">
        <f aca="false">SIN($B70/C20^(2*2/C53))</f>
        <v>0.149438132473599</v>
      </c>
      <c r="H70" s="69" t="n">
        <f aca="false">COS($B70/C20^(2*2/C53))</f>
        <v>0.988771077936042</v>
      </c>
      <c r="I70" s="69" t="n">
        <f aca="false">SIN($B70/C20^(2*3/C53))</f>
        <v>0.0149994375063281</v>
      </c>
      <c r="J70" s="69" t="n">
        <f aca="false">COS($B70/C20^(2*3/C53))</f>
        <v>0.999887502109359</v>
      </c>
    </row>
    <row r="89" customFormat="false" ht="17.25" hidden="false" customHeight="true" outlineLevel="0" collapsed="false">
      <c r="B89" s="43" t="s">
        <v>492</v>
      </c>
      <c r="C89" s="43"/>
      <c r="D89" s="43"/>
      <c r="E89" s="43"/>
      <c r="F89" s="43"/>
      <c r="G89" s="43"/>
      <c r="H89" s="43"/>
      <c r="I89" s="43"/>
      <c r="J89" s="43"/>
      <c r="K89" s="43"/>
      <c r="L89" s="43"/>
      <c r="M89" s="43"/>
      <c r="N89" s="43"/>
    </row>
    <row r="90" customFormat="false" ht="17.25" hidden="false" customHeight="true" outlineLevel="0" collapsed="false">
      <c r="B90" s="11" t="s">
        <v>493</v>
      </c>
      <c r="C90" s="11" t="s">
        <v>494</v>
      </c>
      <c r="D90" s="11"/>
      <c r="E90" s="11"/>
      <c r="F90" s="11" t="s">
        <v>495</v>
      </c>
      <c r="G90" s="11"/>
      <c r="H90" s="11"/>
      <c r="I90" s="11" t="s">
        <v>135</v>
      </c>
      <c r="J90" s="11"/>
      <c r="K90" s="11"/>
      <c r="L90" s="11"/>
      <c r="M90" s="11"/>
      <c r="N90" s="11"/>
    </row>
    <row r="91" customFormat="false" ht="17.25" hidden="false" customHeight="true" outlineLevel="0" collapsed="false">
      <c r="B91" s="14" t="n">
        <v>0</v>
      </c>
      <c r="C91" s="36" t="n">
        <f aca="false">C20^(2*B91/C53)</f>
        <v>1</v>
      </c>
      <c r="D91" s="36"/>
      <c r="E91" s="36"/>
      <c r="F91" s="70" t="n">
        <f aca="false">2*PI()*C91</f>
        <v>6.28318530717959</v>
      </c>
      <c r="G91" s="70"/>
      <c r="H91" s="70"/>
      <c r="I91" s="13" t="s">
        <v>496</v>
      </c>
      <c r="J91" s="13"/>
      <c r="K91" s="13"/>
      <c r="L91" s="13"/>
      <c r="M91" s="13"/>
      <c r="N91" s="13"/>
    </row>
    <row r="92" customFormat="false" ht="17.25" hidden="false" customHeight="true" outlineLevel="0" collapsed="false">
      <c r="B92" s="17" t="n">
        <v>1</v>
      </c>
      <c r="C92" s="37" t="n">
        <f aca="false">C20^(2*B92/C53)</f>
        <v>10</v>
      </c>
      <c r="D92" s="37"/>
      <c r="E92" s="37"/>
      <c r="F92" s="71" t="n">
        <f aca="false">2*PI()*C92</f>
        <v>62.8318530717959</v>
      </c>
      <c r="G92" s="71"/>
      <c r="H92" s="71"/>
      <c r="I92" s="16" t="s">
        <v>497</v>
      </c>
      <c r="J92" s="16"/>
      <c r="K92" s="16"/>
      <c r="L92" s="16"/>
      <c r="M92" s="16"/>
      <c r="N92" s="16"/>
    </row>
    <row r="93" customFormat="false" ht="17.25" hidden="false" customHeight="true" outlineLevel="0" collapsed="false">
      <c r="B93" s="14" t="n">
        <v>2</v>
      </c>
      <c r="C93" s="36" t="n">
        <f aca="false">C20^(2*B93/C53)</f>
        <v>100</v>
      </c>
      <c r="D93" s="36"/>
      <c r="E93" s="36"/>
      <c r="F93" s="70" t="n">
        <f aca="false">2*PI()*C93</f>
        <v>628.318530717959</v>
      </c>
      <c r="G93" s="70"/>
      <c r="H93" s="70"/>
      <c r="I93" s="13" t="s">
        <v>498</v>
      </c>
      <c r="J93" s="13"/>
      <c r="K93" s="13"/>
      <c r="L93" s="13"/>
      <c r="M93" s="13"/>
      <c r="N93" s="13"/>
    </row>
    <row r="94" customFormat="false" ht="17.25" hidden="false" customHeight="true" outlineLevel="0" collapsed="false">
      <c r="B94" s="17" t="n">
        <v>3</v>
      </c>
      <c r="C94" s="37" t="n">
        <f aca="false">C20^(2*B94/C53)</f>
        <v>1000</v>
      </c>
      <c r="D94" s="37"/>
      <c r="E94" s="37"/>
      <c r="F94" s="71" t="n">
        <f aca="false">2*PI()*C94</f>
        <v>6283.18530717959</v>
      </c>
      <c r="G94" s="71"/>
      <c r="H94" s="71"/>
      <c r="I94" s="16" t="s">
        <v>499</v>
      </c>
      <c r="J94" s="16"/>
      <c r="K94" s="16"/>
      <c r="L94" s="16"/>
      <c r="M94" s="16"/>
      <c r="N94" s="16"/>
    </row>
    <row r="96" customFormat="false" ht="18.75" hidden="false" customHeight="true" outlineLevel="0" collapsed="false">
      <c r="B96" s="25" t="s">
        <v>500</v>
      </c>
      <c r="C96" s="25"/>
      <c r="D96" s="25"/>
      <c r="E96" s="25"/>
      <c r="F96" s="25"/>
      <c r="G96" s="25"/>
      <c r="H96" s="25"/>
      <c r="I96" s="25"/>
      <c r="J96" s="25"/>
      <c r="K96" s="25"/>
      <c r="L96" s="25"/>
      <c r="M96" s="25"/>
      <c r="N96" s="25"/>
    </row>
    <row r="97" customFormat="false" ht="31.5" hidden="false" customHeight="true" outlineLevel="0" collapsed="false">
      <c r="B97" s="5" t="s">
        <v>501</v>
      </c>
      <c r="C97" s="5"/>
      <c r="D97" s="5"/>
      <c r="E97" s="5"/>
      <c r="F97" s="5"/>
      <c r="G97" s="5"/>
      <c r="H97" s="5"/>
      <c r="I97" s="5"/>
      <c r="J97" s="5"/>
      <c r="K97" s="5"/>
      <c r="L97" s="5"/>
      <c r="M97" s="5"/>
      <c r="N97" s="5"/>
    </row>
    <row r="98" customFormat="false" ht="20.25" hidden="false" customHeight="true" outlineLevel="0" collapsed="false">
      <c r="B98" s="24" t="s">
        <v>502</v>
      </c>
      <c r="C98" s="24"/>
      <c r="D98" s="24"/>
      <c r="E98" s="24"/>
      <c r="F98" s="24"/>
      <c r="G98" s="24"/>
      <c r="H98" s="24"/>
      <c r="I98" s="24"/>
      <c r="J98" s="24"/>
      <c r="K98" s="24"/>
      <c r="L98" s="24"/>
      <c r="M98" s="24"/>
      <c r="N98" s="24"/>
    </row>
    <row r="99" customFormat="false" ht="15.75" hidden="false" customHeight="true" outlineLevel="0" collapsed="false">
      <c r="B99" s="22" t="s">
        <v>503</v>
      </c>
      <c r="C99" s="23" t="n">
        <v>3</v>
      </c>
    </row>
    <row r="100" customFormat="false" ht="15.75" hidden="false" customHeight="true" outlineLevel="0" collapsed="false">
      <c r="B100" s="22" t="s">
        <v>504</v>
      </c>
      <c r="C100" s="23" t="n">
        <v>2</v>
      </c>
    </row>
    <row r="101" customFormat="false" ht="17.25" hidden="false" customHeight="true" outlineLevel="0" collapsed="false">
      <c r="B101" s="22" t="s">
        <v>505</v>
      </c>
      <c r="C101" s="72" t="n">
        <v>1</v>
      </c>
      <c r="D101" s="27" t="s">
        <v>506</v>
      </c>
      <c r="E101" s="27"/>
      <c r="F101" s="27"/>
      <c r="G101" s="27"/>
      <c r="H101" s="27"/>
      <c r="I101" s="27"/>
      <c r="J101" s="27"/>
      <c r="K101" s="27"/>
      <c r="L101" s="27"/>
      <c r="M101" s="27"/>
      <c r="N101" s="27"/>
    </row>
    <row r="102" customFormat="false" ht="15.75" hidden="false" customHeight="true" outlineLevel="0" collapsed="false">
      <c r="B102" s="22" t="s">
        <v>507</v>
      </c>
      <c r="C102" s="40" t="n">
        <f aca="false">SIN(C101*C99)</f>
        <v>0.141120008059867</v>
      </c>
    </row>
    <row r="103" customFormat="false" ht="15.75" hidden="false" customHeight="true" outlineLevel="0" collapsed="false">
      <c r="B103" s="22" t="s">
        <v>508</v>
      </c>
      <c r="C103" s="40" t="n">
        <f aca="false">COS(C101*C99)</f>
        <v>-0.989992496600445</v>
      </c>
    </row>
    <row r="104" customFormat="false" ht="17.25" hidden="false" customHeight="true" outlineLevel="0" collapsed="false">
      <c r="B104" s="22" t="s">
        <v>509</v>
      </c>
      <c r="C104" s="40" t="n">
        <f aca="false">COS(C101*C100)</f>
        <v>-0.416146836547142</v>
      </c>
      <c r="D104" s="27" t="s">
        <v>510</v>
      </c>
      <c r="E104" s="27"/>
      <c r="F104" s="27"/>
      <c r="G104" s="27"/>
      <c r="H104" s="27"/>
      <c r="I104" s="27"/>
      <c r="J104" s="27"/>
      <c r="K104" s="27"/>
      <c r="L104" s="27"/>
      <c r="M104" s="27"/>
      <c r="N104" s="27"/>
    </row>
    <row r="105" customFormat="false" ht="17.25" hidden="false" customHeight="true" outlineLevel="0" collapsed="false">
      <c r="B105" s="22" t="s">
        <v>511</v>
      </c>
      <c r="C105" s="40" t="n">
        <f aca="false">SIN(C101*C100)</f>
        <v>0.909297426825682</v>
      </c>
      <c r="D105" s="27" t="s">
        <v>510</v>
      </c>
      <c r="E105" s="27"/>
      <c r="F105" s="27"/>
      <c r="G105" s="27"/>
      <c r="H105" s="27"/>
      <c r="I105" s="27"/>
      <c r="J105" s="27"/>
      <c r="K105" s="27"/>
      <c r="L105" s="27"/>
      <c r="M105" s="27"/>
      <c r="N105" s="27"/>
    </row>
    <row r="106" customFormat="false" ht="17.25" hidden="false" customHeight="true" outlineLevel="0" collapsed="false">
      <c r="B106" s="11"/>
      <c r="C106" s="11" t="s">
        <v>512</v>
      </c>
      <c r="D106" s="11"/>
      <c r="E106" s="11"/>
      <c r="F106" s="11" t="s">
        <v>513</v>
      </c>
      <c r="G106" s="11"/>
      <c r="H106" s="11"/>
      <c r="I106" s="11" t="s">
        <v>514</v>
      </c>
      <c r="J106" s="11"/>
      <c r="K106" s="11"/>
    </row>
    <row r="107" customFormat="false" ht="17.25" hidden="false" customHeight="true" outlineLevel="0" collapsed="false">
      <c r="B107" s="13" t="s">
        <v>515</v>
      </c>
      <c r="C107" s="73" t="n">
        <f aca="false">SIN(C101*(C99+C100))</f>
        <v>-0.958924274663139</v>
      </c>
      <c r="D107" s="73"/>
      <c r="E107" s="73"/>
      <c r="F107" s="74" t="n">
        <f aca="false">C102*C104+C103*C105</f>
        <v>-0.958924274663139</v>
      </c>
      <c r="G107" s="74"/>
      <c r="H107" s="74"/>
      <c r="I107" s="13" t="str">
        <f aca="false">IF(ABS(C107-F107)&lt;0.000000001,"✔ identical","✘")</f>
        <v>✔ identical</v>
      </c>
      <c r="J107" s="13"/>
      <c r="K107" s="13"/>
    </row>
    <row r="108" customFormat="false" ht="17.25" hidden="false" customHeight="true" outlineLevel="0" collapsed="false">
      <c r="B108" s="16" t="s">
        <v>516</v>
      </c>
      <c r="C108" s="75" t="n">
        <f aca="false">COS(C101*(C99+C100))</f>
        <v>0.283662185463226</v>
      </c>
      <c r="D108" s="75"/>
      <c r="E108" s="75"/>
      <c r="F108" s="74" t="n">
        <f aca="false">C103*C104-C102*C105</f>
        <v>0.283662185463226</v>
      </c>
      <c r="G108" s="74"/>
      <c r="H108" s="74"/>
      <c r="I108" s="16" t="str">
        <f aca="false">IF(ABS(C108-F108)&lt;0.000000001,"✔ identical","✘")</f>
        <v>✔ identical</v>
      </c>
      <c r="J108" s="16"/>
      <c r="K108" s="16"/>
    </row>
    <row r="110" customFormat="false" ht="17.25" hidden="false" customHeight="true" outlineLevel="0" collapsed="false">
      <c r="B110" s="43" t="s">
        <v>517</v>
      </c>
      <c r="C110" s="43"/>
      <c r="D110" s="43"/>
      <c r="E110" s="43"/>
      <c r="F110" s="43"/>
      <c r="G110" s="43"/>
      <c r="H110" s="43"/>
      <c r="I110" s="43"/>
      <c r="J110" s="43"/>
      <c r="K110" s="43"/>
      <c r="L110" s="43"/>
      <c r="M110" s="43"/>
      <c r="N110" s="43"/>
    </row>
    <row r="111" customFormat="false" ht="17.25" hidden="false" customHeight="true" outlineLevel="0" collapsed="false">
      <c r="B111" s="11" t="s">
        <v>518</v>
      </c>
      <c r="C111" s="11" t="s">
        <v>519</v>
      </c>
      <c r="D111" s="11"/>
      <c r="E111" s="11"/>
      <c r="F111" s="11" t="s">
        <v>520</v>
      </c>
      <c r="G111" s="11"/>
      <c r="H111" s="11"/>
    </row>
    <row r="112" customFormat="false" ht="17.25" hidden="false" customHeight="true" outlineLevel="0" collapsed="false">
      <c r="B112" s="13" t="n">
        <v>1</v>
      </c>
      <c r="C112" s="49" t="n">
        <f aca="false">SUMPRODUCT(C55:J55,C56:J56)</f>
        <v>3.53525597156287</v>
      </c>
      <c r="D112" s="49"/>
      <c r="E112" s="49"/>
      <c r="F112" s="49" t="n">
        <f aca="false">SUMPRODUCT(C60:J60,C61:J61)</f>
        <v>3.53525597156287</v>
      </c>
      <c r="G112" s="49"/>
      <c r="H112" s="49"/>
    </row>
    <row r="113" customFormat="false" ht="17.25" hidden="false" customHeight="true" outlineLevel="0" collapsed="false">
      <c r="B113" s="16" t="n">
        <v>2</v>
      </c>
      <c r="C113" s="50" t="n">
        <f aca="false">SUMPRODUCT(C55:J55,C57:J57)</f>
        <v>2.56371774796134</v>
      </c>
      <c r="D113" s="50"/>
      <c r="E113" s="50"/>
      <c r="F113" s="50" t="n">
        <f aca="false">SUMPRODUCT(C60:J60,C62:J62)</f>
        <v>2.56371774796134</v>
      </c>
      <c r="G113" s="50"/>
      <c r="H113" s="50"/>
    </row>
    <row r="114" customFormat="false" ht="17.25" hidden="false" customHeight="true" outlineLevel="0" collapsed="false">
      <c r="B114" s="13" t="n">
        <v>3</v>
      </c>
      <c r="C114" s="49" t="n">
        <f aca="false">SUMPRODUCT(C55:J55,C58:J58)</f>
        <v>1.96488952627752</v>
      </c>
      <c r="D114" s="49"/>
      <c r="E114" s="49"/>
      <c r="F114" s="49" t="n">
        <f aca="false">SUMPRODUCT(C60:J60,C63:J63)</f>
        <v>1.96488952627752</v>
      </c>
      <c r="G114" s="49"/>
      <c r="H114" s="49"/>
    </row>
    <row r="115" customFormat="false" ht="17.25" hidden="false" customHeight="true" outlineLevel="0" collapsed="false">
      <c r="B115" s="16" t="n">
        <v>4</v>
      </c>
      <c r="C115" s="50" t="n">
        <f aca="false">SUMPRODUCT(C55:J55,C59:J59)</f>
        <v>2.26660947981092</v>
      </c>
      <c r="D115" s="50"/>
      <c r="E115" s="50"/>
      <c r="F115" s="50" t="n">
        <f aca="false">SUMPRODUCT(C60:J60,C64:J64)</f>
        <v>2.26660947981092</v>
      </c>
      <c r="G115" s="50"/>
      <c r="H115" s="50"/>
    </row>
    <row r="116" customFormat="false" ht="17.25" hidden="false" customHeight="true" outlineLevel="0" collapsed="false">
      <c r="B116" s="13" t="n">
        <v>5</v>
      </c>
      <c r="C116" s="49" t="n">
        <f aca="false">SUMPRODUCT(C55:J55,C60:J60)</f>
        <v>3.15998250777461</v>
      </c>
      <c r="D116" s="49"/>
      <c r="E116" s="49"/>
      <c r="F116" s="49" t="n">
        <f aca="false">SUMPRODUCT(C60:J60,C65:J65)</f>
        <v>3.15998250777461</v>
      </c>
      <c r="G116" s="49"/>
      <c r="H116" s="49"/>
    </row>
    <row r="117" customFormat="false" ht="17.25" hidden="false" customHeight="true" outlineLevel="0" collapsed="false">
      <c r="B117" s="19" t="s">
        <v>521</v>
      </c>
      <c r="C117" s="19"/>
      <c r="D117" s="19"/>
      <c r="E117" s="19"/>
      <c r="F117" s="19"/>
      <c r="G117" s="19"/>
      <c r="H117" s="19"/>
      <c r="I117" s="19"/>
      <c r="J117" s="19"/>
      <c r="K117" s="19"/>
      <c r="L117" s="19"/>
      <c r="M117" s="19"/>
      <c r="N117" s="19"/>
    </row>
    <row r="118" customFormat="false" ht="31.5" hidden="false" customHeight="true" outlineLevel="0" collapsed="false">
      <c r="B118" s="18" t="s">
        <v>522</v>
      </c>
      <c r="C118" s="18"/>
      <c r="D118" s="18"/>
      <c r="E118" s="18"/>
      <c r="F118" s="18"/>
      <c r="G118" s="18"/>
      <c r="H118" s="18"/>
      <c r="I118" s="18"/>
      <c r="J118" s="18"/>
      <c r="K118" s="18"/>
      <c r="L118" s="18"/>
      <c r="M118" s="18"/>
      <c r="N118" s="18"/>
    </row>
    <row r="119" customFormat="false" ht="18.75" hidden="false" customHeight="true" outlineLevel="0" collapsed="false">
      <c r="B119" s="25" t="s">
        <v>279</v>
      </c>
      <c r="C119" s="25"/>
      <c r="D119" s="25"/>
      <c r="E119" s="25"/>
      <c r="F119" s="25"/>
      <c r="G119" s="25"/>
      <c r="H119" s="25"/>
      <c r="I119" s="25"/>
      <c r="J119" s="25"/>
      <c r="K119" s="25"/>
      <c r="L119" s="25"/>
      <c r="M119" s="25"/>
      <c r="N119" s="25"/>
    </row>
    <row r="120" customFormat="false" ht="17.25" hidden="false" customHeight="true" outlineLevel="0" collapsed="false">
      <c r="B120" s="43" t="s">
        <v>523</v>
      </c>
      <c r="C120" s="43"/>
      <c r="D120" s="43"/>
      <c r="E120" s="43"/>
      <c r="F120" s="43"/>
      <c r="G120" s="43"/>
      <c r="H120" s="43"/>
      <c r="I120" s="43"/>
      <c r="J120" s="43"/>
      <c r="K120" s="43"/>
      <c r="L120" s="43"/>
      <c r="M120" s="43"/>
      <c r="N120" s="43"/>
    </row>
    <row r="121" customFormat="false" ht="17.25" hidden="false" customHeight="true" outlineLevel="0" collapsed="false">
      <c r="B121" s="44" t="s">
        <v>524</v>
      </c>
      <c r="C121" s="44"/>
      <c r="D121" s="44"/>
      <c r="E121" s="44"/>
      <c r="F121" s="44"/>
      <c r="G121" s="44"/>
      <c r="H121" s="44"/>
      <c r="I121" s="44"/>
      <c r="J121" s="44"/>
      <c r="K121" s="44"/>
      <c r="L121" s="44"/>
      <c r="M121" s="44"/>
      <c r="N121" s="44"/>
    </row>
    <row r="122" customFormat="false" ht="17.25" hidden="false" customHeight="true" outlineLevel="0" collapsed="false">
      <c r="B122" s="43" t="s">
        <v>525</v>
      </c>
      <c r="C122" s="43"/>
      <c r="D122" s="43"/>
      <c r="E122" s="43"/>
      <c r="F122" s="43"/>
      <c r="G122" s="43"/>
      <c r="H122" s="43"/>
      <c r="I122" s="43"/>
      <c r="J122" s="43"/>
      <c r="K122" s="43"/>
      <c r="L122" s="43"/>
      <c r="M122" s="43"/>
      <c r="N122" s="43"/>
    </row>
    <row r="123" customFormat="false" ht="17.25" hidden="false" customHeight="true" outlineLevel="0" collapsed="false">
      <c r="B123" s="44" t="s">
        <v>526</v>
      </c>
      <c r="C123" s="44"/>
      <c r="D123" s="44"/>
      <c r="E123" s="44"/>
      <c r="F123" s="44"/>
      <c r="G123" s="44"/>
      <c r="H123" s="44"/>
      <c r="I123" s="44"/>
      <c r="J123" s="44"/>
      <c r="K123" s="44"/>
      <c r="L123" s="44"/>
      <c r="M123" s="44"/>
      <c r="N123" s="44"/>
    </row>
    <row r="124" customFormat="false" ht="17.25" hidden="false" customHeight="true" outlineLevel="0" collapsed="false">
      <c r="B124" s="43" t="s">
        <v>527</v>
      </c>
      <c r="C124" s="43"/>
      <c r="D124" s="43"/>
      <c r="E124" s="43"/>
      <c r="F124" s="43"/>
      <c r="G124" s="43"/>
      <c r="H124" s="43"/>
      <c r="I124" s="43"/>
      <c r="J124" s="43"/>
      <c r="K124" s="43"/>
      <c r="L124" s="43"/>
      <c r="M124" s="43"/>
      <c r="N124" s="43"/>
    </row>
    <row r="125" customFormat="false" ht="17.25" hidden="false" customHeight="true" outlineLevel="0" collapsed="false">
      <c r="B125" s="44" t="s">
        <v>528</v>
      </c>
      <c r="C125" s="44"/>
      <c r="D125" s="44"/>
      <c r="E125" s="44"/>
      <c r="F125" s="44"/>
      <c r="G125" s="44"/>
      <c r="H125" s="44"/>
      <c r="I125" s="44"/>
      <c r="J125" s="44"/>
      <c r="K125" s="44"/>
      <c r="L125" s="44"/>
      <c r="M125" s="44"/>
      <c r="N125" s="44"/>
    </row>
  </sheetData>
  <mergeCells count="92">
    <mergeCell ref="B1:N1"/>
    <mergeCell ref="B2:N2"/>
    <mergeCell ref="B4:N4"/>
    <mergeCell ref="B5:N5"/>
    <mergeCell ref="B6:N6"/>
    <mergeCell ref="B7:N7"/>
    <mergeCell ref="B8:N8"/>
    <mergeCell ref="B9:N9"/>
    <mergeCell ref="C10:K10"/>
    <mergeCell ref="L10:N10"/>
    <mergeCell ref="C11:K11"/>
    <mergeCell ref="L11:N11"/>
    <mergeCell ref="C12:K12"/>
    <mergeCell ref="L12:N12"/>
    <mergeCell ref="C13:K13"/>
    <mergeCell ref="L13:N13"/>
    <mergeCell ref="C14:K14"/>
    <mergeCell ref="L14:N14"/>
    <mergeCell ref="C15:K15"/>
    <mergeCell ref="L15:N15"/>
    <mergeCell ref="B16:N16"/>
    <mergeCell ref="B17:N17"/>
    <mergeCell ref="B18:N18"/>
    <mergeCell ref="D19:N19"/>
    <mergeCell ref="D20:N20"/>
    <mergeCell ref="D21:N21"/>
    <mergeCell ref="D22:N22"/>
    <mergeCell ref="C31:N31"/>
    <mergeCell ref="C32:N32"/>
    <mergeCell ref="B33:N33"/>
    <mergeCell ref="B35:N35"/>
    <mergeCell ref="B36:N36"/>
    <mergeCell ref="B37:F37"/>
    <mergeCell ref="G37:K37"/>
    <mergeCell ref="B43:F43"/>
    <mergeCell ref="C49:N49"/>
    <mergeCell ref="B50:N50"/>
    <mergeCell ref="B52:N52"/>
    <mergeCell ref="D53:N53"/>
    <mergeCell ref="B89:N89"/>
    <mergeCell ref="C90:E90"/>
    <mergeCell ref="F90:H90"/>
    <mergeCell ref="I90:N90"/>
    <mergeCell ref="C91:E91"/>
    <mergeCell ref="F91:H91"/>
    <mergeCell ref="I91:N91"/>
    <mergeCell ref="C92:E92"/>
    <mergeCell ref="F92:H92"/>
    <mergeCell ref="I92:N92"/>
    <mergeCell ref="C93:E93"/>
    <mergeCell ref="F93:H93"/>
    <mergeCell ref="I93:N93"/>
    <mergeCell ref="C94:E94"/>
    <mergeCell ref="F94:H94"/>
    <mergeCell ref="I94:N94"/>
    <mergeCell ref="B96:N96"/>
    <mergeCell ref="B97:N97"/>
    <mergeCell ref="B98:N98"/>
    <mergeCell ref="D101:N101"/>
    <mergeCell ref="D104:N104"/>
    <mergeCell ref="D105:N105"/>
    <mergeCell ref="C106:E106"/>
    <mergeCell ref="F106:H106"/>
    <mergeCell ref="I106:K106"/>
    <mergeCell ref="C107:E107"/>
    <mergeCell ref="F107:H107"/>
    <mergeCell ref="I107:K107"/>
    <mergeCell ref="C108:E108"/>
    <mergeCell ref="F108:H108"/>
    <mergeCell ref="I108:K108"/>
    <mergeCell ref="B110:N110"/>
    <mergeCell ref="C111:E111"/>
    <mergeCell ref="F111:H111"/>
    <mergeCell ref="C112:E112"/>
    <mergeCell ref="F112:H112"/>
    <mergeCell ref="C113:E113"/>
    <mergeCell ref="F113:H113"/>
    <mergeCell ref="C114:E114"/>
    <mergeCell ref="F114:H114"/>
    <mergeCell ref="C115:E115"/>
    <mergeCell ref="F115:H115"/>
    <mergeCell ref="C116:E116"/>
    <mergeCell ref="F116:H116"/>
    <mergeCell ref="B117:N117"/>
    <mergeCell ref="B118:N118"/>
    <mergeCell ref="B119:N119"/>
    <mergeCell ref="B120:N120"/>
    <mergeCell ref="B121:N121"/>
    <mergeCell ref="B122:N122"/>
    <mergeCell ref="B123:N123"/>
    <mergeCell ref="B124:N124"/>
    <mergeCell ref="B125:N125"/>
  </mergeCells>
  <conditionalFormatting sqref="C55:J70">
    <cfRule type="colorScale" priority="2">
      <colorScale>
        <cfvo type="num" val="-1"/>
        <cfvo type="num" val="0"/>
        <cfvo type="num" val="1"/>
        <color rgb="FFF8696B"/>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529</v>
      </c>
      <c r="C1" s="1"/>
      <c r="D1" s="1"/>
      <c r="E1" s="1"/>
      <c r="F1" s="1"/>
      <c r="G1" s="1"/>
      <c r="H1" s="1"/>
      <c r="I1" s="1"/>
      <c r="J1" s="1"/>
      <c r="K1" s="1"/>
      <c r="L1" s="1"/>
      <c r="M1" s="1"/>
      <c r="N1" s="1"/>
    </row>
    <row r="2" customFormat="false" ht="17.25" hidden="false" customHeight="true" outlineLevel="0" collapsed="false">
      <c r="B2" s="2" t="s">
        <v>530</v>
      </c>
      <c r="C2" s="2"/>
      <c r="D2" s="2"/>
      <c r="E2" s="2"/>
      <c r="F2" s="2"/>
      <c r="G2" s="2"/>
      <c r="H2" s="2"/>
      <c r="I2" s="2"/>
      <c r="J2" s="2"/>
      <c r="K2" s="2"/>
      <c r="L2" s="2"/>
      <c r="M2" s="2"/>
      <c r="N2" s="2"/>
    </row>
    <row r="4" customFormat="false" ht="34.5" hidden="false" customHeight="true" outlineLevel="0" collapsed="false">
      <c r="B4" s="3" t="s">
        <v>531</v>
      </c>
      <c r="C4" s="3"/>
      <c r="D4" s="3"/>
      <c r="E4" s="3"/>
      <c r="F4" s="3"/>
      <c r="G4" s="3"/>
      <c r="H4" s="3"/>
      <c r="I4" s="3"/>
      <c r="J4" s="3"/>
      <c r="K4" s="3"/>
      <c r="L4" s="3"/>
      <c r="M4" s="3"/>
      <c r="N4" s="3"/>
    </row>
    <row r="5" customFormat="false" ht="31.5" hidden="false" customHeight="true" outlineLevel="0" collapsed="false">
      <c r="B5" s="19" t="s">
        <v>532</v>
      </c>
      <c r="C5" s="19"/>
      <c r="D5" s="19"/>
      <c r="E5" s="19"/>
      <c r="F5" s="19"/>
      <c r="G5" s="19"/>
      <c r="H5" s="19"/>
      <c r="I5" s="19"/>
      <c r="J5" s="19"/>
      <c r="K5" s="19"/>
      <c r="L5" s="19"/>
      <c r="M5" s="19"/>
      <c r="N5" s="19"/>
    </row>
    <row r="6" customFormat="false" ht="31.5" hidden="false" customHeight="true" outlineLevel="0" collapsed="false">
      <c r="B6" s="45" t="s">
        <v>533</v>
      </c>
      <c r="C6" s="45"/>
      <c r="D6" s="45"/>
      <c r="E6" s="45"/>
      <c r="F6" s="45"/>
      <c r="G6" s="45"/>
      <c r="H6" s="45"/>
      <c r="I6" s="45"/>
      <c r="J6" s="45"/>
      <c r="K6" s="45"/>
      <c r="L6" s="45"/>
      <c r="M6" s="45"/>
      <c r="N6" s="45"/>
    </row>
    <row r="7" customFormat="false" ht="21.75" hidden="false" customHeight="true" outlineLevel="0" collapsed="false">
      <c r="B7" s="4" t="s">
        <v>534</v>
      </c>
      <c r="C7" s="4"/>
      <c r="D7" s="4"/>
      <c r="E7" s="4"/>
      <c r="F7" s="4"/>
      <c r="G7" s="4"/>
      <c r="H7" s="4"/>
      <c r="I7" s="4"/>
      <c r="J7" s="4"/>
      <c r="K7" s="4"/>
      <c r="L7" s="4"/>
      <c r="M7" s="4"/>
      <c r="N7" s="4"/>
    </row>
    <row r="8" customFormat="false" ht="17.25" hidden="false" customHeight="true" outlineLevel="0" collapsed="false">
      <c r="B8" s="5" t="s">
        <v>535</v>
      </c>
      <c r="C8" s="5"/>
      <c r="D8" s="5"/>
      <c r="E8" s="5"/>
      <c r="F8" s="5"/>
      <c r="G8" s="5"/>
      <c r="H8" s="5"/>
      <c r="I8" s="5"/>
      <c r="J8" s="5"/>
      <c r="K8" s="5"/>
      <c r="L8" s="5"/>
      <c r="M8" s="5"/>
      <c r="N8" s="5"/>
    </row>
    <row r="9" customFormat="false" ht="17.25" hidden="false" customHeight="true" outlineLevel="0" collapsed="false">
      <c r="B9" s="20" t="s">
        <v>536</v>
      </c>
      <c r="C9" s="20"/>
      <c r="D9" s="20"/>
    </row>
    <row r="10" customFormat="false" ht="15" hidden="false" customHeight="false" outlineLevel="0" collapsed="false">
      <c r="B10" s="16"/>
      <c r="C10" s="21" t="s">
        <v>102</v>
      </c>
      <c r="D10" s="21" t="s">
        <v>103</v>
      </c>
    </row>
    <row r="11" customFormat="false" ht="15" hidden="false" customHeight="false" outlineLevel="0" collapsed="false">
      <c r="B11" s="22"/>
      <c r="C11" s="35" t="n">
        <v>1</v>
      </c>
      <c r="D11" s="35" t="n">
        <v>0</v>
      </c>
    </row>
    <row r="13" customFormat="false" ht="17.25" hidden="false" customHeight="true" outlineLevel="0" collapsed="false">
      <c r="B13" s="20" t="s">
        <v>537</v>
      </c>
      <c r="C13" s="20"/>
      <c r="D13" s="20"/>
      <c r="F13" s="20" t="s">
        <v>538</v>
      </c>
      <c r="G13" s="20"/>
    </row>
    <row r="14" customFormat="false" ht="15" hidden="false" customHeight="false" outlineLevel="0" collapsed="false">
      <c r="B14" s="16"/>
      <c r="C14" s="21" t="s">
        <v>102</v>
      </c>
      <c r="D14" s="21" t="s">
        <v>103</v>
      </c>
      <c r="F14" s="16"/>
      <c r="G14" s="21" t="s">
        <v>539</v>
      </c>
    </row>
    <row r="15" customFormat="false" ht="15" hidden="false" customHeight="false" outlineLevel="0" collapsed="false">
      <c r="B15" s="22" t="s">
        <v>104</v>
      </c>
      <c r="C15" s="35" t="n">
        <v>2</v>
      </c>
      <c r="D15" s="35" t="n">
        <v>0</v>
      </c>
      <c r="F15" s="22" t="s">
        <v>104</v>
      </c>
      <c r="G15" s="35" t="n">
        <v>30</v>
      </c>
    </row>
    <row r="16" customFormat="false" ht="15" hidden="false" customHeight="false" outlineLevel="0" collapsed="false">
      <c r="B16" s="22" t="s">
        <v>105</v>
      </c>
      <c r="C16" s="35" t="n">
        <v>0</v>
      </c>
      <c r="D16" s="35" t="n">
        <v>2</v>
      </c>
      <c r="F16" s="22" t="s">
        <v>105</v>
      </c>
      <c r="G16" s="35" t="n">
        <v>10</v>
      </c>
    </row>
    <row r="17" customFormat="false" ht="15" hidden="false" customHeight="false" outlineLevel="0" collapsed="false">
      <c r="B17" s="22" t="s">
        <v>106</v>
      </c>
      <c r="C17" s="35" t="n">
        <v>1</v>
      </c>
      <c r="D17" s="35" t="n">
        <v>1</v>
      </c>
      <c r="F17" s="22" t="s">
        <v>106</v>
      </c>
      <c r="G17" s="35" t="n">
        <v>20</v>
      </c>
    </row>
    <row r="19" customFormat="false" ht="17.25" hidden="false" customHeight="true" outlineLevel="0" collapsed="false">
      <c r="B19" s="76" t="s">
        <v>540</v>
      </c>
      <c r="C19" s="5" t="s">
        <v>541</v>
      </c>
      <c r="D19" s="5"/>
      <c r="E19" s="5"/>
      <c r="F19" s="5"/>
      <c r="G19" s="5"/>
      <c r="H19" s="5"/>
      <c r="I19" s="5"/>
      <c r="J19" s="5"/>
      <c r="K19" s="5"/>
      <c r="L19" s="5"/>
      <c r="M19" s="5"/>
      <c r="N19" s="5"/>
    </row>
    <row r="20" customFormat="false" ht="17.25" hidden="false" customHeight="true" outlineLevel="0" collapsed="false">
      <c r="B20" s="20" t="s">
        <v>204</v>
      </c>
      <c r="C20" s="20"/>
    </row>
    <row r="21" customFormat="false" ht="15" hidden="false" customHeight="false" outlineLevel="0" collapsed="false">
      <c r="B21" s="16"/>
      <c r="C21" s="21" t="s">
        <v>542</v>
      </c>
    </row>
    <row r="22" customFormat="false" ht="15" hidden="false" customHeight="false" outlineLevel="0" collapsed="false">
      <c r="B22" s="22" t="s">
        <v>104</v>
      </c>
      <c r="C22" s="77" t="n">
        <f aca="false">C11*C15+D11*D15</f>
        <v>2</v>
      </c>
    </row>
    <row r="23" customFormat="false" ht="15" hidden="false" customHeight="false" outlineLevel="0" collapsed="false">
      <c r="B23" s="22" t="s">
        <v>105</v>
      </c>
      <c r="C23" s="77" t="n">
        <f aca="false">C11*C16+D11*D16</f>
        <v>0</v>
      </c>
    </row>
    <row r="24" customFormat="false" ht="15" hidden="false" customHeight="false" outlineLevel="0" collapsed="false">
      <c r="B24" s="22" t="s">
        <v>106</v>
      </c>
      <c r="C24" s="77" t="n">
        <f aca="false">C11*C17+D11*D17</f>
        <v>1</v>
      </c>
    </row>
    <row r="26" customFormat="false" ht="15.75" hidden="false" customHeight="true" outlineLevel="0" collapsed="false">
      <c r="B26" s="10" t="s">
        <v>104</v>
      </c>
      <c r="C26" s="29" t="str">
        <f aca="false">"q·k_mango = "&amp;IF(ROUND(C11,3)&lt;0,"("&amp;ROUND(C11,3)&amp;")",ROUND(C11,3)&amp;"")&amp;"×"&amp;IF(ROUND(C15,3)&lt;0,"("&amp;ROUND(C15,3)&amp;")",ROUND(C15,3)&amp;"")&amp;" + "&amp;IF(ROUND(D11,3)&lt;0,"("&amp;ROUND(D11,3)&amp;")",ROUND(D11,3)&amp;"")&amp;"×"&amp;IF(ROUND(D15,3)&lt;0,"("&amp;ROUND(D15,3)&amp;")",ROUND(D15,3)&amp;"")&amp;"  =  "&amp;IF(ROUND(C22,3)&lt;0,"("&amp;ROUND(C22,3)&amp;")",ROUND(C22,3)&amp;"")</f>
        <v>q·k_mango = 1×2 + 0×0  =  2</v>
      </c>
      <c r="D26" s="29"/>
      <c r="E26" s="29"/>
      <c r="F26" s="29"/>
      <c r="G26" s="29"/>
      <c r="H26" s="29"/>
      <c r="I26" s="29"/>
      <c r="J26" s="29"/>
      <c r="K26" s="29"/>
      <c r="L26" s="29"/>
      <c r="M26" s="29"/>
      <c r="N26" s="29"/>
    </row>
    <row r="27" customFormat="false" ht="15.75" hidden="false" customHeight="true" outlineLevel="0" collapsed="false">
      <c r="B27" s="10" t="s">
        <v>105</v>
      </c>
      <c r="C27" s="29" t="str">
        <f aca="false">"q·k_carrot = "&amp;IF(ROUND(C11,3)&lt;0,"("&amp;ROUND(C11,3)&amp;")",ROUND(C11,3)&amp;"")&amp;"×"&amp;IF(ROUND(C16,3)&lt;0,"("&amp;ROUND(C16,3)&amp;")",ROUND(C16,3)&amp;"")&amp;" + "&amp;IF(ROUND(D11,3)&lt;0,"("&amp;ROUND(D11,3)&amp;")",ROUND(D11,3)&amp;"")&amp;"×"&amp;IF(ROUND(D16,3)&lt;0,"("&amp;ROUND(D16,3)&amp;")",ROUND(D16,3)&amp;"")&amp;"  =  "&amp;IF(ROUND(C23,3)&lt;0,"("&amp;ROUND(C23,3)&amp;")",ROUND(C23,3)&amp;"")</f>
        <v>q·k_carrot = 1×0 + 0×2  =  0</v>
      </c>
      <c r="D27" s="29"/>
      <c r="E27" s="29"/>
      <c r="F27" s="29"/>
      <c r="G27" s="29"/>
      <c r="H27" s="29"/>
      <c r="I27" s="29"/>
      <c r="J27" s="29"/>
      <c r="K27" s="29"/>
      <c r="L27" s="29"/>
      <c r="M27" s="29"/>
      <c r="N27" s="29"/>
    </row>
    <row r="28" customFormat="false" ht="15.75" hidden="false" customHeight="true" outlineLevel="0" collapsed="false">
      <c r="B28" s="10" t="s">
        <v>106</v>
      </c>
      <c r="C28" s="29" t="str">
        <f aca="false">"q·k_apple = "&amp;IF(ROUND(C11,3)&lt;0,"("&amp;ROUND(C11,3)&amp;")",ROUND(C11,3)&amp;"")&amp;"×"&amp;IF(ROUND(C17,3)&lt;0,"("&amp;ROUND(C17,3)&amp;")",ROUND(C17,3)&amp;"")&amp;" + "&amp;IF(ROUND(D11,3)&lt;0,"("&amp;ROUND(D11,3)&amp;")",ROUND(D11,3)&amp;"")&amp;"×"&amp;IF(ROUND(D17,3)&lt;0,"("&amp;ROUND(D17,3)&amp;")",ROUND(D17,3)&amp;"")&amp;"  =  "&amp;IF(ROUND(C24,3)&lt;0,"("&amp;ROUND(C24,3)&amp;")",ROUND(C24,3)&amp;"")</f>
        <v>q·k_apple = 1×1 + 0×1  =  1</v>
      </c>
      <c r="D28" s="29"/>
      <c r="E28" s="29"/>
      <c r="F28" s="29"/>
      <c r="G28" s="29"/>
      <c r="H28" s="29"/>
      <c r="I28" s="29"/>
      <c r="J28" s="29"/>
      <c r="K28" s="29"/>
      <c r="L28" s="29"/>
      <c r="M28" s="29"/>
      <c r="N28" s="29"/>
    </row>
    <row r="29" customFormat="false" ht="17.25" hidden="false" customHeight="true" outlineLevel="0" collapsed="false">
      <c r="B29" s="76" t="s">
        <v>543</v>
      </c>
      <c r="C29" s="5" t="s">
        <v>544</v>
      </c>
      <c r="D29" s="5"/>
      <c r="E29" s="5"/>
      <c r="F29" s="5"/>
      <c r="G29" s="5"/>
      <c r="H29" s="5"/>
      <c r="I29" s="5"/>
      <c r="J29" s="5"/>
      <c r="K29" s="5"/>
      <c r="L29" s="5"/>
      <c r="M29" s="5"/>
      <c r="N29" s="5"/>
    </row>
    <row r="30" customFormat="false" ht="17.25" hidden="false" customHeight="true" outlineLevel="0" collapsed="false">
      <c r="B30" s="20" t="s">
        <v>545</v>
      </c>
      <c r="C30" s="20"/>
    </row>
    <row r="31" customFormat="false" ht="15" hidden="false" customHeight="false" outlineLevel="0" collapsed="false">
      <c r="B31" s="16"/>
      <c r="C31" s="21" t="s">
        <v>546</v>
      </c>
    </row>
    <row r="32" customFormat="false" ht="15" hidden="false" customHeight="false" outlineLevel="0" collapsed="false">
      <c r="B32" s="22" t="s">
        <v>104</v>
      </c>
      <c r="C32" s="39" t="n">
        <f aca="false">EXP(C22)</f>
        <v>7.38905609893065</v>
      </c>
    </row>
    <row r="33" customFormat="false" ht="15" hidden="false" customHeight="false" outlineLevel="0" collapsed="false">
      <c r="B33" s="22" t="s">
        <v>105</v>
      </c>
      <c r="C33" s="39" t="n">
        <f aca="false">EXP(C23)</f>
        <v>1</v>
      </c>
    </row>
    <row r="34" customFormat="false" ht="15" hidden="false" customHeight="false" outlineLevel="0" collapsed="false">
      <c r="B34" s="22" t="s">
        <v>106</v>
      </c>
      <c r="C34" s="39" t="n">
        <f aca="false">EXP(C24)</f>
        <v>2.71828182845905</v>
      </c>
    </row>
    <row r="36" customFormat="false" ht="15.75" hidden="false" customHeight="true" outlineLevel="0" collapsed="false">
      <c r="B36" s="22" t="s">
        <v>547</v>
      </c>
      <c r="C36" s="40" t="n">
        <f aca="false">SUM(C32:C34)</f>
        <v>11.1073379273897</v>
      </c>
    </row>
    <row r="37" customFormat="false" ht="17.25" hidden="false" customHeight="true" outlineLevel="0" collapsed="false">
      <c r="B37" s="20" t="s">
        <v>548</v>
      </c>
      <c r="C37" s="20"/>
    </row>
    <row r="38" customFormat="false" ht="15" hidden="false" customHeight="false" outlineLevel="0" collapsed="false">
      <c r="B38" s="16"/>
      <c r="C38" s="21" t="s">
        <v>549</v>
      </c>
    </row>
    <row r="39" customFormat="false" ht="15" hidden="false" customHeight="false" outlineLevel="0" collapsed="false">
      <c r="B39" s="22" t="s">
        <v>104</v>
      </c>
      <c r="C39" s="41" t="n">
        <f aca="false">C32/C36</f>
        <v>0.665240955774822</v>
      </c>
    </row>
    <row r="40" customFormat="false" ht="15" hidden="false" customHeight="false" outlineLevel="0" collapsed="false">
      <c r="B40" s="22" t="s">
        <v>105</v>
      </c>
      <c r="C40" s="41" t="n">
        <f aca="false">C33/C36</f>
        <v>0.0900305731703805</v>
      </c>
    </row>
    <row r="41" customFormat="false" ht="15" hidden="false" customHeight="false" outlineLevel="0" collapsed="false">
      <c r="B41" s="22" t="s">
        <v>106</v>
      </c>
      <c r="C41" s="41" t="n">
        <f aca="false">C34/C36</f>
        <v>0.244728471054798</v>
      </c>
    </row>
    <row r="43" customFormat="false" ht="17.25" hidden="false" customHeight="true" outlineLevel="0" collapsed="false">
      <c r="B43" s="76" t="s">
        <v>550</v>
      </c>
      <c r="C43" s="5" t="s">
        <v>551</v>
      </c>
      <c r="D43" s="5"/>
      <c r="E43" s="5"/>
      <c r="F43" s="5"/>
      <c r="G43" s="5"/>
      <c r="H43" s="5"/>
      <c r="I43" s="5"/>
      <c r="J43" s="5"/>
      <c r="K43" s="5"/>
      <c r="L43" s="5"/>
      <c r="M43" s="5"/>
      <c r="N43" s="5"/>
    </row>
    <row r="44" customFormat="false" ht="17.25" hidden="false" customHeight="true" outlineLevel="0" collapsed="false">
      <c r="B44" s="22" t="s">
        <v>552</v>
      </c>
      <c r="C44" s="78" t="n">
        <f aca="false">C39*G15+C40*G16+C41*G17</f>
        <v>25.7521038260444</v>
      </c>
      <c r="D44" s="27" t="s">
        <v>553</v>
      </c>
      <c r="E44" s="27"/>
      <c r="F44" s="27"/>
      <c r="G44" s="27"/>
      <c r="H44" s="27"/>
      <c r="I44" s="27"/>
      <c r="J44" s="27"/>
      <c r="K44" s="27"/>
      <c r="L44" s="27"/>
      <c r="M44" s="27"/>
      <c r="N44" s="27"/>
    </row>
    <row r="45" customFormat="false" ht="15.75" hidden="false" customHeight="true" outlineLevel="0" collapsed="false">
      <c r="B45" s="10" t="s">
        <v>15</v>
      </c>
      <c r="C45" s="29" t="str">
        <f aca="false">"output = "&amp;IF(ROUND(C39,3)&lt;0,"("&amp;ROUND(C39,3)&amp;")",ROUND(C39,3)&amp;"")&amp;"×"&amp;IF(ROUND(G15,3)&lt;0,"("&amp;ROUND(G15,3)&amp;")",ROUND(G15,3)&amp;"")&amp;" + "&amp;IF(ROUND(C40,3)&lt;0,"("&amp;ROUND(C40,3)&amp;")",ROUND(C40,3)&amp;"")&amp;"×"&amp;IF(ROUND(G16,3)&lt;0,"("&amp;ROUND(G16,3)&amp;")",ROUND(G16,3)&amp;"")&amp;" + "&amp;IF(ROUND(C41,3)&lt;0,"("&amp;ROUND(C41,3)&amp;")",ROUND(C41,3)&amp;"")&amp;"×"&amp;IF(ROUND(G17,3)&lt;0,"("&amp;ROUND(G17,3)&amp;")",ROUND(G17,3)&amp;"")&amp;"  =  "&amp;IF(ROUND(C44,3)&lt;0,"("&amp;ROUND(C44,3)&amp;")",ROUND(C44,3)&amp;"")</f>
        <v>output = 0.665×30 + 0.09×10 + 0.245×20  =  25.752</v>
      </c>
      <c r="D45" s="29"/>
      <c r="E45" s="29"/>
      <c r="F45" s="29"/>
      <c r="G45" s="29"/>
      <c r="H45" s="29"/>
      <c r="I45" s="29"/>
      <c r="J45" s="29"/>
      <c r="K45" s="29"/>
      <c r="L45" s="29"/>
      <c r="M45" s="29"/>
      <c r="N45" s="29"/>
    </row>
    <row r="46" customFormat="false" ht="17.25" hidden="false" customHeight="true" outlineLevel="0" collapsed="false">
      <c r="B46" s="22" t="s">
        <v>554</v>
      </c>
      <c r="C46" s="79" t="n">
        <f aca="false">INDEX(G15:G17,MATCH(MAX(C22:C24),C22:C24,0))</f>
        <v>30</v>
      </c>
      <c r="D46" s="27" t="s">
        <v>555</v>
      </c>
      <c r="E46" s="27"/>
      <c r="F46" s="27"/>
      <c r="G46" s="27"/>
      <c r="H46" s="27"/>
      <c r="I46" s="27"/>
      <c r="J46" s="27"/>
      <c r="K46" s="27"/>
      <c r="L46" s="27"/>
      <c r="M46" s="27"/>
      <c r="N46" s="27"/>
    </row>
    <row r="47" customFormat="false" ht="31.5" hidden="false" customHeight="true" outlineLevel="0" collapsed="false">
      <c r="B47" s="5" t="s">
        <v>556</v>
      </c>
      <c r="C47" s="5"/>
      <c r="D47" s="5"/>
      <c r="E47" s="5"/>
      <c r="F47" s="5"/>
      <c r="G47" s="5"/>
      <c r="H47" s="5"/>
      <c r="I47" s="5"/>
      <c r="J47" s="5"/>
      <c r="K47" s="5"/>
      <c r="L47" s="5"/>
      <c r="M47" s="5"/>
      <c r="N47" s="5"/>
    </row>
    <row r="48" customFormat="false" ht="17.25" hidden="false" customHeight="true" outlineLevel="0" collapsed="false">
      <c r="B48" s="80" t="s">
        <v>557</v>
      </c>
      <c r="C48" s="80"/>
      <c r="D48" s="80"/>
      <c r="E48" s="80"/>
      <c r="F48" s="80"/>
      <c r="G48" s="80"/>
      <c r="H48" s="80"/>
      <c r="I48" s="80"/>
      <c r="J48" s="80"/>
      <c r="K48" s="80"/>
      <c r="L48" s="80"/>
      <c r="M48" s="80"/>
      <c r="N48" s="80"/>
    </row>
    <row r="50" customFormat="false" ht="21.75" hidden="false" customHeight="true" outlineLevel="0" collapsed="false">
      <c r="B50" s="4" t="s">
        <v>558</v>
      </c>
      <c r="C50" s="4"/>
      <c r="D50" s="4"/>
      <c r="E50" s="4"/>
      <c r="F50" s="4"/>
      <c r="G50" s="4"/>
      <c r="H50" s="4"/>
      <c r="I50" s="4"/>
      <c r="J50" s="4"/>
      <c r="K50" s="4"/>
      <c r="L50" s="4"/>
      <c r="M50" s="4"/>
      <c r="N50" s="4"/>
    </row>
    <row r="51" customFormat="false" ht="20.25" hidden="false" customHeight="true" outlineLevel="0" collapsed="false">
      <c r="B51" s="24" t="s">
        <v>559</v>
      </c>
      <c r="C51" s="24"/>
      <c r="D51" s="24"/>
      <c r="E51" s="24"/>
      <c r="F51" s="24"/>
      <c r="G51" s="24"/>
      <c r="H51" s="24"/>
      <c r="I51" s="24"/>
      <c r="J51" s="24"/>
      <c r="K51" s="24"/>
      <c r="L51" s="24"/>
      <c r="M51" s="24"/>
      <c r="N51" s="24"/>
    </row>
    <row r="52" customFormat="false" ht="31.5" hidden="false" customHeight="true" outlineLevel="0" collapsed="false">
      <c r="B52" s="5" t="s">
        <v>560</v>
      </c>
      <c r="C52" s="5"/>
      <c r="D52" s="5"/>
      <c r="E52" s="5"/>
      <c r="F52" s="5"/>
      <c r="G52" s="5"/>
      <c r="H52" s="5"/>
      <c r="I52" s="5"/>
      <c r="J52" s="5"/>
      <c r="K52" s="5"/>
      <c r="L52" s="5"/>
      <c r="M52" s="5"/>
      <c r="N52" s="5"/>
    </row>
    <row r="53" customFormat="false" ht="17.25" hidden="false" customHeight="true" outlineLevel="0" collapsed="false">
      <c r="B53" s="11" t="s">
        <v>374</v>
      </c>
      <c r="C53" s="11" t="s">
        <v>375</v>
      </c>
      <c r="D53" s="11"/>
      <c r="E53" s="11"/>
      <c r="F53" s="11"/>
      <c r="G53" s="11"/>
      <c r="H53" s="11"/>
      <c r="I53" s="11"/>
      <c r="J53" s="11"/>
      <c r="K53" s="11"/>
      <c r="L53" s="11" t="s">
        <v>376</v>
      </c>
      <c r="M53" s="11"/>
      <c r="N53" s="11"/>
    </row>
    <row r="54" customFormat="false" ht="17.25" hidden="false" customHeight="true" outlineLevel="0" collapsed="false">
      <c r="B54" s="55" t="s">
        <v>561</v>
      </c>
      <c r="C54" s="13" t="s">
        <v>562</v>
      </c>
      <c r="D54" s="13"/>
      <c r="E54" s="13"/>
      <c r="F54" s="13"/>
      <c r="G54" s="13"/>
      <c r="H54" s="13"/>
      <c r="I54" s="13"/>
      <c r="J54" s="13"/>
      <c r="K54" s="13"/>
      <c r="L54" s="13" t="s">
        <v>563</v>
      </c>
      <c r="M54" s="13"/>
      <c r="N54" s="13"/>
    </row>
    <row r="55" customFormat="false" ht="17.25" hidden="false" customHeight="true" outlineLevel="0" collapsed="false">
      <c r="B55" s="10" t="s">
        <v>564</v>
      </c>
      <c r="C55" s="16" t="s">
        <v>565</v>
      </c>
      <c r="D55" s="16"/>
      <c r="E55" s="16"/>
      <c r="F55" s="16"/>
      <c r="G55" s="16"/>
      <c r="H55" s="16"/>
      <c r="I55" s="16"/>
      <c r="J55" s="16"/>
      <c r="K55" s="16"/>
      <c r="L55" s="16" t="s">
        <v>566</v>
      </c>
      <c r="M55" s="16"/>
      <c r="N55" s="16"/>
    </row>
    <row r="56" customFormat="false" ht="17.25" hidden="false" customHeight="true" outlineLevel="0" collapsed="false">
      <c r="B56" s="55" t="s">
        <v>567</v>
      </c>
      <c r="C56" s="13" t="s">
        <v>568</v>
      </c>
      <c r="D56" s="13"/>
      <c r="E56" s="13"/>
      <c r="F56" s="13"/>
      <c r="G56" s="13"/>
      <c r="H56" s="13"/>
      <c r="I56" s="13"/>
      <c r="J56" s="13"/>
      <c r="K56" s="13"/>
      <c r="L56" s="13" t="s">
        <v>566</v>
      </c>
      <c r="M56" s="13"/>
      <c r="N56" s="13"/>
    </row>
    <row r="57" customFormat="false" ht="17.25" hidden="false" customHeight="true" outlineLevel="0" collapsed="false">
      <c r="B57" s="10" t="s">
        <v>569</v>
      </c>
      <c r="C57" s="16" t="s">
        <v>570</v>
      </c>
      <c r="D57" s="16"/>
      <c r="E57" s="16"/>
      <c r="F57" s="16"/>
      <c r="G57" s="16"/>
      <c r="H57" s="16"/>
      <c r="I57" s="16"/>
      <c r="J57" s="16"/>
      <c r="K57" s="16"/>
      <c r="L57" s="16" t="s">
        <v>571</v>
      </c>
      <c r="M57" s="16"/>
      <c r="N57" s="16"/>
    </row>
    <row r="58" customFormat="false" ht="21.75" hidden="false" customHeight="true" outlineLevel="0" collapsed="false">
      <c r="B58" s="4" t="s">
        <v>572</v>
      </c>
      <c r="C58" s="4"/>
      <c r="D58" s="4"/>
      <c r="E58" s="4"/>
      <c r="F58" s="4"/>
      <c r="G58" s="4"/>
      <c r="H58" s="4"/>
      <c r="I58" s="4"/>
      <c r="J58" s="4"/>
      <c r="K58" s="4"/>
      <c r="L58" s="4"/>
      <c r="M58" s="4"/>
      <c r="N58" s="4"/>
    </row>
    <row r="59" customFormat="false" ht="31.5" hidden="false" customHeight="true" outlineLevel="0" collapsed="false">
      <c r="B59" s="5" t="s">
        <v>573</v>
      </c>
      <c r="C59" s="5"/>
      <c r="D59" s="5"/>
      <c r="E59" s="5"/>
      <c r="F59" s="5"/>
      <c r="G59" s="5"/>
      <c r="H59" s="5"/>
      <c r="I59" s="5"/>
      <c r="J59" s="5"/>
      <c r="K59" s="5"/>
      <c r="L59" s="5"/>
      <c r="M59" s="5"/>
      <c r="N59" s="5"/>
    </row>
    <row r="60" customFormat="false" ht="17.25" hidden="false" customHeight="true" outlineLevel="0" collapsed="false">
      <c r="B60" s="20" t="s">
        <v>574</v>
      </c>
      <c r="C60" s="20"/>
      <c r="D60" s="20"/>
      <c r="E60" s="20"/>
      <c r="F60" s="20"/>
    </row>
    <row r="61" customFormat="false" ht="15" hidden="false" customHeight="false" outlineLevel="0" collapsed="false">
      <c r="B61" s="16"/>
      <c r="C61" s="21" t="s">
        <v>389</v>
      </c>
      <c r="D61" s="21" t="s">
        <v>390</v>
      </c>
      <c r="E61" s="21" t="s">
        <v>391</v>
      </c>
      <c r="F61" s="21" t="s">
        <v>392</v>
      </c>
    </row>
    <row r="62" customFormat="false" ht="15" hidden="false" customHeight="false" outlineLevel="0" collapsed="false">
      <c r="B62" s="22" t="str">
        <f aca="false">'03 Embeddings'!$B$36</f>
        <v>the</v>
      </c>
      <c r="C62" s="68" t="n">
        <f aca="false">'04 Positional Enc'!$C$45</f>
        <v>1</v>
      </c>
      <c r="D62" s="68" t="n">
        <f aca="false">'04 Positional Enc'!$D$45</f>
        <v>0.6</v>
      </c>
      <c r="E62" s="68" t="n">
        <f aca="false">'04 Positional Enc'!$E$45</f>
        <v>0.2</v>
      </c>
      <c r="F62" s="68" t="n">
        <f aca="false">'04 Positional Enc'!$F$45</f>
        <v>1</v>
      </c>
    </row>
    <row r="63" customFormat="false" ht="15" hidden="false" customHeight="false" outlineLevel="0" collapsed="false">
      <c r="B63" s="22" t="str">
        <f aca="false">'03 Embeddings'!$B$37</f>
        <v>cat</v>
      </c>
      <c r="C63" s="68" t="n">
        <f aca="false">'04 Positional Enc'!$C$46</f>
        <v>0.241470984807897</v>
      </c>
      <c r="D63" s="68" t="n">
        <f aca="false">'04 Positional Enc'!$D$46</f>
        <v>2.14030230586814</v>
      </c>
      <c r="E63" s="68" t="n">
        <f aca="false">'04 Positional Enc'!$E$46</f>
        <v>0.809999833334167</v>
      </c>
      <c r="F63" s="68" t="n">
        <f aca="false">'04 Positional Enc'!$F$46</f>
        <v>0.799950000416665</v>
      </c>
    </row>
    <row r="64" customFormat="false" ht="15" hidden="false" customHeight="false" outlineLevel="0" collapsed="false">
      <c r="B64" s="22" t="str">
        <f aca="false">'03 Embeddings'!$B$38</f>
        <v>sat</v>
      </c>
      <c r="C64" s="68" t="n">
        <f aca="false">'04 Positional Enc'!$C$47</f>
        <v>1.30929742682568</v>
      </c>
      <c r="D64" s="68" t="n">
        <f aca="false">'04 Positional Enc'!$D$47</f>
        <v>-0.216146836547142</v>
      </c>
      <c r="E64" s="68" t="n">
        <f aca="false">'04 Positional Enc'!$E$47</f>
        <v>-1.18000133330667</v>
      </c>
      <c r="F64" s="68" t="n">
        <f aca="false">'04 Positional Enc'!$F$47</f>
        <v>1.99980000666658</v>
      </c>
    </row>
    <row r="66" customFormat="false" ht="17.25" hidden="false" customHeight="true" outlineLevel="0" collapsed="false">
      <c r="B66" s="20" t="s">
        <v>575</v>
      </c>
      <c r="C66" s="20"/>
      <c r="D66" s="20"/>
      <c r="E66" s="20"/>
      <c r="F66" s="20"/>
      <c r="H66" s="20" t="s">
        <v>576</v>
      </c>
      <c r="I66" s="20"/>
      <c r="J66" s="20"/>
      <c r="K66" s="20"/>
      <c r="L66" s="20"/>
    </row>
    <row r="67" customFormat="false" ht="15" hidden="false" customHeight="false" outlineLevel="0" collapsed="false">
      <c r="B67" s="16"/>
      <c r="C67" s="21" t="s">
        <v>577</v>
      </c>
      <c r="D67" s="21" t="s">
        <v>578</v>
      </c>
      <c r="E67" s="21" t="s">
        <v>579</v>
      </c>
      <c r="F67" s="21" t="s">
        <v>580</v>
      </c>
      <c r="H67" s="16"/>
      <c r="I67" s="21" t="s">
        <v>581</v>
      </c>
      <c r="J67" s="21" t="s">
        <v>582</v>
      </c>
      <c r="K67" s="21" t="s">
        <v>583</v>
      </c>
      <c r="L67" s="21" t="s">
        <v>584</v>
      </c>
    </row>
    <row r="68" customFormat="false" ht="15" hidden="false" customHeight="false" outlineLevel="0" collapsed="false">
      <c r="B68" s="22" t="s">
        <v>389</v>
      </c>
      <c r="C68" s="35" t="n">
        <v>1</v>
      </c>
      <c r="D68" s="35" t="n">
        <v>0</v>
      </c>
      <c r="E68" s="35" t="n">
        <v>1</v>
      </c>
      <c r="F68" s="35" t="n">
        <v>0</v>
      </c>
      <c r="H68" s="22" t="s">
        <v>389</v>
      </c>
      <c r="I68" s="35" t="n">
        <v>1</v>
      </c>
      <c r="J68" s="35" t="n">
        <v>0</v>
      </c>
      <c r="K68" s="35" t="n">
        <v>0</v>
      </c>
      <c r="L68" s="35" t="n">
        <v>1</v>
      </c>
    </row>
    <row r="69" customFormat="false" ht="15" hidden="false" customHeight="false" outlineLevel="0" collapsed="false">
      <c r="B69" s="22" t="s">
        <v>390</v>
      </c>
      <c r="C69" s="35" t="n">
        <v>0</v>
      </c>
      <c r="D69" s="35" t="n">
        <v>1</v>
      </c>
      <c r="E69" s="35" t="n">
        <v>0</v>
      </c>
      <c r="F69" s="35" t="n">
        <v>-1</v>
      </c>
      <c r="H69" s="22" t="s">
        <v>390</v>
      </c>
      <c r="I69" s="35" t="n">
        <v>0</v>
      </c>
      <c r="J69" s="35" t="n">
        <v>1</v>
      </c>
      <c r="K69" s="35" t="n">
        <v>1</v>
      </c>
      <c r="L69" s="35" t="n">
        <v>0</v>
      </c>
    </row>
    <row r="70" customFormat="false" ht="15" hidden="false" customHeight="false" outlineLevel="0" collapsed="false">
      <c r="B70" s="22" t="s">
        <v>391</v>
      </c>
      <c r="C70" s="35" t="n">
        <v>1</v>
      </c>
      <c r="D70" s="35" t="n">
        <v>0</v>
      </c>
      <c r="E70" s="35" t="n">
        <v>-1</v>
      </c>
      <c r="F70" s="35" t="n">
        <v>0</v>
      </c>
      <c r="H70" s="22" t="s">
        <v>391</v>
      </c>
      <c r="I70" s="35" t="n">
        <v>0</v>
      </c>
      <c r="J70" s="35" t="n">
        <v>1</v>
      </c>
      <c r="K70" s="35" t="n">
        <v>-1</v>
      </c>
      <c r="L70" s="35" t="n">
        <v>0</v>
      </c>
    </row>
    <row r="71" customFormat="false" ht="15" hidden="false" customHeight="false" outlineLevel="0" collapsed="false">
      <c r="B71" s="22" t="s">
        <v>392</v>
      </c>
      <c r="C71" s="35" t="n">
        <v>0</v>
      </c>
      <c r="D71" s="35" t="n">
        <v>-1</v>
      </c>
      <c r="E71" s="35" t="n">
        <v>0</v>
      </c>
      <c r="F71" s="35" t="n">
        <v>1</v>
      </c>
      <c r="H71" s="22" t="s">
        <v>392</v>
      </c>
      <c r="I71" s="35" t="n">
        <v>1</v>
      </c>
      <c r="J71" s="35" t="n">
        <v>0</v>
      </c>
      <c r="K71" s="35" t="n">
        <v>0</v>
      </c>
      <c r="L71" s="35" t="n">
        <v>-1</v>
      </c>
    </row>
    <row r="73" customFormat="false" ht="17.25" hidden="false" customHeight="true" outlineLevel="0" collapsed="false">
      <c r="B73" s="20" t="s">
        <v>585</v>
      </c>
      <c r="C73" s="20"/>
      <c r="D73" s="20"/>
      <c r="E73" s="20"/>
      <c r="F73" s="20"/>
    </row>
    <row r="74" customFormat="false" ht="15" hidden="false" customHeight="false" outlineLevel="0" collapsed="false">
      <c r="B74" s="16"/>
      <c r="C74" s="21" t="s">
        <v>586</v>
      </c>
      <c r="D74" s="21" t="s">
        <v>587</v>
      </c>
      <c r="E74" s="21" t="s">
        <v>588</v>
      </c>
      <c r="F74" s="21" t="s">
        <v>589</v>
      </c>
    </row>
    <row r="75" customFormat="false" ht="15" hidden="false" customHeight="false" outlineLevel="0" collapsed="false">
      <c r="B75" s="22" t="s">
        <v>389</v>
      </c>
      <c r="C75" s="35" t="n">
        <v>0.5</v>
      </c>
      <c r="D75" s="35" t="n">
        <v>0</v>
      </c>
      <c r="E75" s="35" t="n">
        <v>0.5</v>
      </c>
      <c r="F75" s="35" t="n">
        <v>0</v>
      </c>
    </row>
    <row r="76" customFormat="false" ht="15" hidden="false" customHeight="false" outlineLevel="0" collapsed="false">
      <c r="B76" s="22" t="s">
        <v>390</v>
      </c>
      <c r="C76" s="35" t="n">
        <v>0</v>
      </c>
      <c r="D76" s="35" t="n">
        <v>1</v>
      </c>
      <c r="E76" s="35" t="n">
        <v>0</v>
      </c>
      <c r="F76" s="35" t="n">
        <v>0</v>
      </c>
    </row>
    <row r="77" customFormat="false" ht="15" hidden="false" customHeight="false" outlineLevel="0" collapsed="false">
      <c r="B77" s="22" t="s">
        <v>391</v>
      </c>
      <c r="C77" s="35" t="n">
        <v>0</v>
      </c>
      <c r="D77" s="35" t="n">
        <v>0</v>
      </c>
      <c r="E77" s="35" t="n">
        <v>1</v>
      </c>
      <c r="F77" s="35" t="n">
        <v>0</v>
      </c>
    </row>
    <row r="78" customFormat="false" ht="15" hidden="false" customHeight="false" outlineLevel="0" collapsed="false">
      <c r="B78" s="22" t="s">
        <v>392</v>
      </c>
      <c r="C78" s="35" t="n">
        <v>0.5</v>
      </c>
      <c r="D78" s="35" t="n">
        <v>0</v>
      </c>
      <c r="E78" s="35" t="n">
        <v>0</v>
      </c>
      <c r="F78" s="35" t="n">
        <v>0.5</v>
      </c>
    </row>
    <row r="80" customFormat="false" ht="17.25" hidden="false" customHeight="true" outlineLevel="0" collapsed="false">
      <c r="B80" s="20" t="s">
        <v>590</v>
      </c>
      <c r="C80" s="20"/>
      <c r="D80" s="20"/>
      <c r="E80" s="20"/>
      <c r="F80" s="20"/>
      <c r="H80" s="20" t="s">
        <v>591</v>
      </c>
      <c r="I80" s="20"/>
      <c r="J80" s="20"/>
      <c r="K80" s="20"/>
      <c r="L80" s="20"/>
    </row>
    <row r="81" customFormat="false" ht="15" hidden="false" customHeight="false" outlineLevel="0" collapsed="false">
      <c r="B81" s="16"/>
      <c r="C81" s="21" t="s">
        <v>577</v>
      </c>
      <c r="D81" s="21" t="s">
        <v>578</v>
      </c>
      <c r="E81" s="21" t="s">
        <v>579</v>
      </c>
      <c r="F81" s="21" t="s">
        <v>580</v>
      </c>
      <c r="H81" s="16"/>
      <c r="I81" s="21" t="s">
        <v>581</v>
      </c>
      <c r="J81" s="21" t="s">
        <v>582</v>
      </c>
      <c r="K81" s="21" t="s">
        <v>583</v>
      </c>
      <c r="L81" s="21" t="s">
        <v>584</v>
      </c>
    </row>
    <row r="82" customFormat="false" ht="15" hidden="false" customHeight="false" outlineLevel="0" collapsed="false">
      <c r="B82" s="22" t="str">
        <f aca="false">'03 Embeddings'!$B$36</f>
        <v>the</v>
      </c>
      <c r="C82" s="41" t="n">
        <f aca="false">C62*C68+D62*C69+E62*C70+F62*C71</f>
        <v>1.2</v>
      </c>
      <c r="D82" s="41" t="n">
        <f aca="false">C62*D68+D62*D69+E62*D70+F62*D71</f>
        <v>-0.4</v>
      </c>
      <c r="E82" s="41" t="n">
        <f aca="false">C62*E68+D62*E69+E62*E70+F62*E71</f>
        <v>0.8</v>
      </c>
      <c r="F82" s="41" t="n">
        <f aca="false">C62*F68+D62*F69+E62*F70+F62*F71</f>
        <v>0.4</v>
      </c>
      <c r="H82" s="22" t="str">
        <f aca="false">'03 Embeddings'!$B$36</f>
        <v>the</v>
      </c>
      <c r="I82" s="41" t="n">
        <f aca="false">C62*I68+D62*I69+E62*I70+F62*I71</f>
        <v>2</v>
      </c>
      <c r="J82" s="41" t="n">
        <f aca="false">C62*J68+D62*J69+E62*J70+F62*J71</f>
        <v>0.8</v>
      </c>
      <c r="K82" s="41" t="n">
        <f aca="false">C62*K68+D62*K69+E62*K70+F62*K71</f>
        <v>0.4</v>
      </c>
      <c r="L82" s="41" t="n">
        <f aca="false">C62*L68+D62*L69+E62*L70+F62*L71</f>
        <v>0</v>
      </c>
    </row>
    <row r="83" customFormat="false" ht="15" hidden="false" customHeight="false" outlineLevel="0" collapsed="false">
      <c r="B83" s="22" t="str">
        <f aca="false">'03 Embeddings'!$B$37</f>
        <v>cat</v>
      </c>
      <c r="C83" s="41" t="n">
        <f aca="false">C63*C68+D63*C69+E63*C70+F63*C71</f>
        <v>1.05147081814206</v>
      </c>
      <c r="D83" s="41" t="n">
        <f aca="false">C63*D68+D63*D69+E63*D70+F63*D71</f>
        <v>1.34035230545147</v>
      </c>
      <c r="E83" s="41" t="n">
        <f aca="false">C63*E68+D63*E69+E63*E70+F63*E71</f>
        <v>-0.56852884852627</v>
      </c>
      <c r="F83" s="41" t="n">
        <f aca="false">C63*F68+D63*F69+E63*F70+F63*F71</f>
        <v>-1.34035230545147</v>
      </c>
      <c r="H83" s="22" t="str">
        <f aca="false">'03 Embeddings'!$B$37</f>
        <v>cat</v>
      </c>
      <c r="I83" s="41" t="n">
        <f aca="false">C63*I68+D63*I69+E63*I70+F63*I71</f>
        <v>1.04142098522456</v>
      </c>
      <c r="J83" s="41" t="n">
        <f aca="false">C63*J68+D63*J69+E63*J70+F63*J71</f>
        <v>2.95030213920231</v>
      </c>
      <c r="K83" s="41" t="n">
        <f aca="false">C63*K68+D63*K69+E63*K70+F63*K71</f>
        <v>1.33030247253397</v>
      </c>
      <c r="L83" s="41" t="n">
        <f aca="false">C63*L68+D63*L69+E63*L70+F63*L71</f>
        <v>-0.558479015608769</v>
      </c>
    </row>
    <row r="84" customFormat="false" ht="15" hidden="false" customHeight="false" outlineLevel="0" collapsed="false">
      <c r="B84" s="22" t="str">
        <f aca="false">'03 Embeddings'!$B$38</f>
        <v>sat</v>
      </c>
      <c r="C84" s="41" t="n">
        <f aca="false">C64*C68+D64*C69+E64*C70+F64*C71</f>
        <v>0.129296093519015</v>
      </c>
      <c r="D84" s="41" t="n">
        <f aca="false">C64*D68+D64*D69+E64*D70+F64*D71</f>
        <v>-2.21594684321372</v>
      </c>
      <c r="E84" s="41" t="n">
        <f aca="false">C64*E68+D64*E69+E64*E70+F64*E71</f>
        <v>2.48929876013235</v>
      </c>
      <c r="F84" s="41" t="n">
        <f aca="false">C64*F68+D64*F69+E64*F70+F64*F71</f>
        <v>2.21594684321372</v>
      </c>
      <c r="H84" s="22" t="str">
        <f aca="false">'03 Embeddings'!$B$38</f>
        <v>sat</v>
      </c>
      <c r="I84" s="41" t="n">
        <f aca="false">C64*I68+D64*I69+E64*I70+F64*I71</f>
        <v>3.30909743349226</v>
      </c>
      <c r="J84" s="41" t="n">
        <f aca="false">C64*J68+D64*J69+E64*J70+F64*J71</f>
        <v>-1.39614816985381</v>
      </c>
      <c r="K84" s="41" t="n">
        <f aca="false">C64*K68+D64*K69+E64*K70+F64*K71</f>
        <v>0.963854496759524</v>
      </c>
      <c r="L84" s="41" t="n">
        <f aca="false">C64*L68+D64*L69+E64*L70+F64*L71</f>
        <v>-0.690502579840896</v>
      </c>
    </row>
    <row r="86" customFormat="false" ht="17.25" hidden="false" customHeight="true" outlineLevel="0" collapsed="false">
      <c r="B86" s="20" t="s">
        <v>592</v>
      </c>
      <c r="C86" s="20"/>
      <c r="D86" s="20"/>
      <c r="E86" s="20"/>
      <c r="F86" s="20"/>
    </row>
    <row r="87" customFormat="false" ht="15" hidden="false" customHeight="false" outlineLevel="0" collapsed="false">
      <c r="B87" s="16"/>
      <c r="C87" s="21" t="s">
        <v>586</v>
      </c>
      <c r="D87" s="21" t="s">
        <v>587</v>
      </c>
      <c r="E87" s="21" t="s">
        <v>588</v>
      </c>
      <c r="F87" s="21" t="s">
        <v>589</v>
      </c>
    </row>
    <row r="88" customFormat="false" ht="15" hidden="false" customHeight="false" outlineLevel="0" collapsed="false">
      <c r="B88" s="22" t="str">
        <f aca="false">'03 Embeddings'!$B$36</f>
        <v>the</v>
      </c>
      <c r="C88" s="41" t="n">
        <f aca="false">C62*C75+D62*C76+E62*C77+F62*C78</f>
        <v>1</v>
      </c>
      <c r="D88" s="41" t="n">
        <f aca="false">C62*D75+D62*D76+E62*D77+F62*D78</f>
        <v>0.6</v>
      </c>
      <c r="E88" s="41" t="n">
        <f aca="false">C62*E75+D62*E76+E62*E77+F62*E78</f>
        <v>0.7</v>
      </c>
      <c r="F88" s="41" t="n">
        <f aca="false">C62*F75+D62*F76+E62*F77+F62*F78</f>
        <v>0.5</v>
      </c>
    </row>
    <row r="89" customFormat="false" ht="15" hidden="false" customHeight="false" outlineLevel="0" collapsed="false">
      <c r="B89" s="22" t="str">
        <f aca="false">'03 Embeddings'!$B$37</f>
        <v>cat</v>
      </c>
      <c r="C89" s="41" t="n">
        <f aca="false">C63*C75+D63*C76+E63*C77+F63*C78</f>
        <v>0.520710492612281</v>
      </c>
      <c r="D89" s="41" t="n">
        <f aca="false">C63*D75+D63*D76+E63*D77+F63*D78</f>
        <v>2.14030230586814</v>
      </c>
      <c r="E89" s="41" t="n">
        <f aca="false">C63*E75+D63*E76+E63*E77+F63*E78</f>
        <v>0.930735325738115</v>
      </c>
      <c r="F89" s="41" t="n">
        <f aca="false">C63*F75+D63*F76+E63*F77+F63*F78</f>
        <v>0.399975000208333</v>
      </c>
    </row>
    <row r="90" customFormat="false" ht="15" hidden="false" customHeight="false" outlineLevel="0" collapsed="false">
      <c r="B90" s="22" t="str">
        <f aca="false">'03 Embeddings'!$B$38</f>
        <v>sat</v>
      </c>
      <c r="C90" s="41" t="n">
        <f aca="false">C64*C75+D64*C76+E64*C77+F64*C78</f>
        <v>1.65454871674613</v>
      </c>
      <c r="D90" s="41" t="n">
        <f aca="false">C64*D75+D64*D76+E64*D77+F64*D78</f>
        <v>-0.216146836547142</v>
      </c>
      <c r="E90" s="41" t="n">
        <f aca="false">C64*E75+D64*E76+E64*E77+F64*E78</f>
        <v>-0.525352619893826</v>
      </c>
      <c r="F90" s="41" t="n">
        <f aca="false">C64*F75+D64*F76+E64*F77+F64*F78</f>
        <v>0.999900003333289</v>
      </c>
    </row>
    <row r="92" customFormat="false" ht="17.25" hidden="false" customHeight="true" outlineLevel="0" collapsed="false">
      <c r="B92" s="43" t="s">
        <v>593</v>
      </c>
      <c r="C92" s="43"/>
      <c r="D92" s="43"/>
      <c r="E92" s="43"/>
      <c r="F92" s="43"/>
      <c r="G92" s="43"/>
      <c r="H92" s="43"/>
      <c r="I92" s="43"/>
      <c r="J92" s="43"/>
      <c r="K92" s="43"/>
      <c r="L92" s="43"/>
      <c r="M92" s="43"/>
      <c r="N92" s="43"/>
    </row>
    <row r="93" customFormat="false" ht="15.75" hidden="false" customHeight="true" outlineLevel="0" collapsed="false">
      <c r="B93" s="10" t="s">
        <v>594</v>
      </c>
      <c r="C93" s="29" t="str">
        <f aca="false">IF(ROUND(C63,3)&lt;0,"("&amp;ROUND(C63,3)&amp;")",ROUND(C63,3)&amp;"")&amp;"×"&amp;IF(ROUND(C68,3)&lt;0,"("&amp;ROUND(C68,3)&amp;")",ROUND(C68,3)&amp;"")&amp;" + "&amp;IF(ROUND(D63,3)&lt;0,"("&amp;ROUND(D63,3)&amp;")",ROUND(D63,3)&amp;"")&amp;"×"&amp;IF(ROUND(C69,3)&lt;0,"("&amp;ROUND(C69,3)&amp;")",ROUND(C69,3)&amp;"")&amp;" + "&amp;IF(ROUND(E63,3)&lt;0,"("&amp;ROUND(E63,3)&amp;")",ROUND(E63,3)&amp;"")&amp;"×"&amp;IF(ROUND(C70,3)&lt;0,"("&amp;ROUND(C70,3)&amp;")",ROUND(C70,3)&amp;"")&amp;" + "&amp;IF(ROUND(F63,3)&lt;0,"("&amp;ROUND(F63,3)&amp;")",ROUND(F63,3)&amp;"")&amp;"×"&amp;IF(ROUND(C71,3)&lt;0,"("&amp;ROUND(C71,3)&amp;")",ROUND(C71,3)&amp;"")&amp;"  =  "&amp;IF(ROUND(C83,3)&lt;0,"("&amp;ROUND(C83,3)&amp;")",ROUND(C83,3)&amp;"")</f>
        <v>0.241×1 + 2.14×0 + 0.81×1 + 0.8×0  =  1.051</v>
      </c>
      <c r="D93" s="29"/>
      <c r="E93" s="29"/>
      <c r="F93" s="29"/>
      <c r="G93" s="29"/>
      <c r="H93" s="29"/>
      <c r="I93" s="29"/>
      <c r="J93" s="29"/>
      <c r="K93" s="29"/>
      <c r="L93" s="29"/>
      <c r="M93" s="29"/>
      <c r="N93" s="29"/>
    </row>
    <row r="94" customFormat="false" ht="15.75" hidden="false" customHeight="true" outlineLevel="0" collapsed="false">
      <c r="B94" s="10" t="s">
        <v>595</v>
      </c>
      <c r="C94" s="29" t="str">
        <f aca="false">IF(ROUND(C63,3)&lt;0,"("&amp;ROUND(C63,3)&amp;")",ROUND(C63,3)&amp;"")&amp;"×"&amp;IF(ROUND(D68,3)&lt;0,"("&amp;ROUND(D68,3)&amp;")",ROUND(D68,3)&amp;"")&amp;" + "&amp;IF(ROUND(D63,3)&lt;0,"("&amp;ROUND(D63,3)&amp;")",ROUND(D63,3)&amp;"")&amp;"×"&amp;IF(ROUND(D69,3)&lt;0,"("&amp;ROUND(D69,3)&amp;")",ROUND(D69,3)&amp;"")&amp;" + "&amp;IF(ROUND(E63,3)&lt;0,"("&amp;ROUND(E63,3)&amp;")",ROUND(E63,3)&amp;"")&amp;"×"&amp;IF(ROUND(D70,3)&lt;0,"("&amp;ROUND(D70,3)&amp;")",ROUND(D70,3)&amp;"")&amp;" + "&amp;IF(ROUND(F63,3)&lt;0,"("&amp;ROUND(F63,3)&amp;")",ROUND(F63,3)&amp;"")&amp;"×"&amp;IF(ROUND(D71,3)&lt;0,"("&amp;ROUND(D71,3)&amp;")",ROUND(D71,3)&amp;"")&amp;"  =  "&amp;IF(ROUND(D83,3)&lt;0,"("&amp;ROUND(D83,3)&amp;")",ROUND(D83,3)&amp;"")</f>
        <v>0.241×0 + 2.14×1 + 0.81×0 + 0.8×(-1)  =  1.34</v>
      </c>
      <c r="D94" s="29"/>
      <c r="E94" s="29"/>
      <c r="F94" s="29"/>
      <c r="G94" s="29"/>
      <c r="H94" s="29"/>
      <c r="I94" s="29"/>
      <c r="J94" s="29"/>
      <c r="K94" s="29"/>
      <c r="L94" s="29"/>
      <c r="M94" s="29"/>
      <c r="N94" s="29"/>
    </row>
    <row r="95" customFormat="false" ht="15.75" hidden="false" customHeight="true" outlineLevel="0" collapsed="false">
      <c r="B95" s="10" t="s">
        <v>596</v>
      </c>
      <c r="C95" s="29" t="str">
        <f aca="false">IF(ROUND(C63,3)&lt;0,"("&amp;ROUND(C63,3)&amp;")",ROUND(C63,3)&amp;"")&amp;"×"&amp;IF(ROUND(E68,3)&lt;0,"("&amp;ROUND(E68,3)&amp;")",ROUND(E68,3)&amp;"")&amp;" + "&amp;IF(ROUND(D63,3)&lt;0,"("&amp;ROUND(D63,3)&amp;")",ROUND(D63,3)&amp;"")&amp;"×"&amp;IF(ROUND(E69,3)&lt;0,"("&amp;ROUND(E69,3)&amp;")",ROUND(E69,3)&amp;"")&amp;" + "&amp;IF(ROUND(E63,3)&lt;0,"("&amp;ROUND(E63,3)&amp;")",ROUND(E63,3)&amp;"")&amp;"×"&amp;IF(ROUND(E70,3)&lt;0,"("&amp;ROUND(E70,3)&amp;")",ROUND(E70,3)&amp;"")&amp;" + "&amp;IF(ROUND(F63,3)&lt;0,"("&amp;ROUND(F63,3)&amp;")",ROUND(F63,3)&amp;"")&amp;"×"&amp;IF(ROUND(E71,3)&lt;0,"("&amp;ROUND(E71,3)&amp;")",ROUND(E71,3)&amp;"")&amp;"  =  "&amp;IF(ROUND(E83,3)&lt;0,"("&amp;ROUND(E83,3)&amp;")",ROUND(E83,3)&amp;"")</f>
        <v>0.241×1 + 2.14×0 + 0.81×(-1) + 0.8×0  =  (-0.569)</v>
      </c>
      <c r="D95" s="29"/>
      <c r="E95" s="29"/>
      <c r="F95" s="29"/>
      <c r="G95" s="29"/>
      <c r="H95" s="29"/>
      <c r="I95" s="29"/>
      <c r="J95" s="29"/>
      <c r="K95" s="29"/>
      <c r="L95" s="29"/>
      <c r="M95" s="29"/>
      <c r="N95" s="29"/>
    </row>
    <row r="96" customFormat="false" ht="15.75" hidden="false" customHeight="true" outlineLevel="0" collapsed="false">
      <c r="B96" s="10" t="s">
        <v>597</v>
      </c>
      <c r="C96" s="29" t="str">
        <f aca="false">IF(ROUND(C63,3)&lt;0,"("&amp;ROUND(C63,3)&amp;")",ROUND(C63,3)&amp;"")&amp;"×"&amp;IF(ROUND(F68,3)&lt;0,"("&amp;ROUND(F68,3)&amp;")",ROUND(F68,3)&amp;"")&amp;" + "&amp;IF(ROUND(D63,3)&lt;0,"("&amp;ROUND(D63,3)&amp;")",ROUND(D63,3)&amp;"")&amp;"×"&amp;IF(ROUND(F69,3)&lt;0,"("&amp;ROUND(F69,3)&amp;")",ROUND(F69,3)&amp;"")&amp;" + "&amp;IF(ROUND(E63,3)&lt;0,"("&amp;ROUND(E63,3)&amp;")",ROUND(E63,3)&amp;"")&amp;"×"&amp;IF(ROUND(F70,3)&lt;0,"("&amp;ROUND(F70,3)&amp;")",ROUND(F70,3)&amp;"")&amp;" + "&amp;IF(ROUND(F63,3)&lt;0,"("&amp;ROUND(F63,3)&amp;")",ROUND(F63,3)&amp;"")&amp;"×"&amp;IF(ROUND(F71,3)&lt;0,"("&amp;ROUND(F71,3)&amp;")",ROUND(F71,3)&amp;"")&amp;"  =  "&amp;IF(ROUND(F83,3)&lt;0,"("&amp;ROUND(F83,3)&amp;")",ROUND(F83,3)&amp;"")</f>
        <v>0.241×0 + 2.14×(-1) + 0.81×0 + 0.8×1  =  (-1.34)</v>
      </c>
      <c r="D96" s="29"/>
      <c r="E96" s="29"/>
      <c r="F96" s="29"/>
      <c r="G96" s="29"/>
      <c r="H96" s="29"/>
      <c r="I96" s="29"/>
      <c r="J96" s="29"/>
      <c r="K96" s="29"/>
      <c r="L96" s="29"/>
      <c r="M96" s="29"/>
      <c r="N96" s="29"/>
    </row>
    <row r="97" customFormat="false" ht="15.75" hidden="false" customHeight="true" outlineLevel="0" collapsed="false">
      <c r="B97" s="10" t="s">
        <v>598</v>
      </c>
      <c r="C97" s="29" t="str">
        <f aca="false">IF(ROUND(C63,3)&lt;0,"("&amp;ROUND(C63,3)&amp;")",ROUND(C63,3)&amp;"")&amp;"×"&amp;IF(ROUND(I68,3)&lt;0,"("&amp;ROUND(I68,3)&amp;")",ROUND(I68,3)&amp;"")&amp;" + "&amp;IF(ROUND(D63,3)&lt;0,"("&amp;ROUND(D63,3)&amp;")",ROUND(D63,3)&amp;"")&amp;"×"&amp;IF(ROUND(I69,3)&lt;0,"("&amp;ROUND(I69,3)&amp;")",ROUND(I69,3)&amp;"")&amp;" + "&amp;IF(ROUND(E63,3)&lt;0,"("&amp;ROUND(E63,3)&amp;")",ROUND(E63,3)&amp;"")&amp;"×"&amp;IF(ROUND(I70,3)&lt;0,"("&amp;ROUND(I70,3)&amp;")",ROUND(I70,3)&amp;"")&amp;" + "&amp;IF(ROUND(F63,3)&lt;0,"("&amp;ROUND(F63,3)&amp;")",ROUND(F63,3)&amp;"")&amp;"×"&amp;IF(ROUND(I71,3)&lt;0,"("&amp;ROUND(I71,3)&amp;")",ROUND(I71,3)&amp;"")&amp;"  =  "&amp;IF(ROUND(I83,3)&lt;0,"("&amp;ROUND(I83,3)&amp;")",ROUND(I83,3)&amp;"")</f>
        <v>0.241×1 + 2.14×0 + 0.81×0 + 0.8×1  =  1.041</v>
      </c>
      <c r="D97" s="29"/>
      <c r="E97" s="29"/>
      <c r="F97" s="29"/>
      <c r="G97" s="29"/>
      <c r="H97" s="29"/>
      <c r="I97" s="29"/>
      <c r="J97" s="29"/>
      <c r="K97" s="29"/>
      <c r="L97" s="29"/>
      <c r="M97" s="29"/>
      <c r="N97" s="29"/>
    </row>
    <row r="98" customFormat="false" ht="15.75" hidden="false" customHeight="true" outlineLevel="0" collapsed="false">
      <c r="B98" s="10" t="s">
        <v>599</v>
      </c>
      <c r="C98" s="29" t="str">
        <f aca="false">IF(ROUND(C63,3)&lt;0,"("&amp;ROUND(C63,3)&amp;")",ROUND(C63,3)&amp;"")&amp;"×"&amp;IF(ROUND(J68,3)&lt;0,"("&amp;ROUND(J68,3)&amp;")",ROUND(J68,3)&amp;"")&amp;" + "&amp;IF(ROUND(D63,3)&lt;0,"("&amp;ROUND(D63,3)&amp;")",ROUND(D63,3)&amp;"")&amp;"×"&amp;IF(ROUND(J69,3)&lt;0,"("&amp;ROUND(J69,3)&amp;")",ROUND(J69,3)&amp;"")&amp;" + "&amp;IF(ROUND(E63,3)&lt;0,"("&amp;ROUND(E63,3)&amp;")",ROUND(E63,3)&amp;"")&amp;"×"&amp;IF(ROUND(J70,3)&lt;0,"("&amp;ROUND(J70,3)&amp;")",ROUND(J70,3)&amp;"")&amp;" + "&amp;IF(ROUND(F63,3)&lt;0,"("&amp;ROUND(F63,3)&amp;")",ROUND(F63,3)&amp;"")&amp;"×"&amp;IF(ROUND(J71,3)&lt;0,"("&amp;ROUND(J71,3)&amp;")",ROUND(J71,3)&amp;"")&amp;"  =  "&amp;IF(ROUND(J83,3)&lt;0,"("&amp;ROUND(J83,3)&amp;")",ROUND(J83,3)&amp;"")</f>
        <v>0.241×0 + 2.14×1 + 0.81×1 + 0.8×0  =  2.95</v>
      </c>
      <c r="D98" s="29"/>
      <c r="E98" s="29"/>
      <c r="F98" s="29"/>
      <c r="G98" s="29"/>
      <c r="H98" s="29"/>
      <c r="I98" s="29"/>
      <c r="J98" s="29"/>
      <c r="K98" s="29"/>
      <c r="L98" s="29"/>
      <c r="M98" s="29"/>
      <c r="N98" s="29"/>
    </row>
    <row r="99" customFormat="false" ht="17.25" hidden="false" customHeight="true" outlineLevel="0" collapsed="false">
      <c r="B99" s="18" t="s">
        <v>600</v>
      </c>
      <c r="C99" s="18"/>
      <c r="D99" s="18"/>
      <c r="E99" s="18"/>
      <c r="F99" s="18"/>
      <c r="G99" s="18"/>
      <c r="H99" s="18"/>
      <c r="I99" s="18"/>
      <c r="J99" s="18"/>
      <c r="K99" s="18"/>
      <c r="L99" s="18"/>
      <c r="M99" s="18"/>
      <c r="N99" s="18"/>
    </row>
    <row r="100" customFormat="false" ht="18.75" hidden="false" customHeight="true" outlineLevel="0" collapsed="false">
      <c r="B100" s="25" t="s">
        <v>279</v>
      </c>
      <c r="C100" s="25"/>
      <c r="D100" s="25"/>
      <c r="E100" s="25"/>
      <c r="F100" s="25"/>
      <c r="G100" s="25"/>
      <c r="H100" s="25"/>
      <c r="I100" s="25"/>
      <c r="J100" s="25"/>
      <c r="K100" s="25"/>
      <c r="L100" s="25"/>
      <c r="M100" s="25"/>
      <c r="N100" s="25"/>
    </row>
    <row r="101" customFormat="false" ht="17.25" hidden="false" customHeight="true" outlineLevel="0" collapsed="false">
      <c r="B101" s="43" t="s">
        <v>601</v>
      </c>
      <c r="C101" s="43"/>
      <c r="D101" s="43"/>
      <c r="E101" s="43"/>
      <c r="F101" s="43"/>
      <c r="G101" s="43"/>
      <c r="H101" s="43"/>
      <c r="I101" s="43"/>
      <c r="J101" s="43"/>
      <c r="K101" s="43"/>
      <c r="L101" s="43"/>
      <c r="M101" s="43"/>
      <c r="N101" s="43"/>
    </row>
    <row r="102" customFormat="false" ht="17.25" hidden="false" customHeight="true" outlineLevel="0" collapsed="false">
      <c r="B102" s="44" t="s">
        <v>602</v>
      </c>
      <c r="C102" s="44"/>
      <c r="D102" s="44"/>
      <c r="E102" s="44"/>
      <c r="F102" s="44"/>
      <c r="G102" s="44"/>
      <c r="H102" s="44"/>
      <c r="I102" s="44"/>
      <c r="J102" s="44"/>
      <c r="K102" s="44"/>
      <c r="L102" s="44"/>
      <c r="M102" s="44"/>
      <c r="N102" s="44"/>
    </row>
    <row r="103" customFormat="false" ht="17.25" hidden="false" customHeight="true" outlineLevel="0" collapsed="false">
      <c r="B103" s="43" t="s">
        <v>603</v>
      </c>
      <c r="C103" s="43"/>
      <c r="D103" s="43"/>
      <c r="E103" s="43"/>
      <c r="F103" s="43"/>
      <c r="G103" s="43"/>
      <c r="H103" s="43"/>
      <c r="I103" s="43"/>
      <c r="J103" s="43"/>
      <c r="K103" s="43"/>
      <c r="L103" s="43"/>
      <c r="M103" s="43"/>
      <c r="N103" s="43"/>
    </row>
    <row r="104" customFormat="false" ht="17.25" hidden="false" customHeight="true" outlineLevel="0" collapsed="false">
      <c r="B104" s="44" t="s">
        <v>604</v>
      </c>
      <c r="C104" s="44"/>
      <c r="D104" s="44"/>
      <c r="E104" s="44"/>
      <c r="F104" s="44"/>
      <c r="G104" s="44"/>
      <c r="H104" s="44"/>
      <c r="I104" s="44"/>
      <c r="J104" s="44"/>
      <c r="K104" s="44"/>
      <c r="L104" s="44"/>
      <c r="M104" s="44"/>
      <c r="N104" s="44"/>
    </row>
  </sheetData>
  <mergeCells count="59">
    <mergeCell ref="B1:N1"/>
    <mergeCell ref="B2:N2"/>
    <mergeCell ref="B4:N4"/>
    <mergeCell ref="B5:N5"/>
    <mergeCell ref="B6:N6"/>
    <mergeCell ref="B7:N7"/>
    <mergeCell ref="B8:N8"/>
    <mergeCell ref="B9:D9"/>
    <mergeCell ref="B13:D13"/>
    <mergeCell ref="F13:G13"/>
    <mergeCell ref="C19:N19"/>
    <mergeCell ref="B20:C20"/>
    <mergeCell ref="C26:N26"/>
    <mergeCell ref="C27:N27"/>
    <mergeCell ref="C28:N28"/>
    <mergeCell ref="C29:N29"/>
    <mergeCell ref="B30:C30"/>
    <mergeCell ref="B37:C37"/>
    <mergeCell ref="C43:N43"/>
    <mergeCell ref="D44:N44"/>
    <mergeCell ref="C45:N45"/>
    <mergeCell ref="D46:N46"/>
    <mergeCell ref="B47:N47"/>
    <mergeCell ref="B48:N48"/>
    <mergeCell ref="B50:N50"/>
    <mergeCell ref="B51:N51"/>
    <mergeCell ref="B52:N52"/>
    <mergeCell ref="C53:K53"/>
    <mergeCell ref="L53:N53"/>
    <mergeCell ref="C54:K54"/>
    <mergeCell ref="L54:N54"/>
    <mergeCell ref="C55:K55"/>
    <mergeCell ref="L55:N55"/>
    <mergeCell ref="C56:K56"/>
    <mergeCell ref="L56:N56"/>
    <mergeCell ref="C57:K57"/>
    <mergeCell ref="L57:N57"/>
    <mergeCell ref="B58:N58"/>
    <mergeCell ref="B59:N59"/>
    <mergeCell ref="B60:F60"/>
    <mergeCell ref="B66:F66"/>
    <mergeCell ref="H66:L66"/>
    <mergeCell ref="B73:F73"/>
    <mergeCell ref="B80:F80"/>
    <mergeCell ref="H80:L80"/>
    <mergeCell ref="B86:F86"/>
    <mergeCell ref="B92:N92"/>
    <mergeCell ref="C93:N93"/>
    <mergeCell ref="C94:N94"/>
    <mergeCell ref="C95:N95"/>
    <mergeCell ref="C96:N96"/>
    <mergeCell ref="C97:N97"/>
    <mergeCell ref="C98:N98"/>
    <mergeCell ref="B99:N99"/>
    <mergeCell ref="B100:N100"/>
    <mergeCell ref="B101:N101"/>
    <mergeCell ref="B102:N102"/>
    <mergeCell ref="B103:N103"/>
    <mergeCell ref="B104:N104"/>
  </mergeCells>
  <conditionalFormatting sqref="C39:C41">
    <cfRule type="colorScale" priority="2">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605</v>
      </c>
      <c r="C1" s="1"/>
      <c r="D1" s="1"/>
      <c r="E1" s="1"/>
      <c r="F1" s="1"/>
      <c r="G1" s="1"/>
      <c r="H1" s="1"/>
      <c r="I1" s="1"/>
      <c r="J1" s="1"/>
      <c r="K1" s="1"/>
      <c r="L1" s="1"/>
      <c r="M1" s="1"/>
      <c r="N1" s="1"/>
    </row>
    <row r="2" customFormat="false" ht="17.25" hidden="false" customHeight="true" outlineLevel="0" collapsed="false">
      <c r="B2" s="2" t="s">
        <v>606</v>
      </c>
      <c r="C2" s="2"/>
      <c r="D2" s="2"/>
      <c r="E2" s="2"/>
      <c r="F2" s="2"/>
      <c r="G2" s="2"/>
      <c r="H2" s="2"/>
      <c r="I2" s="2"/>
      <c r="J2" s="2"/>
      <c r="K2" s="2"/>
      <c r="L2" s="2"/>
      <c r="M2" s="2"/>
      <c r="N2" s="2"/>
    </row>
    <row r="4" customFormat="false" ht="20.25" hidden="false" customHeight="true" outlineLevel="0" collapsed="false">
      <c r="B4" s="24" t="s">
        <v>607</v>
      </c>
      <c r="C4" s="24"/>
      <c r="D4" s="24"/>
      <c r="E4" s="24"/>
      <c r="F4" s="24"/>
      <c r="G4" s="24"/>
      <c r="H4" s="24"/>
      <c r="I4" s="24"/>
      <c r="J4" s="24"/>
      <c r="K4" s="24"/>
      <c r="L4" s="24"/>
      <c r="M4" s="24"/>
      <c r="N4" s="24"/>
    </row>
    <row r="5" customFormat="false" ht="34.5" hidden="false" customHeight="true" outlineLevel="0" collapsed="false">
      <c r="B5" s="3" t="s">
        <v>608</v>
      </c>
      <c r="C5" s="3"/>
      <c r="D5" s="3"/>
      <c r="E5" s="3"/>
      <c r="F5" s="3"/>
      <c r="G5" s="3"/>
      <c r="H5" s="3"/>
      <c r="I5" s="3"/>
      <c r="J5" s="3"/>
      <c r="K5" s="3"/>
      <c r="L5" s="3"/>
      <c r="M5" s="3"/>
      <c r="N5" s="3"/>
    </row>
    <row r="6" customFormat="false" ht="17.25" hidden="false" customHeight="true" outlineLevel="0" collapsed="false">
      <c r="B6" s="11" t="s">
        <v>374</v>
      </c>
      <c r="C6" s="11" t="s">
        <v>375</v>
      </c>
      <c r="D6" s="11"/>
      <c r="E6" s="11"/>
      <c r="F6" s="11"/>
      <c r="G6" s="11"/>
      <c r="H6" s="11"/>
      <c r="I6" s="11"/>
      <c r="J6" s="11"/>
      <c r="K6" s="11"/>
      <c r="L6" s="11" t="s">
        <v>376</v>
      </c>
      <c r="M6" s="11"/>
      <c r="N6" s="11"/>
    </row>
    <row r="7" customFormat="false" ht="17.25" hidden="false" customHeight="true" outlineLevel="0" collapsed="false">
      <c r="B7" s="55" t="s">
        <v>609</v>
      </c>
      <c r="C7" s="13" t="s">
        <v>610</v>
      </c>
      <c r="D7" s="13"/>
      <c r="E7" s="13"/>
      <c r="F7" s="13"/>
      <c r="G7" s="13"/>
      <c r="H7" s="13"/>
      <c r="I7" s="13"/>
      <c r="J7" s="13"/>
      <c r="K7" s="13"/>
      <c r="L7" s="13" t="s">
        <v>611</v>
      </c>
      <c r="M7" s="13"/>
      <c r="N7" s="13"/>
    </row>
    <row r="8" customFormat="false" ht="17.25" hidden="false" customHeight="true" outlineLevel="0" collapsed="false">
      <c r="B8" s="10" t="s">
        <v>612</v>
      </c>
      <c r="C8" s="16" t="s">
        <v>613</v>
      </c>
      <c r="D8" s="16"/>
      <c r="E8" s="16"/>
      <c r="F8" s="16"/>
      <c r="G8" s="16"/>
      <c r="H8" s="16"/>
      <c r="I8" s="16"/>
      <c r="J8" s="16"/>
      <c r="K8" s="16"/>
      <c r="L8" s="16" t="s">
        <v>611</v>
      </c>
      <c r="M8" s="16"/>
      <c r="N8" s="16"/>
    </row>
    <row r="9" customFormat="false" ht="17.25" hidden="false" customHeight="true" outlineLevel="0" collapsed="false">
      <c r="B9" s="55" t="s">
        <v>614</v>
      </c>
      <c r="C9" s="13" t="s">
        <v>615</v>
      </c>
      <c r="D9" s="13"/>
      <c r="E9" s="13"/>
      <c r="F9" s="13"/>
      <c r="G9" s="13"/>
      <c r="H9" s="13"/>
      <c r="I9" s="13"/>
      <c r="J9" s="13"/>
      <c r="K9" s="13"/>
      <c r="L9" s="13" t="s">
        <v>616</v>
      </c>
      <c r="M9" s="13"/>
      <c r="N9" s="13"/>
    </row>
    <row r="10" customFormat="false" ht="17.25" hidden="false" customHeight="true" outlineLevel="0" collapsed="false">
      <c r="B10" s="10" t="s">
        <v>617</v>
      </c>
      <c r="C10" s="16" t="s">
        <v>618</v>
      </c>
      <c r="D10" s="16"/>
      <c r="E10" s="16"/>
      <c r="F10" s="16"/>
      <c r="G10" s="16"/>
      <c r="H10" s="16"/>
      <c r="I10" s="16"/>
      <c r="J10" s="16"/>
      <c r="K10" s="16"/>
      <c r="L10" s="16" t="s">
        <v>619</v>
      </c>
      <c r="M10" s="16"/>
      <c r="N10" s="16"/>
    </row>
    <row r="11" customFormat="false" ht="17.25" hidden="false" customHeight="true" outlineLevel="0" collapsed="false">
      <c r="B11" s="55" t="s">
        <v>620</v>
      </c>
      <c r="C11" s="13" t="s">
        <v>621</v>
      </c>
      <c r="D11" s="13"/>
      <c r="E11" s="13"/>
      <c r="F11" s="13"/>
      <c r="G11" s="13"/>
      <c r="H11" s="13"/>
      <c r="I11" s="13"/>
      <c r="J11" s="13"/>
      <c r="K11" s="13"/>
      <c r="L11" s="13" t="s">
        <v>86</v>
      </c>
      <c r="M11" s="13"/>
      <c r="N11" s="13"/>
    </row>
    <row r="12" customFormat="false" ht="17.25" hidden="false" customHeight="true" outlineLevel="0" collapsed="false">
      <c r="B12" s="10" t="s">
        <v>622</v>
      </c>
      <c r="C12" s="16" t="s">
        <v>623</v>
      </c>
      <c r="D12" s="16"/>
      <c r="E12" s="16"/>
      <c r="F12" s="16"/>
      <c r="G12" s="16"/>
      <c r="H12" s="16"/>
      <c r="I12" s="16"/>
      <c r="J12" s="16"/>
      <c r="K12" s="16"/>
      <c r="L12" s="16" t="s">
        <v>624</v>
      </c>
      <c r="M12" s="16"/>
      <c r="N12" s="16"/>
    </row>
    <row r="13" customFormat="false" ht="17.25" hidden="false" customHeight="true" outlineLevel="0" collapsed="false">
      <c r="B13" s="11" t="s">
        <v>625</v>
      </c>
      <c r="C13" s="11" t="s">
        <v>626</v>
      </c>
      <c r="D13" s="11"/>
      <c r="E13" s="11"/>
      <c r="F13" s="11" t="s">
        <v>627</v>
      </c>
      <c r="G13" s="11"/>
      <c r="H13" s="11"/>
      <c r="I13" s="11" t="s">
        <v>628</v>
      </c>
      <c r="J13" s="11"/>
      <c r="K13" s="11"/>
      <c r="L13" s="11"/>
      <c r="M13" s="11"/>
      <c r="N13" s="11"/>
    </row>
    <row r="14" customFormat="false" ht="17.25" hidden="false" customHeight="true" outlineLevel="0" collapsed="false">
      <c r="B14" s="13" t="s">
        <v>629</v>
      </c>
      <c r="C14" s="13" t="s">
        <v>630</v>
      </c>
      <c r="D14" s="13"/>
      <c r="E14" s="13"/>
      <c r="F14" s="13" t="s">
        <v>631</v>
      </c>
      <c r="G14" s="13"/>
      <c r="H14" s="13"/>
      <c r="I14" s="13" t="s">
        <v>632</v>
      </c>
      <c r="J14" s="13"/>
      <c r="K14" s="13"/>
      <c r="L14" s="13"/>
      <c r="M14" s="13"/>
      <c r="N14" s="13"/>
    </row>
    <row r="15" customFormat="false" ht="17.25" hidden="false" customHeight="true" outlineLevel="0" collapsed="false">
      <c r="B15" s="16" t="s">
        <v>633</v>
      </c>
      <c r="C15" s="16" t="s">
        <v>634</v>
      </c>
      <c r="D15" s="16"/>
      <c r="E15" s="16"/>
      <c r="F15" s="16" t="s">
        <v>631</v>
      </c>
      <c r="G15" s="16"/>
      <c r="H15" s="16"/>
      <c r="I15" s="16" t="s">
        <v>635</v>
      </c>
      <c r="J15" s="16"/>
      <c r="K15" s="16"/>
      <c r="L15" s="16"/>
      <c r="M15" s="16"/>
      <c r="N15" s="16"/>
    </row>
    <row r="16" customFormat="false" ht="17.25" hidden="false" customHeight="true" outlineLevel="0" collapsed="false">
      <c r="B16" s="13" t="s">
        <v>636</v>
      </c>
      <c r="C16" s="13" t="s">
        <v>637</v>
      </c>
      <c r="D16" s="13"/>
      <c r="E16" s="13"/>
      <c r="F16" s="13" t="s">
        <v>631</v>
      </c>
      <c r="G16" s="13"/>
      <c r="H16" s="13"/>
      <c r="I16" s="13" t="s">
        <v>638</v>
      </c>
      <c r="J16" s="13"/>
      <c r="K16" s="13"/>
      <c r="L16" s="13"/>
      <c r="M16" s="13"/>
      <c r="N16" s="13"/>
    </row>
    <row r="17" customFormat="false" ht="17.25" hidden="false" customHeight="true" outlineLevel="0" collapsed="false">
      <c r="B17" s="16" t="s">
        <v>639</v>
      </c>
      <c r="C17" s="16" t="s">
        <v>640</v>
      </c>
      <c r="D17" s="16"/>
      <c r="E17" s="16"/>
      <c r="F17" s="16" t="s">
        <v>624</v>
      </c>
      <c r="G17" s="16"/>
      <c r="H17" s="16"/>
      <c r="I17" s="16" t="s">
        <v>641</v>
      </c>
      <c r="J17" s="16"/>
      <c r="K17" s="16"/>
      <c r="L17" s="16"/>
      <c r="M17" s="16"/>
      <c r="N17" s="16"/>
    </row>
    <row r="19" customFormat="false" ht="21.75" hidden="false" customHeight="true" outlineLevel="0" collapsed="false">
      <c r="B19" s="4" t="s">
        <v>642</v>
      </c>
      <c r="C19" s="4"/>
      <c r="D19" s="4"/>
      <c r="E19" s="4"/>
      <c r="F19" s="4"/>
      <c r="G19" s="4"/>
      <c r="H19" s="4"/>
      <c r="I19" s="4"/>
      <c r="J19" s="4"/>
      <c r="K19" s="4"/>
      <c r="L19" s="4"/>
      <c r="M19" s="4"/>
      <c r="N19" s="4"/>
    </row>
    <row r="20" customFormat="false" ht="17.25" hidden="false" customHeight="true" outlineLevel="0" collapsed="false">
      <c r="B20" s="20" t="s">
        <v>609</v>
      </c>
      <c r="C20" s="20"/>
      <c r="D20" s="20"/>
      <c r="F20" s="20" t="s">
        <v>612</v>
      </c>
      <c r="G20" s="20"/>
      <c r="H20" s="20"/>
      <c r="J20" s="20" t="s">
        <v>622</v>
      </c>
      <c r="K20" s="20"/>
      <c r="L20" s="20"/>
    </row>
    <row r="21" customFormat="false" ht="15" hidden="false" customHeight="false" outlineLevel="0" collapsed="false">
      <c r="B21" s="16"/>
      <c r="C21" s="21" t="s">
        <v>643</v>
      </c>
      <c r="D21" s="21" t="s">
        <v>644</v>
      </c>
      <c r="F21" s="16"/>
      <c r="G21" s="21" t="s">
        <v>643</v>
      </c>
      <c r="H21" s="21" t="s">
        <v>644</v>
      </c>
      <c r="J21" s="16"/>
      <c r="K21" s="21" t="s">
        <v>643</v>
      </c>
      <c r="L21" s="21" t="s">
        <v>644</v>
      </c>
    </row>
    <row r="22" customFormat="false" ht="15" hidden="false" customHeight="false" outlineLevel="0" collapsed="false">
      <c r="B22" s="22" t="s">
        <v>645</v>
      </c>
      <c r="C22" s="35" t="n">
        <v>1</v>
      </c>
      <c r="D22" s="35" t="n">
        <v>0</v>
      </c>
      <c r="F22" s="22" t="s">
        <v>645</v>
      </c>
      <c r="G22" s="35" t="n">
        <v>2</v>
      </c>
      <c r="H22" s="35" t="n">
        <v>0</v>
      </c>
      <c r="J22" s="22" t="s">
        <v>645</v>
      </c>
      <c r="K22" s="35" t="n">
        <v>1</v>
      </c>
      <c r="L22" s="35" t="n">
        <v>0</v>
      </c>
    </row>
    <row r="23" customFormat="false" ht="15" hidden="false" customHeight="false" outlineLevel="0" collapsed="false">
      <c r="B23" s="22" t="s">
        <v>646</v>
      </c>
      <c r="C23" s="35" t="n">
        <v>1</v>
      </c>
      <c r="D23" s="35" t="n">
        <v>1</v>
      </c>
      <c r="F23" s="22" t="s">
        <v>646</v>
      </c>
      <c r="G23" s="35" t="n">
        <v>0</v>
      </c>
      <c r="H23" s="35" t="n">
        <v>1</v>
      </c>
      <c r="J23" s="22" t="s">
        <v>646</v>
      </c>
      <c r="K23" s="35" t="n">
        <v>0</v>
      </c>
      <c r="L23" s="35" t="n">
        <v>1</v>
      </c>
    </row>
    <row r="24" customFormat="false" ht="15" hidden="false" customHeight="false" outlineLevel="0" collapsed="false">
      <c r="B24" s="22" t="s">
        <v>647</v>
      </c>
      <c r="C24" s="35" t="n">
        <v>0</v>
      </c>
      <c r="D24" s="35" t="n">
        <v>2</v>
      </c>
      <c r="F24" s="22" t="s">
        <v>647</v>
      </c>
      <c r="G24" s="35" t="n">
        <v>1</v>
      </c>
      <c r="H24" s="35" t="n">
        <v>1</v>
      </c>
      <c r="J24" s="22" t="s">
        <v>647</v>
      </c>
      <c r="K24" s="35" t="n">
        <v>1</v>
      </c>
      <c r="L24" s="35" t="n">
        <v>1</v>
      </c>
    </row>
    <row r="26" customFormat="false" ht="17.25" hidden="false" customHeight="true" outlineLevel="0" collapsed="false">
      <c r="B26" s="22" t="s">
        <v>648</v>
      </c>
      <c r="C26" s="23" t="n">
        <v>2</v>
      </c>
      <c r="D26" s="27" t="s">
        <v>649</v>
      </c>
      <c r="E26" s="27"/>
      <c r="F26" s="27"/>
      <c r="G26" s="27"/>
      <c r="H26" s="27"/>
      <c r="I26" s="27"/>
      <c r="J26" s="27"/>
      <c r="K26" s="27"/>
      <c r="L26" s="27"/>
      <c r="M26" s="27"/>
      <c r="N26" s="27"/>
    </row>
    <row r="27" customFormat="false" ht="17.25" hidden="false" customHeight="true" outlineLevel="0" collapsed="false">
      <c r="B27" s="76" t="s">
        <v>540</v>
      </c>
      <c r="C27" s="5" t="s">
        <v>650</v>
      </c>
      <c r="D27" s="5"/>
      <c r="E27" s="5"/>
      <c r="F27" s="5"/>
      <c r="G27" s="5"/>
      <c r="H27" s="5"/>
      <c r="I27" s="5"/>
      <c r="J27" s="5"/>
      <c r="K27" s="5"/>
      <c r="L27" s="5"/>
      <c r="M27" s="5"/>
      <c r="N27" s="5"/>
    </row>
    <row r="28" customFormat="false" ht="17.25" hidden="false" customHeight="true" outlineLevel="0" collapsed="false">
      <c r="B28" s="20" t="s">
        <v>630</v>
      </c>
      <c r="C28" s="20"/>
      <c r="D28" s="20"/>
      <c r="E28" s="20"/>
    </row>
    <row r="29" customFormat="false" ht="15" hidden="false" customHeight="false" outlineLevel="0" collapsed="false">
      <c r="B29" s="16"/>
      <c r="C29" s="21" t="s">
        <v>645</v>
      </c>
      <c r="D29" s="21" t="s">
        <v>646</v>
      </c>
      <c r="E29" s="21" t="s">
        <v>647</v>
      </c>
    </row>
    <row r="30" customFormat="false" ht="15" hidden="false" customHeight="false" outlineLevel="0" collapsed="false">
      <c r="B30" s="22" t="s">
        <v>645</v>
      </c>
      <c r="C30" s="77" t="n">
        <f aca="false">C22*G22+D22*H22</f>
        <v>2</v>
      </c>
      <c r="D30" s="77" t="n">
        <f aca="false">C22*G23+D22*H23</f>
        <v>0</v>
      </c>
      <c r="E30" s="77" t="n">
        <f aca="false">C22*G24+D22*H24</f>
        <v>1</v>
      </c>
    </row>
    <row r="31" customFormat="false" ht="15" hidden="false" customHeight="false" outlineLevel="0" collapsed="false">
      <c r="B31" s="22" t="s">
        <v>646</v>
      </c>
      <c r="C31" s="77" t="n">
        <f aca="false">C23*G22+D23*H22</f>
        <v>2</v>
      </c>
      <c r="D31" s="77" t="n">
        <f aca="false">C23*G23+D23*H23</f>
        <v>1</v>
      </c>
      <c r="E31" s="77" t="n">
        <f aca="false">C23*G24+D23*H24</f>
        <v>2</v>
      </c>
    </row>
    <row r="32" customFormat="false" ht="15" hidden="false" customHeight="false" outlineLevel="0" collapsed="false">
      <c r="B32" s="22" t="s">
        <v>647</v>
      </c>
      <c r="C32" s="77" t="n">
        <f aca="false">C24*G22+D24*H22</f>
        <v>0</v>
      </c>
      <c r="D32" s="77" t="n">
        <f aca="false">C24*G23+D24*H23</f>
        <v>2</v>
      </c>
      <c r="E32" s="77" t="n">
        <f aca="false">C24*G24+D24*H24</f>
        <v>2</v>
      </c>
    </row>
    <row r="34" customFormat="false" ht="15.75" hidden="false" customHeight="true" outlineLevel="0" collapsed="false">
      <c r="B34" s="10" t="s">
        <v>651</v>
      </c>
      <c r="C34" s="29" t="str">
        <f aca="false">IF(ROUND(C22,3)&lt;0,"("&amp;ROUND(C22,3)&amp;")",ROUND(C22,3)&amp;"")&amp;"×"&amp;IF(ROUND(G22,3)&lt;0,"("&amp;ROUND(G22,3)&amp;")",ROUND(G22,3)&amp;"")&amp;" + "&amp;IF(ROUND(D22,3)&lt;0,"("&amp;ROUND(D22,3)&amp;")",ROUND(D22,3)&amp;"")&amp;"×"&amp;IF(ROUND(H22,3)&lt;0,"("&amp;ROUND(H22,3)&amp;")",ROUND(H22,3)&amp;"")&amp;"  =  "&amp;IF(ROUND(C30,3)&lt;0,"("&amp;ROUND(C30,3)&amp;")",ROUND(C30,3)&amp;"")</f>
        <v>1×2 + 0×0  =  2</v>
      </c>
      <c r="D34" s="29"/>
      <c r="E34" s="29"/>
      <c r="F34" s="29"/>
      <c r="G34" s="29"/>
      <c r="H34" s="29"/>
      <c r="I34" s="29"/>
      <c r="J34" s="29"/>
      <c r="K34" s="29"/>
      <c r="L34" s="29"/>
      <c r="M34" s="29"/>
      <c r="N34" s="29"/>
    </row>
    <row r="35" customFormat="false" ht="15.75" hidden="false" customHeight="true" outlineLevel="0" collapsed="false">
      <c r="B35" s="10" t="s">
        <v>652</v>
      </c>
      <c r="C35" s="29" t="str">
        <f aca="false">IF(ROUND(C22,3)&lt;0,"("&amp;ROUND(C22,3)&amp;")",ROUND(C22,3)&amp;"")&amp;"×"&amp;IF(ROUND(G23,3)&lt;0,"("&amp;ROUND(G23,3)&amp;")",ROUND(G23,3)&amp;"")&amp;" + "&amp;IF(ROUND(D22,3)&lt;0,"("&amp;ROUND(D22,3)&amp;")",ROUND(D22,3)&amp;"")&amp;"×"&amp;IF(ROUND(H23,3)&lt;0,"("&amp;ROUND(H23,3)&amp;")",ROUND(H23,3)&amp;"")&amp;"  =  "&amp;IF(ROUND(D30,3)&lt;0,"("&amp;ROUND(D30,3)&amp;")",ROUND(D30,3)&amp;"")</f>
        <v>1×0 + 0×1  =  0</v>
      </c>
      <c r="D35" s="29"/>
      <c r="E35" s="29"/>
      <c r="F35" s="29"/>
      <c r="G35" s="29"/>
      <c r="H35" s="29"/>
      <c r="I35" s="29"/>
      <c r="J35" s="29"/>
      <c r="K35" s="29"/>
      <c r="L35" s="29"/>
      <c r="M35" s="29"/>
      <c r="N35" s="29"/>
    </row>
    <row r="36" customFormat="false" ht="15.75" hidden="false" customHeight="true" outlineLevel="0" collapsed="false">
      <c r="B36" s="10" t="s">
        <v>653</v>
      </c>
      <c r="C36" s="29" t="str">
        <f aca="false">IF(ROUND(C22,3)&lt;0,"("&amp;ROUND(C22,3)&amp;")",ROUND(C22,3)&amp;"")&amp;"×"&amp;IF(ROUND(G24,3)&lt;0,"("&amp;ROUND(G24,3)&amp;")",ROUND(G24,3)&amp;"")&amp;" + "&amp;IF(ROUND(D22,3)&lt;0,"("&amp;ROUND(D22,3)&amp;")",ROUND(D22,3)&amp;"")&amp;"×"&amp;IF(ROUND(H24,3)&lt;0,"("&amp;ROUND(H24,3)&amp;")",ROUND(H24,3)&amp;"")&amp;"  =  "&amp;IF(ROUND(E30,3)&lt;0,"("&amp;ROUND(E30,3)&amp;")",ROUND(E30,3)&amp;"")</f>
        <v>1×1 + 0×1  =  1</v>
      </c>
      <c r="D36" s="29"/>
      <c r="E36" s="29"/>
      <c r="F36" s="29"/>
      <c r="G36" s="29"/>
      <c r="H36" s="29"/>
      <c r="I36" s="29"/>
      <c r="J36" s="29"/>
      <c r="K36" s="29"/>
      <c r="L36" s="29"/>
      <c r="M36" s="29"/>
      <c r="N36" s="29"/>
    </row>
    <row r="37" customFormat="false" ht="15.75" hidden="false" customHeight="true" outlineLevel="0" collapsed="false">
      <c r="B37" s="10" t="s">
        <v>654</v>
      </c>
      <c r="C37" s="29" t="str">
        <f aca="false">IF(ROUND(C23,3)&lt;0,"("&amp;ROUND(C23,3)&amp;")",ROUND(C23,3)&amp;"")&amp;"×"&amp;IF(ROUND(G22,3)&lt;0,"("&amp;ROUND(G22,3)&amp;")",ROUND(G22,3)&amp;"")&amp;" + "&amp;IF(ROUND(D23,3)&lt;0,"("&amp;ROUND(D23,3)&amp;")",ROUND(D23,3)&amp;"")&amp;"×"&amp;IF(ROUND(H22,3)&lt;0,"("&amp;ROUND(H22,3)&amp;")",ROUND(H22,3)&amp;"")&amp;"  =  "&amp;IF(ROUND(C31,3)&lt;0,"("&amp;ROUND(C31,3)&amp;")",ROUND(C31,3)&amp;"")</f>
        <v>1×2 + 1×0  =  2</v>
      </c>
      <c r="D37" s="29"/>
      <c r="E37" s="29"/>
      <c r="F37" s="29"/>
      <c r="G37" s="29"/>
      <c r="H37" s="29"/>
      <c r="I37" s="29"/>
      <c r="J37" s="29"/>
      <c r="K37" s="29"/>
      <c r="L37" s="29"/>
      <c r="M37" s="29"/>
      <c r="N37" s="29"/>
    </row>
    <row r="38" customFormat="false" ht="15.75" hidden="false" customHeight="true" outlineLevel="0" collapsed="false">
      <c r="B38" s="10" t="s">
        <v>655</v>
      </c>
      <c r="C38" s="29" t="str">
        <f aca="false">IF(ROUND(C23,3)&lt;0,"("&amp;ROUND(C23,3)&amp;")",ROUND(C23,3)&amp;"")&amp;"×"&amp;IF(ROUND(G23,3)&lt;0,"("&amp;ROUND(G23,3)&amp;")",ROUND(G23,3)&amp;"")&amp;" + "&amp;IF(ROUND(D23,3)&lt;0,"("&amp;ROUND(D23,3)&amp;")",ROUND(D23,3)&amp;"")&amp;"×"&amp;IF(ROUND(H23,3)&lt;0,"("&amp;ROUND(H23,3)&amp;")",ROUND(H23,3)&amp;"")&amp;"  =  "&amp;IF(ROUND(D31,3)&lt;0,"("&amp;ROUND(D31,3)&amp;")",ROUND(D31,3)&amp;"")</f>
        <v>1×0 + 1×1  =  1</v>
      </c>
      <c r="D38" s="29"/>
      <c r="E38" s="29"/>
      <c r="F38" s="29"/>
      <c r="G38" s="29"/>
      <c r="H38" s="29"/>
      <c r="I38" s="29"/>
      <c r="J38" s="29"/>
      <c r="K38" s="29"/>
      <c r="L38" s="29"/>
      <c r="M38" s="29"/>
      <c r="N38" s="29"/>
    </row>
    <row r="39" customFormat="false" ht="15.75" hidden="false" customHeight="true" outlineLevel="0" collapsed="false">
      <c r="B39" s="10" t="s">
        <v>656</v>
      </c>
      <c r="C39" s="29" t="str">
        <f aca="false">IF(ROUND(C23,3)&lt;0,"("&amp;ROUND(C23,3)&amp;")",ROUND(C23,3)&amp;"")&amp;"×"&amp;IF(ROUND(G24,3)&lt;0,"("&amp;ROUND(G24,3)&amp;")",ROUND(G24,3)&amp;"")&amp;" + "&amp;IF(ROUND(D23,3)&lt;0,"("&amp;ROUND(D23,3)&amp;")",ROUND(D23,3)&amp;"")&amp;"×"&amp;IF(ROUND(H24,3)&lt;0,"("&amp;ROUND(H24,3)&amp;")",ROUND(H24,3)&amp;"")&amp;"  =  "&amp;IF(ROUND(E31,3)&lt;0,"("&amp;ROUND(E31,3)&amp;")",ROUND(E31,3)&amp;"")</f>
        <v>1×1 + 1×1  =  2</v>
      </c>
      <c r="D39" s="29"/>
      <c r="E39" s="29"/>
      <c r="F39" s="29"/>
      <c r="G39" s="29"/>
      <c r="H39" s="29"/>
      <c r="I39" s="29"/>
      <c r="J39" s="29"/>
      <c r="K39" s="29"/>
      <c r="L39" s="29"/>
      <c r="M39" s="29"/>
      <c r="N39" s="29"/>
    </row>
    <row r="40" customFormat="false" ht="15.75" hidden="false" customHeight="true" outlineLevel="0" collapsed="false">
      <c r="B40" s="10" t="s">
        <v>657</v>
      </c>
      <c r="C40" s="29" t="str">
        <f aca="false">IF(ROUND(C24,3)&lt;0,"("&amp;ROUND(C24,3)&amp;")",ROUND(C24,3)&amp;"")&amp;"×"&amp;IF(ROUND(G22,3)&lt;0,"("&amp;ROUND(G22,3)&amp;")",ROUND(G22,3)&amp;"")&amp;" + "&amp;IF(ROUND(D24,3)&lt;0,"("&amp;ROUND(D24,3)&amp;")",ROUND(D24,3)&amp;"")&amp;"×"&amp;IF(ROUND(H22,3)&lt;0,"("&amp;ROUND(H22,3)&amp;")",ROUND(H22,3)&amp;"")&amp;"  =  "&amp;IF(ROUND(C32,3)&lt;0,"("&amp;ROUND(C32,3)&amp;")",ROUND(C32,3)&amp;"")</f>
        <v>0×2 + 2×0  =  0</v>
      </c>
      <c r="D40" s="29"/>
      <c r="E40" s="29"/>
      <c r="F40" s="29"/>
      <c r="G40" s="29"/>
      <c r="H40" s="29"/>
      <c r="I40" s="29"/>
      <c r="J40" s="29"/>
      <c r="K40" s="29"/>
      <c r="L40" s="29"/>
      <c r="M40" s="29"/>
      <c r="N40" s="29"/>
    </row>
    <row r="41" customFormat="false" ht="15.75" hidden="false" customHeight="true" outlineLevel="0" collapsed="false">
      <c r="B41" s="10" t="s">
        <v>658</v>
      </c>
      <c r="C41" s="29" t="str">
        <f aca="false">IF(ROUND(C24,3)&lt;0,"("&amp;ROUND(C24,3)&amp;")",ROUND(C24,3)&amp;"")&amp;"×"&amp;IF(ROUND(G23,3)&lt;0,"("&amp;ROUND(G23,3)&amp;")",ROUND(G23,3)&amp;"")&amp;" + "&amp;IF(ROUND(D24,3)&lt;0,"("&amp;ROUND(D24,3)&amp;")",ROUND(D24,3)&amp;"")&amp;"×"&amp;IF(ROUND(H23,3)&lt;0,"("&amp;ROUND(H23,3)&amp;")",ROUND(H23,3)&amp;"")&amp;"  =  "&amp;IF(ROUND(D32,3)&lt;0,"("&amp;ROUND(D32,3)&amp;")",ROUND(D32,3)&amp;"")</f>
        <v>0×0 + 2×1  =  2</v>
      </c>
      <c r="D41" s="29"/>
      <c r="E41" s="29"/>
      <c r="F41" s="29"/>
      <c r="G41" s="29"/>
      <c r="H41" s="29"/>
      <c r="I41" s="29"/>
      <c r="J41" s="29"/>
      <c r="K41" s="29"/>
      <c r="L41" s="29"/>
      <c r="M41" s="29"/>
      <c r="N41" s="29"/>
    </row>
    <row r="42" customFormat="false" ht="15.75" hidden="false" customHeight="true" outlineLevel="0" collapsed="false">
      <c r="B42" s="10" t="s">
        <v>659</v>
      </c>
      <c r="C42" s="29" t="str">
        <f aca="false">IF(ROUND(C24,3)&lt;0,"("&amp;ROUND(C24,3)&amp;")",ROUND(C24,3)&amp;"")&amp;"×"&amp;IF(ROUND(G24,3)&lt;0,"("&amp;ROUND(G24,3)&amp;")",ROUND(G24,3)&amp;"")&amp;" + "&amp;IF(ROUND(D24,3)&lt;0,"("&amp;ROUND(D24,3)&amp;")",ROUND(D24,3)&amp;"")&amp;"×"&amp;IF(ROUND(H24,3)&lt;0,"("&amp;ROUND(H24,3)&amp;")",ROUND(H24,3)&amp;"")&amp;"  =  "&amp;IF(ROUND(E32,3)&lt;0,"("&amp;ROUND(E32,3)&amp;")",ROUND(E32,3)&amp;"")</f>
        <v>0×1 + 2×1  =  2</v>
      </c>
      <c r="D42" s="29"/>
      <c r="E42" s="29"/>
      <c r="F42" s="29"/>
      <c r="G42" s="29"/>
      <c r="H42" s="29"/>
      <c r="I42" s="29"/>
      <c r="J42" s="29"/>
      <c r="K42" s="29"/>
      <c r="L42" s="29"/>
      <c r="M42" s="29"/>
      <c r="N42" s="29"/>
    </row>
    <row r="43" customFormat="false" ht="17.25" hidden="false" customHeight="true" outlineLevel="0" collapsed="false">
      <c r="B43" s="76" t="s">
        <v>543</v>
      </c>
      <c r="C43" s="5" t="s">
        <v>660</v>
      </c>
      <c r="D43" s="5"/>
      <c r="E43" s="5"/>
      <c r="F43" s="5"/>
      <c r="G43" s="5"/>
      <c r="H43" s="5"/>
      <c r="I43" s="5"/>
      <c r="J43" s="5"/>
      <c r="K43" s="5"/>
      <c r="L43" s="5"/>
      <c r="M43" s="5"/>
      <c r="N43" s="5"/>
    </row>
    <row r="44" customFormat="false" ht="17.25" hidden="false" customHeight="true" outlineLevel="0" collapsed="false">
      <c r="B44" s="20" t="s">
        <v>634</v>
      </c>
      <c r="C44" s="20"/>
      <c r="D44" s="20"/>
      <c r="E44" s="20"/>
    </row>
    <row r="45" customFormat="false" ht="15" hidden="false" customHeight="false" outlineLevel="0" collapsed="false">
      <c r="B45" s="16"/>
      <c r="C45" s="21" t="s">
        <v>645</v>
      </c>
      <c r="D45" s="21" t="s">
        <v>646</v>
      </c>
      <c r="E45" s="21" t="s">
        <v>647</v>
      </c>
    </row>
    <row r="46" customFormat="false" ht="15" hidden="false" customHeight="false" outlineLevel="0" collapsed="false">
      <c r="B46" s="22" t="s">
        <v>645</v>
      </c>
      <c r="C46" s="39" t="n">
        <f aca="false">C30/SQRT(C26)</f>
        <v>1.4142135623731</v>
      </c>
      <c r="D46" s="39" t="n">
        <f aca="false">D30/SQRT(C26)</f>
        <v>0</v>
      </c>
      <c r="E46" s="39" t="n">
        <f aca="false">E30/SQRT(C26)</f>
        <v>0.707106781186548</v>
      </c>
    </row>
    <row r="47" customFormat="false" ht="15" hidden="false" customHeight="false" outlineLevel="0" collapsed="false">
      <c r="B47" s="22" t="s">
        <v>646</v>
      </c>
      <c r="C47" s="39" t="n">
        <f aca="false">C31/SQRT(C26)</f>
        <v>1.4142135623731</v>
      </c>
      <c r="D47" s="39" t="n">
        <f aca="false">D31/SQRT(C26)</f>
        <v>0.707106781186548</v>
      </c>
      <c r="E47" s="39" t="n">
        <f aca="false">E31/SQRT(C26)</f>
        <v>1.4142135623731</v>
      </c>
    </row>
    <row r="48" customFormat="false" ht="15" hidden="false" customHeight="false" outlineLevel="0" collapsed="false">
      <c r="B48" s="22" t="s">
        <v>647</v>
      </c>
      <c r="C48" s="39" t="n">
        <f aca="false">C32/SQRT(C26)</f>
        <v>0</v>
      </c>
      <c r="D48" s="39" t="n">
        <f aca="false">D32/SQRT(C26)</f>
        <v>1.4142135623731</v>
      </c>
      <c r="E48" s="39" t="n">
        <f aca="false">E32/SQRT(C26)</f>
        <v>1.4142135623731</v>
      </c>
    </row>
    <row r="50" customFormat="false" ht="17.25" hidden="false" customHeight="true" outlineLevel="0" collapsed="false">
      <c r="B50" s="76" t="s">
        <v>550</v>
      </c>
      <c r="C50" s="5" t="s">
        <v>661</v>
      </c>
      <c r="D50" s="5"/>
      <c r="E50" s="5"/>
      <c r="F50" s="5"/>
      <c r="G50" s="5"/>
      <c r="H50" s="5"/>
      <c r="I50" s="5"/>
      <c r="J50" s="5"/>
      <c r="K50" s="5"/>
      <c r="L50" s="5"/>
      <c r="M50" s="5"/>
      <c r="N50" s="5"/>
    </row>
    <row r="51" customFormat="false" ht="17.25" hidden="false" customHeight="true" outlineLevel="0" collapsed="false">
      <c r="B51" s="20" t="s">
        <v>662</v>
      </c>
      <c r="C51" s="20"/>
      <c r="D51" s="20"/>
      <c r="E51" s="20"/>
      <c r="H51" s="20" t="s">
        <v>663</v>
      </c>
      <c r="I51" s="20"/>
      <c r="J51" s="20"/>
      <c r="K51" s="20"/>
    </row>
    <row r="52" customFormat="false" ht="15" hidden="false" customHeight="false" outlineLevel="0" collapsed="false">
      <c r="B52" s="16"/>
      <c r="C52" s="21" t="s">
        <v>645</v>
      </c>
      <c r="D52" s="21" t="s">
        <v>646</v>
      </c>
      <c r="E52" s="21" t="s">
        <v>647</v>
      </c>
      <c r="F52" s="21" t="s">
        <v>664</v>
      </c>
      <c r="H52" s="16"/>
      <c r="I52" s="21" t="s">
        <v>645</v>
      </c>
      <c r="J52" s="21" t="s">
        <v>646</v>
      </c>
      <c r="K52" s="21" t="s">
        <v>647</v>
      </c>
    </row>
    <row r="53" customFormat="false" ht="15" hidden="false" customHeight="false" outlineLevel="0" collapsed="false">
      <c r="B53" s="22" t="s">
        <v>645</v>
      </c>
      <c r="C53" s="39" t="n">
        <f aca="false">EXP(C46)</f>
        <v>4.11325037878293</v>
      </c>
      <c r="D53" s="39" t="n">
        <f aca="false">EXP(D46)</f>
        <v>1</v>
      </c>
      <c r="E53" s="39" t="n">
        <f aca="false">EXP(E46)</f>
        <v>2.02811498164747</v>
      </c>
      <c r="F53" s="31" t="n">
        <f aca="false">SUM(C53:E53)</f>
        <v>7.1413653604304</v>
      </c>
      <c r="H53" s="22" t="s">
        <v>645</v>
      </c>
      <c r="I53" s="41" t="n">
        <f aca="false">C53/F53</f>
        <v>0.575975345215362</v>
      </c>
      <c r="J53" s="41" t="n">
        <f aca="false">D53/F53</f>
        <v>0.140029245043378</v>
      </c>
      <c r="K53" s="41" t="n">
        <f aca="false">E53/F53</f>
        <v>0.28399540974126</v>
      </c>
    </row>
    <row r="54" customFormat="false" ht="15" hidden="false" customHeight="false" outlineLevel="0" collapsed="false">
      <c r="B54" s="22" t="s">
        <v>646</v>
      </c>
      <c r="C54" s="39" t="n">
        <f aca="false">EXP(C47)</f>
        <v>4.11325037878293</v>
      </c>
      <c r="D54" s="39" t="n">
        <f aca="false">EXP(D47)</f>
        <v>2.02811498164747</v>
      </c>
      <c r="E54" s="39" t="n">
        <f aca="false">EXP(E47)</f>
        <v>4.11325037878293</v>
      </c>
      <c r="F54" s="31" t="n">
        <f aca="false">SUM(C54:E54)</f>
        <v>10.2546157392133</v>
      </c>
      <c r="H54" s="22" t="s">
        <v>646</v>
      </c>
      <c r="I54" s="41" t="n">
        <f aca="false">C54/F54</f>
        <v>0.401112092679786</v>
      </c>
      <c r="J54" s="41" t="n">
        <f aca="false">D54/F54</f>
        <v>0.197775814640428</v>
      </c>
      <c r="K54" s="41" t="n">
        <f aca="false">E54/F54</f>
        <v>0.401112092679786</v>
      </c>
    </row>
    <row r="55" customFormat="false" ht="15" hidden="false" customHeight="false" outlineLevel="0" collapsed="false">
      <c r="B55" s="22" t="s">
        <v>647</v>
      </c>
      <c r="C55" s="39" t="n">
        <f aca="false">EXP(C48)</f>
        <v>1</v>
      </c>
      <c r="D55" s="39" t="n">
        <f aca="false">EXP(D48)</f>
        <v>4.11325037878293</v>
      </c>
      <c r="E55" s="39" t="n">
        <f aca="false">EXP(E48)</f>
        <v>4.11325037878293</v>
      </c>
      <c r="F55" s="31" t="n">
        <f aca="false">SUM(C55:E55)</f>
        <v>9.22650075756585</v>
      </c>
      <c r="H55" s="22" t="s">
        <v>647</v>
      </c>
      <c r="I55" s="41" t="n">
        <f aca="false">C55/F55</f>
        <v>0.108383451784794</v>
      </c>
      <c r="J55" s="41" t="n">
        <f aca="false">D55/F55</f>
        <v>0.445808274107603</v>
      </c>
      <c r="K55" s="41" t="n">
        <f aca="false">E55/F55</f>
        <v>0.445808274107603</v>
      </c>
    </row>
    <row r="57" customFormat="false" ht="15.75" hidden="false" customHeight="true" outlineLevel="0" collapsed="false">
      <c r="B57" s="10" t="s">
        <v>665</v>
      </c>
      <c r="C57" s="29" t="str">
        <f aca="false">"softmax("&amp;IF(ROUND(C46,3)&lt;0,"("&amp;ROUND(C46,3)&amp;")",ROUND(C46,3)&amp;"")&amp;", "&amp;IF(ROUND(D46,3)&lt;0,"("&amp;ROUND(D46,3)&amp;")",ROUND(D46,3)&amp;"")&amp;", "&amp;IF(ROUND(E46,3)&lt;0,"("&amp;ROUND(E46,3)&amp;")",ROUND(E46,3)&amp;"")&amp;") = ("&amp;IF(ROUND(C53,3)&lt;0,"("&amp;ROUND(C53,3)&amp;")",ROUND(C53,3)&amp;"")&amp;", "&amp;IF(ROUND(D53,3)&lt;0,"("&amp;ROUND(D53,3)&amp;")",ROUND(D53,3)&amp;"")&amp;", "&amp;IF(ROUND(E53,3)&lt;0,"("&amp;ROUND(E53,3)&amp;")",ROUND(E53,3)&amp;"")&amp;") ÷ "&amp;IF(ROUND(F53,3)&lt;0,"("&amp;ROUND(F53,3)&amp;")",ROUND(F53,3)&amp;"")&amp;" = ("&amp;IF(ROUND(I53,3)&lt;0,"("&amp;ROUND(I53,3)&amp;")",ROUND(I53,3)&amp;"")&amp;", "&amp;IF(ROUND(J53,3)&lt;0,"("&amp;ROUND(J53,3)&amp;")",ROUND(J53,3)&amp;"")&amp;", "&amp;IF(ROUND(K53,3)&lt;0,"("&amp;ROUND(K53,3)&amp;")",ROUND(K53,3)&amp;"")&amp;")"</f>
        <v>softmax(1.414, 0, 0.707) = (4.113, 1, 2.028) ÷ 7.141 = (0.576, 0.14, 0.284)</v>
      </c>
      <c r="D57" s="29"/>
      <c r="E57" s="29"/>
      <c r="F57" s="29"/>
      <c r="G57" s="29"/>
      <c r="H57" s="29"/>
      <c r="I57" s="29"/>
      <c r="J57" s="29"/>
      <c r="K57" s="29"/>
      <c r="L57" s="29"/>
      <c r="M57" s="29"/>
      <c r="N57" s="29"/>
    </row>
    <row r="58" customFormat="false" ht="17.25" hidden="false" customHeight="true" outlineLevel="0" collapsed="false">
      <c r="B58" s="76" t="s">
        <v>666</v>
      </c>
      <c r="C58" s="5" t="s">
        <v>667</v>
      </c>
      <c r="D58" s="5"/>
      <c r="E58" s="5"/>
      <c r="F58" s="5"/>
      <c r="G58" s="5"/>
      <c r="H58" s="5"/>
      <c r="I58" s="5"/>
      <c r="J58" s="5"/>
      <c r="K58" s="5"/>
      <c r="L58" s="5"/>
      <c r="M58" s="5"/>
      <c r="N58" s="5"/>
    </row>
    <row r="59" customFormat="false" ht="17.25" hidden="false" customHeight="true" outlineLevel="0" collapsed="false">
      <c r="B59" s="20" t="s">
        <v>640</v>
      </c>
      <c r="C59" s="20"/>
      <c r="D59" s="20"/>
    </row>
    <row r="60" customFormat="false" ht="15" hidden="false" customHeight="false" outlineLevel="0" collapsed="false">
      <c r="B60" s="16"/>
      <c r="C60" s="21" t="s">
        <v>643</v>
      </c>
      <c r="D60" s="21" t="s">
        <v>644</v>
      </c>
    </row>
    <row r="61" customFormat="false" ht="15" hidden="false" customHeight="false" outlineLevel="0" collapsed="false">
      <c r="B61" s="22" t="s">
        <v>645</v>
      </c>
      <c r="C61" s="41" t="n">
        <f aca="false">I53*K22+J53*K23+K53*K24</f>
        <v>0.859970754956622</v>
      </c>
      <c r="D61" s="41" t="n">
        <f aca="false">I53*L22+J53*L23+K53*L24</f>
        <v>0.424024654784638</v>
      </c>
    </row>
    <row r="62" customFormat="false" ht="15" hidden="false" customHeight="false" outlineLevel="0" collapsed="false">
      <c r="B62" s="22" t="s">
        <v>646</v>
      </c>
      <c r="C62" s="41" t="n">
        <f aca="false">I54*K22+J54*K23+K54*K24</f>
        <v>0.802224185359572</v>
      </c>
      <c r="D62" s="41" t="n">
        <f aca="false">I54*L22+J54*L23+K54*L24</f>
        <v>0.598887907320214</v>
      </c>
    </row>
    <row r="63" customFormat="false" ht="15" hidden="false" customHeight="false" outlineLevel="0" collapsed="false">
      <c r="B63" s="22" t="s">
        <v>647</v>
      </c>
      <c r="C63" s="41" t="n">
        <f aca="false">I55*K22+J55*K23+K55*K24</f>
        <v>0.554191725892397</v>
      </c>
      <c r="D63" s="41" t="n">
        <f aca="false">I55*L22+J55*L23+K55*L24</f>
        <v>0.891616548215206</v>
      </c>
    </row>
    <row r="65" customFormat="false" ht="15.75" hidden="false" customHeight="true" outlineLevel="0" collapsed="false">
      <c r="B65" s="10" t="s">
        <v>668</v>
      </c>
      <c r="C65" s="29" t="str">
        <f aca="false">IF(ROUND(I53,3)&lt;0,"("&amp;ROUND(I53,3)&amp;")",ROUND(I53,3)&amp;"")&amp;"×"&amp;IF(ROUND(K22,3)&lt;0,"("&amp;ROUND(K22,3)&amp;")",ROUND(K22,3)&amp;"")&amp;" + "&amp;IF(ROUND(J53,3)&lt;0,"("&amp;ROUND(J53,3)&amp;")",ROUND(J53,3)&amp;"")&amp;"×"&amp;IF(ROUND(K23,3)&lt;0,"("&amp;ROUND(K23,3)&amp;")",ROUND(K23,3)&amp;"")&amp;" + "&amp;IF(ROUND(K53,3)&lt;0,"("&amp;ROUND(K53,3)&amp;")",ROUND(K53,3)&amp;"")&amp;"×"&amp;IF(ROUND(K24,3)&lt;0,"("&amp;ROUND(K24,3)&amp;")",ROUND(K24,3)&amp;"")&amp;"  =  "&amp;IF(ROUND(C61,3)&lt;0,"("&amp;ROUND(C61,3)&amp;")",ROUND(C61,3)&amp;"")</f>
        <v>0.576×1 + 0.14×0 + 0.284×1  =  0.86</v>
      </c>
      <c r="D65" s="29"/>
      <c r="E65" s="29"/>
      <c r="F65" s="29"/>
      <c r="G65" s="29"/>
      <c r="H65" s="29"/>
      <c r="I65" s="29"/>
      <c r="J65" s="29"/>
      <c r="K65" s="29"/>
      <c r="L65" s="29"/>
      <c r="M65" s="29"/>
      <c r="N65" s="29"/>
    </row>
    <row r="66" customFormat="false" ht="15.75" hidden="false" customHeight="true" outlineLevel="0" collapsed="false">
      <c r="B66" s="10" t="s">
        <v>669</v>
      </c>
      <c r="C66" s="29" t="str">
        <f aca="false">IF(ROUND(I53,3)&lt;0,"("&amp;ROUND(I53,3)&amp;")",ROUND(I53,3)&amp;"")&amp;"×"&amp;IF(ROUND(L22,3)&lt;0,"("&amp;ROUND(L22,3)&amp;")",ROUND(L22,3)&amp;"")&amp;" + "&amp;IF(ROUND(J53,3)&lt;0,"("&amp;ROUND(J53,3)&amp;")",ROUND(J53,3)&amp;"")&amp;"×"&amp;IF(ROUND(L23,3)&lt;0,"("&amp;ROUND(L23,3)&amp;")",ROUND(L23,3)&amp;"")&amp;" + "&amp;IF(ROUND(K53,3)&lt;0,"("&amp;ROUND(K53,3)&amp;")",ROUND(K53,3)&amp;"")&amp;"×"&amp;IF(ROUND(L24,3)&lt;0,"("&amp;ROUND(L24,3)&amp;")",ROUND(L24,3)&amp;"")&amp;"  =  "&amp;IF(ROUND(D61,3)&lt;0,"("&amp;ROUND(D61,3)&amp;")",ROUND(D61,3)&amp;"")</f>
        <v>0.576×0 + 0.14×1 + 0.284×1  =  0.424</v>
      </c>
      <c r="D66" s="29"/>
      <c r="E66" s="29"/>
      <c r="F66" s="29"/>
      <c r="G66" s="29"/>
      <c r="H66" s="29"/>
      <c r="I66" s="29"/>
      <c r="J66" s="29"/>
      <c r="K66" s="29"/>
      <c r="L66" s="29"/>
      <c r="M66" s="29"/>
      <c r="N66" s="29"/>
    </row>
    <row r="67" customFormat="false" ht="15.75" hidden="false" customHeight="true" outlineLevel="0" collapsed="false">
      <c r="B67" s="10" t="s">
        <v>670</v>
      </c>
      <c r="C67" s="29" t="str">
        <f aca="false">IF(ROUND(I54,3)&lt;0,"("&amp;ROUND(I54,3)&amp;")",ROUND(I54,3)&amp;"")&amp;"×"&amp;IF(ROUND(K22,3)&lt;0,"("&amp;ROUND(K22,3)&amp;")",ROUND(K22,3)&amp;"")&amp;" + "&amp;IF(ROUND(J54,3)&lt;0,"("&amp;ROUND(J54,3)&amp;")",ROUND(J54,3)&amp;"")&amp;"×"&amp;IF(ROUND(K23,3)&lt;0,"("&amp;ROUND(K23,3)&amp;")",ROUND(K23,3)&amp;"")&amp;" + "&amp;IF(ROUND(K54,3)&lt;0,"("&amp;ROUND(K54,3)&amp;")",ROUND(K54,3)&amp;"")&amp;"×"&amp;IF(ROUND(K24,3)&lt;0,"("&amp;ROUND(K24,3)&amp;")",ROUND(K24,3)&amp;"")&amp;"  =  "&amp;IF(ROUND(C62,3)&lt;0,"("&amp;ROUND(C62,3)&amp;")",ROUND(C62,3)&amp;"")</f>
        <v>0.401×1 + 0.198×0 + 0.401×1  =  0.802</v>
      </c>
      <c r="D67" s="29"/>
      <c r="E67" s="29"/>
      <c r="F67" s="29"/>
      <c r="G67" s="29"/>
      <c r="H67" s="29"/>
      <c r="I67" s="29"/>
      <c r="J67" s="29"/>
      <c r="K67" s="29"/>
      <c r="L67" s="29"/>
      <c r="M67" s="29"/>
      <c r="N67" s="29"/>
    </row>
    <row r="68" customFormat="false" ht="15.75" hidden="false" customHeight="true" outlineLevel="0" collapsed="false">
      <c r="B68" s="10" t="s">
        <v>671</v>
      </c>
      <c r="C68" s="29" t="str">
        <f aca="false">IF(ROUND(I54,3)&lt;0,"("&amp;ROUND(I54,3)&amp;")",ROUND(I54,3)&amp;"")&amp;"×"&amp;IF(ROUND(L22,3)&lt;0,"("&amp;ROUND(L22,3)&amp;")",ROUND(L22,3)&amp;"")&amp;" + "&amp;IF(ROUND(J54,3)&lt;0,"("&amp;ROUND(J54,3)&amp;")",ROUND(J54,3)&amp;"")&amp;"×"&amp;IF(ROUND(L23,3)&lt;0,"("&amp;ROUND(L23,3)&amp;")",ROUND(L23,3)&amp;"")&amp;" + "&amp;IF(ROUND(K54,3)&lt;0,"("&amp;ROUND(K54,3)&amp;")",ROUND(K54,3)&amp;"")&amp;"×"&amp;IF(ROUND(L24,3)&lt;0,"("&amp;ROUND(L24,3)&amp;")",ROUND(L24,3)&amp;"")&amp;"  =  "&amp;IF(ROUND(D62,3)&lt;0,"("&amp;ROUND(D62,3)&amp;")",ROUND(D62,3)&amp;"")</f>
        <v>0.401×0 + 0.198×1 + 0.401×1  =  0.599</v>
      </c>
      <c r="D68" s="29"/>
      <c r="E68" s="29"/>
      <c r="F68" s="29"/>
      <c r="G68" s="29"/>
      <c r="H68" s="29"/>
      <c r="I68" s="29"/>
      <c r="J68" s="29"/>
      <c r="K68" s="29"/>
      <c r="L68" s="29"/>
      <c r="M68" s="29"/>
      <c r="N68" s="29"/>
    </row>
    <row r="69" customFormat="false" ht="15.75" hidden="false" customHeight="true" outlineLevel="0" collapsed="false">
      <c r="B69" s="10" t="s">
        <v>672</v>
      </c>
      <c r="C69" s="29" t="str">
        <f aca="false">IF(ROUND(I55,3)&lt;0,"("&amp;ROUND(I55,3)&amp;")",ROUND(I55,3)&amp;"")&amp;"×"&amp;IF(ROUND(K22,3)&lt;0,"("&amp;ROUND(K22,3)&amp;")",ROUND(K22,3)&amp;"")&amp;" + "&amp;IF(ROUND(J55,3)&lt;0,"("&amp;ROUND(J55,3)&amp;")",ROUND(J55,3)&amp;"")&amp;"×"&amp;IF(ROUND(K23,3)&lt;0,"("&amp;ROUND(K23,3)&amp;")",ROUND(K23,3)&amp;"")&amp;" + "&amp;IF(ROUND(K55,3)&lt;0,"("&amp;ROUND(K55,3)&amp;")",ROUND(K55,3)&amp;"")&amp;"×"&amp;IF(ROUND(K24,3)&lt;0,"("&amp;ROUND(K24,3)&amp;")",ROUND(K24,3)&amp;"")&amp;"  =  "&amp;IF(ROUND(C63,3)&lt;0,"("&amp;ROUND(C63,3)&amp;")",ROUND(C63,3)&amp;"")</f>
        <v>0.108×1 + 0.446×0 + 0.446×1  =  0.554</v>
      </c>
      <c r="D69" s="29"/>
      <c r="E69" s="29"/>
      <c r="F69" s="29"/>
      <c r="G69" s="29"/>
      <c r="H69" s="29"/>
      <c r="I69" s="29"/>
      <c r="J69" s="29"/>
      <c r="K69" s="29"/>
      <c r="L69" s="29"/>
      <c r="M69" s="29"/>
      <c r="N69" s="29"/>
    </row>
    <row r="70" customFormat="false" ht="15.75" hidden="false" customHeight="true" outlineLevel="0" collapsed="false">
      <c r="B70" s="10" t="s">
        <v>673</v>
      </c>
      <c r="C70" s="29" t="str">
        <f aca="false">IF(ROUND(I55,3)&lt;0,"("&amp;ROUND(I55,3)&amp;")",ROUND(I55,3)&amp;"")&amp;"×"&amp;IF(ROUND(L22,3)&lt;0,"("&amp;ROUND(L22,3)&amp;")",ROUND(L22,3)&amp;"")&amp;" + "&amp;IF(ROUND(J55,3)&lt;0,"("&amp;ROUND(J55,3)&amp;")",ROUND(J55,3)&amp;"")&amp;"×"&amp;IF(ROUND(L23,3)&lt;0,"("&amp;ROUND(L23,3)&amp;")",ROUND(L23,3)&amp;"")&amp;" + "&amp;IF(ROUND(K55,3)&lt;0,"("&amp;ROUND(K55,3)&amp;")",ROUND(K55,3)&amp;"")&amp;"×"&amp;IF(ROUND(L24,3)&lt;0,"("&amp;ROUND(L24,3)&amp;")",ROUND(L24,3)&amp;"")&amp;"  =  "&amp;IF(ROUND(D63,3)&lt;0,"("&amp;ROUND(D63,3)&amp;")",ROUND(D63,3)&amp;"")</f>
        <v>0.108×0 + 0.446×1 + 0.446×1  =  0.892</v>
      </c>
      <c r="D70" s="29"/>
      <c r="E70" s="29"/>
      <c r="F70" s="29"/>
      <c r="G70" s="29"/>
      <c r="H70" s="29"/>
      <c r="I70" s="29"/>
      <c r="J70" s="29"/>
      <c r="K70" s="29"/>
      <c r="L70" s="29"/>
      <c r="M70" s="29"/>
      <c r="N70" s="29"/>
    </row>
    <row r="71" customFormat="false" ht="31.5" hidden="false" customHeight="true" outlineLevel="0" collapsed="false">
      <c r="B71" s="5" t="s">
        <v>674</v>
      </c>
      <c r="C71" s="5"/>
      <c r="D71" s="5"/>
      <c r="E71" s="5"/>
      <c r="F71" s="5"/>
      <c r="G71" s="5"/>
      <c r="H71" s="5"/>
      <c r="I71" s="5"/>
      <c r="J71" s="5"/>
      <c r="K71" s="5"/>
      <c r="L71" s="5"/>
      <c r="M71" s="5"/>
      <c r="N71" s="5"/>
    </row>
    <row r="73" customFormat="false" ht="21.75" hidden="false" customHeight="true" outlineLevel="0" collapsed="false">
      <c r="B73" s="4" t="s">
        <v>675</v>
      </c>
      <c r="C73" s="4"/>
      <c r="D73" s="4"/>
      <c r="E73" s="4"/>
      <c r="F73" s="4"/>
      <c r="G73" s="4"/>
      <c r="H73" s="4"/>
      <c r="I73" s="4"/>
      <c r="J73" s="4"/>
      <c r="K73" s="4"/>
      <c r="L73" s="4"/>
      <c r="M73" s="4"/>
      <c r="N73" s="4"/>
    </row>
    <row r="74" customFormat="false" ht="17.25" hidden="false" customHeight="true" outlineLevel="0" collapsed="false">
      <c r="B74" s="20" t="s">
        <v>676</v>
      </c>
      <c r="C74" s="20"/>
      <c r="D74" s="20"/>
      <c r="E74" s="20"/>
      <c r="F74" s="20"/>
      <c r="H74" s="20" t="s">
        <v>677</v>
      </c>
      <c r="I74" s="20"/>
      <c r="J74" s="20"/>
      <c r="K74" s="20"/>
      <c r="L74" s="20"/>
    </row>
    <row r="75" customFormat="false" ht="15" hidden="false" customHeight="false" outlineLevel="0" collapsed="false">
      <c r="B75" s="16"/>
      <c r="C75" s="21" t="s">
        <v>389</v>
      </c>
      <c r="D75" s="21" t="s">
        <v>390</v>
      </c>
      <c r="E75" s="21" t="s">
        <v>391</v>
      </c>
      <c r="F75" s="21" t="s">
        <v>392</v>
      </c>
      <c r="H75" s="16"/>
      <c r="I75" s="21" t="s">
        <v>389</v>
      </c>
      <c r="J75" s="21" t="s">
        <v>390</v>
      </c>
      <c r="K75" s="21" t="s">
        <v>391</v>
      </c>
      <c r="L75" s="21" t="s">
        <v>392</v>
      </c>
    </row>
    <row r="76" customFormat="false" ht="15" hidden="false" customHeight="false" outlineLevel="0" collapsed="false">
      <c r="B76" s="22" t="str">
        <f aca="false">'03 Embeddings'!$B$36</f>
        <v>the</v>
      </c>
      <c r="C76" s="68" t="n">
        <f aca="false">'05 Query-Key-Value'!$C$82</f>
        <v>1.2</v>
      </c>
      <c r="D76" s="68" t="n">
        <f aca="false">'05 Query-Key-Value'!$D$82</f>
        <v>-0.4</v>
      </c>
      <c r="E76" s="68" t="n">
        <f aca="false">'05 Query-Key-Value'!$E$82</f>
        <v>0.8</v>
      </c>
      <c r="F76" s="68" t="n">
        <f aca="false">'05 Query-Key-Value'!$F$82</f>
        <v>0.4</v>
      </c>
      <c r="H76" s="22" t="str">
        <f aca="false">'03 Embeddings'!$B$36</f>
        <v>the</v>
      </c>
      <c r="I76" s="68" t="n">
        <f aca="false">'05 Query-Key-Value'!$I$82</f>
        <v>2</v>
      </c>
      <c r="J76" s="68" t="n">
        <f aca="false">'05 Query-Key-Value'!$J$82</f>
        <v>0.8</v>
      </c>
      <c r="K76" s="68" t="n">
        <f aca="false">'05 Query-Key-Value'!$K$82</f>
        <v>0.4</v>
      </c>
      <c r="L76" s="68" t="n">
        <f aca="false">'05 Query-Key-Value'!$L$82</f>
        <v>0</v>
      </c>
    </row>
    <row r="77" customFormat="false" ht="15" hidden="false" customHeight="false" outlineLevel="0" collapsed="false">
      <c r="B77" s="22" t="str">
        <f aca="false">'03 Embeddings'!$B$37</f>
        <v>cat</v>
      </c>
      <c r="C77" s="68" t="n">
        <f aca="false">'05 Query-Key-Value'!$C$83</f>
        <v>1.05147081814206</v>
      </c>
      <c r="D77" s="68" t="n">
        <f aca="false">'05 Query-Key-Value'!$D$83</f>
        <v>1.34035230545147</v>
      </c>
      <c r="E77" s="68" t="n">
        <f aca="false">'05 Query-Key-Value'!$E$83</f>
        <v>-0.56852884852627</v>
      </c>
      <c r="F77" s="68" t="n">
        <f aca="false">'05 Query-Key-Value'!$F$83</f>
        <v>-1.34035230545147</v>
      </c>
      <c r="H77" s="22" t="str">
        <f aca="false">'03 Embeddings'!$B$37</f>
        <v>cat</v>
      </c>
      <c r="I77" s="68" t="n">
        <f aca="false">'05 Query-Key-Value'!$I$83</f>
        <v>1.04142098522456</v>
      </c>
      <c r="J77" s="68" t="n">
        <f aca="false">'05 Query-Key-Value'!$J$83</f>
        <v>2.95030213920231</v>
      </c>
      <c r="K77" s="68" t="n">
        <f aca="false">'05 Query-Key-Value'!$K$83</f>
        <v>1.33030247253397</v>
      </c>
      <c r="L77" s="68" t="n">
        <f aca="false">'05 Query-Key-Value'!$L$83</f>
        <v>-0.558479015608769</v>
      </c>
    </row>
    <row r="78" customFormat="false" ht="15" hidden="false" customHeight="false" outlineLevel="0" collapsed="false">
      <c r="B78" s="22" t="str">
        <f aca="false">'03 Embeddings'!$B$38</f>
        <v>sat</v>
      </c>
      <c r="C78" s="68" t="n">
        <f aca="false">'05 Query-Key-Value'!$C$84</f>
        <v>0.129296093519015</v>
      </c>
      <c r="D78" s="68" t="n">
        <f aca="false">'05 Query-Key-Value'!$D$84</f>
        <v>-2.21594684321372</v>
      </c>
      <c r="E78" s="68" t="n">
        <f aca="false">'05 Query-Key-Value'!$E$84</f>
        <v>2.48929876013235</v>
      </c>
      <c r="F78" s="68" t="n">
        <f aca="false">'05 Query-Key-Value'!$F$84</f>
        <v>2.21594684321372</v>
      </c>
      <c r="H78" s="22" t="str">
        <f aca="false">'03 Embeddings'!$B$38</f>
        <v>sat</v>
      </c>
      <c r="I78" s="68" t="n">
        <f aca="false">'05 Query-Key-Value'!$I$84</f>
        <v>3.30909743349226</v>
      </c>
      <c r="J78" s="68" t="n">
        <f aca="false">'05 Query-Key-Value'!$J$84</f>
        <v>-1.39614816985381</v>
      </c>
      <c r="K78" s="68" t="n">
        <f aca="false">'05 Query-Key-Value'!$K$84</f>
        <v>0.963854496759524</v>
      </c>
      <c r="L78" s="68" t="n">
        <f aca="false">'05 Query-Key-Value'!$L$84</f>
        <v>-0.690502579840896</v>
      </c>
    </row>
    <row r="80" customFormat="false" ht="17.25" hidden="false" customHeight="true" outlineLevel="0" collapsed="false">
      <c r="B80" s="20" t="s">
        <v>678</v>
      </c>
      <c r="C80" s="20"/>
      <c r="D80" s="20"/>
      <c r="E80" s="20"/>
      <c r="F80" s="20"/>
    </row>
    <row r="81" customFormat="false" ht="15" hidden="false" customHeight="false" outlineLevel="0" collapsed="false">
      <c r="B81" s="16"/>
      <c r="C81" s="21" t="s">
        <v>389</v>
      </c>
      <c r="D81" s="21" t="s">
        <v>390</v>
      </c>
      <c r="E81" s="21" t="s">
        <v>391</v>
      </c>
      <c r="F81" s="21" t="s">
        <v>392</v>
      </c>
    </row>
    <row r="82" customFormat="false" ht="15" hidden="false" customHeight="false" outlineLevel="0" collapsed="false">
      <c r="B82" s="22" t="str">
        <f aca="false">'03 Embeddings'!$B$36</f>
        <v>the</v>
      </c>
      <c r="C82" s="68" t="n">
        <f aca="false">'05 Query-Key-Value'!$C$88</f>
        <v>1</v>
      </c>
      <c r="D82" s="68" t="n">
        <f aca="false">'05 Query-Key-Value'!$D$88</f>
        <v>0.6</v>
      </c>
      <c r="E82" s="68" t="n">
        <f aca="false">'05 Query-Key-Value'!$E$88</f>
        <v>0.7</v>
      </c>
      <c r="F82" s="68" t="n">
        <f aca="false">'05 Query-Key-Value'!$F$88</f>
        <v>0.5</v>
      </c>
    </row>
    <row r="83" customFormat="false" ht="15" hidden="false" customHeight="false" outlineLevel="0" collapsed="false">
      <c r="B83" s="22" t="str">
        <f aca="false">'03 Embeddings'!$B$37</f>
        <v>cat</v>
      </c>
      <c r="C83" s="68" t="n">
        <f aca="false">'05 Query-Key-Value'!$C$89</f>
        <v>0.520710492612281</v>
      </c>
      <c r="D83" s="68" t="n">
        <f aca="false">'05 Query-Key-Value'!$D$89</f>
        <v>2.14030230586814</v>
      </c>
      <c r="E83" s="68" t="n">
        <f aca="false">'05 Query-Key-Value'!$E$89</f>
        <v>0.930735325738115</v>
      </c>
      <c r="F83" s="68" t="n">
        <f aca="false">'05 Query-Key-Value'!$F$89</f>
        <v>0.399975000208333</v>
      </c>
    </row>
    <row r="84" customFormat="false" ht="15" hidden="false" customHeight="false" outlineLevel="0" collapsed="false">
      <c r="B84" s="22" t="str">
        <f aca="false">'03 Embeddings'!$B$38</f>
        <v>sat</v>
      </c>
      <c r="C84" s="68" t="n">
        <f aca="false">'05 Query-Key-Value'!$C$90</f>
        <v>1.65454871674613</v>
      </c>
      <c r="D84" s="68" t="n">
        <f aca="false">'05 Query-Key-Value'!$D$90</f>
        <v>-0.216146836547142</v>
      </c>
      <c r="E84" s="68" t="n">
        <f aca="false">'05 Query-Key-Value'!$E$90</f>
        <v>-0.525352619893826</v>
      </c>
      <c r="F84" s="68" t="n">
        <f aca="false">'05 Query-Key-Value'!$F$90</f>
        <v>0.999900003333289</v>
      </c>
    </row>
    <row r="86" customFormat="false" ht="17.25" hidden="false" customHeight="true" outlineLevel="0" collapsed="false">
      <c r="B86" s="22" t="s">
        <v>648</v>
      </c>
      <c r="C86" s="23" t="n">
        <v>4</v>
      </c>
      <c r="D86" s="27" t="s">
        <v>679</v>
      </c>
      <c r="E86" s="27"/>
      <c r="F86" s="27"/>
      <c r="G86" s="27"/>
      <c r="H86" s="27"/>
      <c r="I86" s="27"/>
      <c r="J86" s="27"/>
      <c r="K86" s="27"/>
      <c r="L86" s="27"/>
      <c r="M86" s="27"/>
      <c r="N86" s="27"/>
    </row>
    <row r="87" customFormat="false" ht="17.25" hidden="false" customHeight="true" outlineLevel="0" collapsed="false">
      <c r="B87" s="20" t="s">
        <v>630</v>
      </c>
      <c r="C87" s="20"/>
      <c r="D87" s="20"/>
      <c r="E87" s="20"/>
      <c r="G87" s="20" t="s">
        <v>634</v>
      </c>
      <c r="H87" s="20"/>
      <c r="I87" s="20"/>
      <c r="J87" s="20"/>
    </row>
    <row r="88" customFormat="false" ht="15" hidden="false" customHeight="false" outlineLevel="0" collapsed="false">
      <c r="B88" s="16"/>
      <c r="C88" s="21" t="str">
        <f aca="false">'03 Embeddings'!$B$36</f>
        <v>the</v>
      </c>
      <c r="D88" s="21" t="str">
        <f aca="false">'03 Embeddings'!$B$37</f>
        <v>cat</v>
      </c>
      <c r="E88" s="21" t="str">
        <f aca="false">'03 Embeddings'!$B$38</f>
        <v>sat</v>
      </c>
      <c r="G88" s="16"/>
      <c r="H88" s="21" t="str">
        <f aca="false">'03 Embeddings'!$B$36</f>
        <v>the</v>
      </c>
      <c r="I88" s="21" t="str">
        <f aca="false">'03 Embeddings'!$B$37</f>
        <v>cat</v>
      </c>
      <c r="J88" s="21" t="str">
        <f aca="false">'03 Embeddings'!$B$38</f>
        <v>sat</v>
      </c>
    </row>
    <row r="89" customFormat="false" ht="15" hidden="false" customHeight="false" outlineLevel="0" collapsed="false">
      <c r="B89" s="22" t="str">
        <f aca="false">'03 Embeddings'!$B$36</f>
        <v>the</v>
      </c>
      <c r="C89" s="39" t="n">
        <f aca="false">C76*I76+D76*J76+E76*K76+F76*L76</f>
        <v>2.4</v>
      </c>
      <c r="D89" s="39" t="n">
        <f aca="false">C76*I77+D76*J77+E76*K77+F76*L77</f>
        <v>0.910434698372223</v>
      </c>
      <c r="E89" s="39" t="n">
        <f aca="false">C76*I78+D76*J78+E76*K78+F76*L78</f>
        <v>5.0242587536035</v>
      </c>
      <c r="G89" s="22" t="str">
        <f aca="false">'03 Embeddings'!$B$36</f>
        <v>the</v>
      </c>
      <c r="H89" s="39" t="n">
        <f aca="false">C89/SQRT(C86)</f>
        <v>1.2</v>
      </c>
      <c r="I89" s="39" t="n">
        <f aca="false">D89/SQRT(C86)</f>
        <v>0.455217349186111</v>
      </c>
      <c r="J89" s="39" t="n">
        <f aca="false">E89/SQRT(C86)</f>
        <v>2.51212937680175</v>
      </c>
    </row>
    <row r="90" customFormat="false" ht="15" hidden="false" customHeight="false" outlineLevel="0" collapsed="false">
      <c r="B90" s="22" t="str">
        <f aca="false">'03 Embeddings'!$B$37</f>
        <v>cat</v>
      </c>
      <c r="C90" s="39" t="n">
        <f aca="false">C77*I76+D77*J76+E77*K76+F77*L76</f>
        <v>2.9478119412348</v>
      </c>
      <c r="D90" s="39" t="n">
        <f aca="false">C77*I77+D77*J77+E77*K77+F77*L77</f>
        <v>5.04171135263871</v>
      </c>
      <c r="E90" s="39" t="n">
        <f aca="false">C77*I78+D77*J78+E77*K78+F77*L78</f>
        <v>1.98562660511087</v>
      </c>
      <c r="G90" s="22" t="str">
        <f aca="false">'03 Embeddings'!$B$37</f>
        <v>cat</v>
      </c>
      <c r="H90" s="39" t="n">
        <f aca="false">C90/SQRT(C86)</f>
        <v>1.4739059706174</v>
      </c>
      <c r="I90" s="39" t="n">
        <f aca="false">D90/SQRT(C86)</f>
        <v>2.52085567631935</v>
      </c>
      <c r="J90" s="39" t="n">
        <f aca="false">E90/SQRT(C86)</f>
        <v>0.992813302555436</v>
      </c>
    </row>
    <row r="91" customFormat="false" ht="15" hidden="false" customHeight="false" outlineLevel="0" collapsed="false">
      <c r="B91" s="22" t="str">
        <f aca="false">'03 Embeddings'!$B$38</f>
        <v>sat</v>
      </c>
      <c r="C91" s="39" t="n">
        <f aca="false">C78*I76+D78*J76+E78*K76+F78*L76</f>
        <v>-0.518445783480007</v>
      </c>
      <c r="D91" s="39" t="n">
        <f aca="false">C78*I77+D78*J77+E78*K77+F78*L77</f>
        <v>-4.32910056295332</v>
      </c>
      <c r="E91" s="39" t="n">
        <f aca="false">C78*I78+D78*J78+E78*K78+F78*L78</f>
        <v>4.39084829257262</v>
      </c>
      <c r="G91" s="22" t="str">
        <f aca="false">'03 Embeddings'!$B$38</f>
        <v>sat</v>
      </c>
      <c r="H91" s="39" t="n">
        <f aca="false">C91/SQRT(C86)</f>
        <v>-0.259222891740003</v>
      </c>
      <c r="I91" s="39" t="n">
        <f aca="false">D91/SQRT(C86)</f>
        <v>-2.16455028147666</v>
      </c>
      <c r="J91" s="39" t="n">
        <f aca="false">E91/SQRT(C86)</f>
        <v>2.19542414628631</v>
      </c>
    </row>
    <row r="93" customFormat="false" ht="15.75" hidden="false" customHeight="true" outlineLevel="0" collapsed="false">
      <c r="B93" s="10" t="s">
        <v>680</v>
      </c>
      <c r="C93" s="29" t="str">
        <f aca="false">IF(ROUND(C77,3)&lt;0,"("&amp;ROUND(C77,3)&amp;")",ROUND(C77,3)&amp;"")&amp;"×"&amp;IF(ROUND(I76,3)&lt;0,"("&amp;ROUND(I76,3)&amp;")",ROUND(I76,3)&amp;"")&amp;" + "&amp;IF(ROUND(D77,3)&lt;0,"("&amp;ROUND(D77,3)&amp;")",ROUND(D77,3)&amp;"")&amp;"×"&amp;IF(ROUND(J76,3)&lt;0,"("&amp;ROUND(J76,3)&amp;")",ROUND(J76,3)&amp;"")&amp;" + "&amp;IF(ROUND(E77,3)&lt;0,"("&amp;ROUND(E77,3)&amp;")",ROUND(E77,3)&amp;"")&amp;"×"&amp;IF(ROUND(K76,3)&lt;0,"("&amp;ROUND(K76,3)&amp;")",ROUND(K76,3)&amp;"")&amp;" + "&amp;IF(ROUND(F77,3)&lt;0,"("&amp;ROUND(F77,3)&amp;")",ROUND(F77,3)&amp;"")&amp;"×"&amp;IF(ROUND(L76,3)&lt;0,"("&amp;ROUND(L76,3)&amp;")",ROUND(L76,3)&amp;"")&amp;"  =  "&amp;IF(ROUND(C90,3)&lt;0,"("&amp;ROUND(C90,3)&amp;")",ROUND(C90,3)&amp;"")</f>
        <v>1.051×2 + 1.34×0.8 + (-0.569)×0.4 + (-1.34)×0  =  2.948</v>
      </c>
      <c r="D93" s="29"/>
      <c r="E93" s="29"/>
      <c r="F93" s="29"/>
      <c r="G93" s="29"/>
      <c r="H93" s="29"/>
      <c r="I93" s="29"/>
      <c r="J93" s="29"/>
      <c r="K93" s="29"/>
      <c r="L93" s="29"/>
      <c r="M93" s="29"/>
      <c r="N93" s="29"/>
    </row>
    <row r="94" customFormat="false" ht="15.75" hidden="false" customHeight="true" outlineLevel="0" collapsed="false">
      <c r="B94" s="10" t="s">
        <v>681</v>
      </c>
      <c r="C94" s="29" t="str">
        <f aca="false">IF(ROUND(C77,3)&lt;0,"("&amp;ROUND(C77,3)&amp;")",ROUND(C77,3)&amp;"")&amp;"×"&amp;IF(ROUND(I77,3)&lt;0,"("&amp;ROUND(I77,3)&amp;")",ROUND(I77,3)&amp;"")&amp;" + "&amp;IF(ROUND(D77,3)&lt;0,"("&amp;ROUND(D77,3)&amp;")",ROUND(D77,3)&amp;"")&amp;"×"&amp;IF(ROUND(J77,3)&lt;0,"("&amp;ROUND(J77,3)&amp;")",ROUND(J77,3)&amp;"")&amp;" + "&amp;IF(ROUND(E77,3)&lt;0,"("&amp;ROUND(E77,3)&amp;")",ROUND(E77,3)&amp;"")&amp;"×"&amp;IF(ROUND(K77,3)&lt;0,"("&amp;ROUND(K77,3)&amp;")",ROUND(K77,3)&amp;"")&amp;" + "&amp;IF(ROUND(F77,3)&lt;0,"("&amp;ROUND(F77,3)&amp;")",ROUND(F77,3)&amp;"")&amp;"×"&amp;IF(ROUND(L77,3)&lt;0,"("&amp;ROUND(L77,3)&amp;")",ROUND(L77,3)&amp;"")&amp;"  =  "&amp;IF(ROUND(D90,3)&lt;0,"("&amp;ROUND(D90,3)&amp;")",ROUND(D90,3)&amp;"")</f>
        <v>1.051×1.041 + 1.34×2.95 + (-0.569)×1.33 + (-1.34)×(-0.558)  =  5.042</v>
      </c>
      <c r="D94" s="29"/>
      <c r="E94" s="29"/>
      <c r="F94" s="29"/>
      <c r="G94" s="29"/>
      <c r="H94" s="29"/>
      <c r="I94" s="29"/>
      <c r="J94" s="29"/>
      <c r="K94" s="29"/>
      <c r="L94" s="29"/>
      <c r="M94" s="29"/>
      <c r="N94" s="29"/>
    </row>
    <row r="95" customFormat="false" ht="15.75" hidden="false" customHeight="true" outlineLevel="0" collapsed="false">
      <c r="B95" s="10" t="s">
        <v>682</v>
      </c>
      <c r="C95" s="29" t="str">
        <f aca="false">IF(ROUND(C77,3)&lt;0,"("&amp;ROUND(C77,3)&amp;")",ROUND(C77,3)&amp;"")&amp;"×"&amp;IF(ROUND(I78,3)&lt;0,"("&amp;ROUND(I78,3)&amp;")",ROUND(I78,3)&amp;"")&amp;" + "&amp;IF(ROUND(D77,3)&lt;0,"("&amp;ROUND(D77,3)&amp;")",ROUND(D77,3)&amp;"")&amp;"×"&amp;IF(ROUND(J78,3)&lt;0,"("&amp;ROUND(J78,3)&amp;")",ROUND(J78,3)&amp;"")&amp;" + "&amp;IF(ROUND(E77,3)&lt;0,"("&amp;ROUND(E77,3)&amp;")",ROUND(E77,3)&amp;"")&amp;"×"&amp;IF(ROUND(K78,3)&lt;0,"("&amp;ROUND(K78,3)&amp;")",ROUND(K78,3)&amp;"")&amp;" + "&amp;IF(ROUND(F77,3)&lt;0,"("&amp;ROUND(F77,3)&amp;")",ROUND(F77,3)&amp;"")&amp;"×"&amp;IF(ROUND(L78,3)&lt;0,"("&amp;ROUND(L78,3)&amp;")",ROUND(L78,3)&amp;"")&amp;"  =  "&amp;IF(ROUND(E90,3)&lt;0,"("&amp;ROUND(E90,3)&amp;")",ROUND(E90,3)&amp;"")</f>
        <v>1.051×3.309 + 1.34×(-1.396) + (-0.569)×0.964 + (-1.34)×(-0.691)  =  1.986</v>
      </c>
      <c r="D95" s="29"/>
      <c r="E95" s="29"/>
      <c r="F95" s="29"/>
      <c r="G95" s="29"/>
      <c r="H95" s="29"/>
      <c r="I95" s="29"/>
      <c r="J95" s="29"/>
      <c r="K95" s="29"/>
      <c r="L95" s="29"/>
      <c r="M95" s="29"/>
      <c r="N95" s="29"/>
    </row>
    <row r="96" customFormat="false" ht="17.25" hidden="false" customHeight="true" outlineLevel="0" collapsed="false">
      <c r="B96" s="20" t="s">
        <v>662</v>
      </c>
      <c r="C96" s="20"/>
      <c r="D96" s="20"/>
      <c r="E96" s="20"/>
      <c r="H96" s="20" t="s">
        <v>663</v>
      </c>
      <c r="I96" s="20"/>
      <c r="J96" s="20"/>
      <c r="K96" s="20"/>
    </row>
    <row r="97" customFormat="false" ht="15" hidden="false" customHeight="false" outlineLevel="0" collapsed="false">
      <c r="B97" s="16"/>
      <c r="C97" s="21" t="str">
        <f aca="false">'03 Embeddings'!$B$36</f>
        <v>the</v>
      </c>
      <c r="D97" s="21" t="str">
        <f aca="false">'03 Embeddings'!$B$37</f>
        <v>cat</v>
      </c>
      <c r="E97" s="21" t="str">
        <f aca="false">'03 Embeddings'!$B$38</f>
        <v>sat</v>
      </c>
      <c r="F97" s="21" t="s">
        <v>664</v>
      </c>
      <c r="H97" s="16"/>
      <c r="I97" s="21" t="str">
        <f aca="false">'03 Embeddings'!$B$36</f>
        <v>the</v>
      </c>
      <c r="J97" s="21" t="str">
        <f aca="false">'03 Embeddings'!$B$37</f>
        <v>cat</v>
      </c>
      <c r="K97" s="21" t="str">
        <f aca="false">'03 Embeddings'!$B$38</f>
        <v>sat</v>
      </c>
    </row>
    <row r="98" customFormat="false" ht="15" hidden="false" customHeight="false" outlineLevel="0" collapsed="false">
      <c r="B98" s="22" t="str">
        <f aca="false">'03 Embeddings'!$B$36</f>
        <v>the</v>
      </c>
      <c r="C98" s="39" t="n">
        <f aca="false">EXP(H89)</f>
        <v>3.32011692273655</v>
      </c>
      <c r="D98" s="39" t="n">
        <f aca="false">EXP(I89)</f>
        <v>1.5765160002684</v>
      </c>
      <c r="E98" s="39" t="n">
        <f aca="false">EXP(J89)</f>
        <v>12.3311598097271</v>
      </c>
      <c r="F98" s="31" t="n">
        <f aca="false">SUM(C98:E98)</f>
        <v>17.2277927327321</v>
      </c>
      <c r="H98" s="22" t="str">
        <f aca="false">'03 Embeddings'!$B$36</f>
        <v>the</v>
      </c>
      <c r="I98" s="41" t="n">
        <f aca="false">C98/F98</f>
        <v>0.192718647957057</v>
      </c>
      <c r="J98" s="41" t="n">
        <f aca="false">D98/F98</f>
        <v>0.0915100398946111</v>
      </c>
      <c r="K98" s="41" t="n">
        <f aca="false">E98/F98</f>
        <v>0.715771312148331</v>
      </c>
    </row>
    <row r="99" customFormat="false" ht="15" hidden="false" customHeight="false" outlineLevel="0" collapsed="false">
      <c r="B99" s="22" t="str">
        <f aca="false">'03 Embeddings'!$B$37</f>
        <v>cat</v>
      </c>
      <c r="C99" s="39" t="n">
        <f aca="false">EXP(H90)</f>
        <v>4.36625634625509</v>
      </c>
      <c r="D99" s="39" t="n">
        <f aca="false">EXP(I90)</f>
        <v>12.4392360707206</v>
      </c>
      <c r="E99" s="39" t="n">
        <f aca="false">EXP(J90)</f>
        <v>2.69881638928004</v>
      </c>
      <c r="F99" s="31" t="n">
        <f aca="false">SUM(C99:E99)</f>
        <v>19.5043088062557</v>
      </c>
      <c r="H99" s="22" t="str">
        <f aca="false">'03 Embeddings'!$B$37</f>
        <v>cat</v>
      </c>
      <c r="I99" s="41" t="n">
        <f aca="false">C99/F99</f>
        <v>0.223861116516709</v>
      </c>
      <c r="J99" s="41" t="n">
        <f aca="false">D99/F99</f>
        <v>0.637768617913334</v>
      </c>
      <c r="K99" s="41" t="n">
        <f aca="false">E99/F99</f>
        <v>0.138370265569957</v>
      </c>
    </row>
    <row r="100" customFormat="false" ht="15" hidden="false" customHeight="false" outlineLevel="0" collapsed="false">
      <c r="B100" s="22" t="str">
        <f aca="false">'03 Embeddings'!$B$38</f>
        <v>sat</v>
      </c>
      <c r="C100" s="39" t="n">
        <f aca="false">EXP(H91)</f>
        <v>0.771651009238063</v>
      </c>
      <c r="D100" s="39" t="n">
        <f aca="false">EXP(I91)</f>
        <v>0.11480155137406</v>
      </c>
      <c r="E100" s="39" t="n">
        <f aca="false">EXP(J91)</f>
        <v>8.98381069878431</v>
      </c>
      <c r="F100" s="31" t="n">
        <f aca="false">SUM(C100:E100)</f>
        <v>9.87026325939643</v>
      </c>
      <c r="H100" s="22" t="str">
        <f aca="false">'03 Embeddings'!$B$38</f>
        <v>sat</v>
      </c>
      <c r="I100" s="41" t="n">
        <f aca="false">C100/F100</f>
        <v>0.0781793746487416</v>
      </c>
      <c r="J100" s="41" t="n">
        <f aca="false">D100/F100</f>
        <v>0.0116310526231172</v>
      </c>
      <c r="K100" s="41" t="n">
        <f aca="false">E100/F100</f>
        <v>0.910189572728141</v>
      </c>
    </row>
    <row r="102" customFormat="false" ht="17.25" hidden="false" customHeight="true" outlineLevel="0" collapsed="false">
      <c r="B102" s="20" t="s">
        <v>640</v>
      </c>
      <c r="C102" s="20"/>
      <c r="D102" s="20"/>
      <c r="E102" s="20"/>
      <c r="F102" s="20"/>
    </row>
    <row r="103" customFormat="false" ht="15" hidden="false" customHeight="false" outlineLevel="0" collapsed="false">
      <c r="B103" s="16"/>
      <c r="C103" s="21" t="s">
        <v>389</v>
      </c>
      <c r="D103" s="21" t="s">
        <v>390</v>
      </c>
      <c r="E103" s="21" t="s">
        <v>391</v>
      </c>
      <c r="F103" s="21" t="s">
        <v>392</v>
      </c>
    </row>
    <row r="104" customFormat="false" ht="15" hidden="false" customHeight="false" outlineLevel="0" collapsed="false">
      <c r="B104" s="22" t="str">
        <f aca="false">'03 Embeddings'!$B$36</f>
        <v>the</v>
      </c>
      <c r="C104" s="41" t="n">
        <f aca="false">I98*C82+J98*C83+K98*C84</f>
        <v>1.42464739190827</v>
      </c>
      <c r="D104" s="41" t="n">
        <f aca="false">I98*D82+J98*D83+K98*D84</f>
        <v>0.156778633358697</v>
      </c>
      <c r="E104" s="41" t="n">
        <f aca="false">I98*E82+J98*E83+K98*E84</f>
        <v>-0.155957653722408</v>
      </c>
      <c r="F104" s="41" t="n">
        <f aca="false">I98*F82+J98*F83+K98*F84</f>
        <v>0.848660789607429</v>
      </c>
    </row>
    <row r="105" customFormat="false" ht="15" hidden="false" customHeight="false" outlineLevel="0" collapsed="false">
      <c r="B105" s="22" t="str">
        <f aca="false">'03 Embeddings'!$B$37</f>
        <v>cat</v>
      </c>
      <c r="C105" s="41" t="n">
        <f aca="false">I99*C82+J99*C83+K99*C84</f>
        <v>0.784894273057608</v>
      </c>
      <c r="D105" s="41" t="n">
        <f aca="false">I99*D82+J99*D83+K99*D84</f>
        <v>1.46942601826514</v>
      </c>
      <c r="E105" s="41" t="n">
        <f aca="false">I99*E82+J99*E83+K99*E84</f>
        <v>0.67760338236823</v>
      </c>
      <c r="F105" s="41" t="n">
        <f aca="false">I99*F82+J99*F83+K99*F84</f>
        <v>0.505378490345736</v>
      </c>
    </row>
    <row r="106" customFormat="false" ht="15" hidden="false" customHeight="false" outlineLevel="0" collapsed="false">
      <c r="B106" s="22" t="str">
        <f aca="false">'03 Embeddings'!$B$38</f>
        <v>sat</v>
      </c>
      <c r="C106" s="41" t="n">
        <f aca="false">I100*C82+J100*C83+K100*C84</f>
        <v>1.59018877534278</v>
      </c>
      <c r="D106" s="41" t="n">
        <f aca="false">I100*D82+J100*D83+K100*D84</f>
        <v>-0.124933003265207</v>
      </c>
      <c r="E106" s="41" t="n">
        <f aca="false">I100*E82+J100*E83+K100*E84</f>
        <v>-0.412619482826798</v>
      </c>
      <c r="F106" s="41" t="n">
        <f aca="false">I100*F82+J100*F83+K100*F84</f>
        <v>0.953840374404519</v>
      </c>
    </row>
    <row r="108" customFormat="false" ht="15.75" hidden="false" customHeight="true" outlineLevel="0" collapsed="false">
      <c r="B108" s="10" t="s">
        <v>683</v>
      </c>
      <c r="C108" s="29" t="str">
        <f aca="false">IF(ROUND(I99,3)&lt;0,"("&amp;ROUND(I99,3)&amp;")",ROUND(I99,3)&amp;"")&amp;"×"&amp;IF(ROUND(C82,3)&lt;0,"("&amp;ROUND(C82,3)&amp;")",ROUND(C82,3)&amp;"")&amp;" + "&amp;IF(ROUND(J99,3)&lt;0,"("&amp;ROUND(J99,3)&amp;")",ROUND(J99,3)&amp;"")&amp;"×"&amp;IF(ROUND(C83,3)&lt;0,"("&amp;ROUND(C83,3)&amp;")",ROUND(C83,3)&amp;"")&amp;" + "&amp;IF(ROUND(K99,3)&lt;0,"("&amp;ROUND(K99,3)&amp;")",ROUND(K99,3)&amp;"")&amp;"×"&amp;IF(ROUND(C84,3)&lt;0,"("&amp;ROUND(C84,3)&amp;")",ROUND(C84,3)&amp;"")&amp;"  =  "&amp;IF(ROUND(C105,3)&lt;0,"("&amp;ROUND(C105,3)&amp;")",ROUND(C105,3)&amp;"")</f>
        <v>0.224×1 + 0.638×0.521 + 0.138×1.655  =  0.785</v>
      </c>
      <c r="D108" s="29"/>
      <c r="E108" s="29"/>
      <c r="F108" s="29"/>
      <c r="G108" s="29"/>
      <c r="H108" s="29"/>
      <c r="I108" s="29"/>
      <c r="J108" s="29"/>
      <c r="K108" s="29"/>
      <c r="L108" s="29"/>
      <c r="M108" s="29"/>
      <c r="N108" s="29"/>
    </row>
    <row r="109" customFormat="false" ht="15.75" hidden="false" customHeight="true" outlineLevel="0" collapsed="false">
      <c r="B109" s="10" t="s">
        <v>684</v>
      </c>
      <c r="C109" s="29" t="str">
        <f aca="false">IF(ROUND(I99,3)&lt;0,"("&amp;ROUND(I99,3)&amp;")",ROUND(I99,3)&amp;"")&amp;"×"&amp;IF(ROUND(D82,3)&lt;0,"("&amp;ROUND(D82,3)&amp;")",ROUND(D82,3)&amp;"")&amp;" + "&amp;IF(ROUND(J99,3)&lt;0,"("&amp;ROUND(J99,3)&amp;")",ROUND(J99,3)&amp;"")&amp;"×"&amp;IF(ROUND(D83,3)&lt;0,"("&amp;ROUND(D83,3)&amp;")",ROUND(D83,3)&amp;"")&amp;" + "&amp;IF(ROUND(K99,3)&lt;0,"("&amp;ROUND(K99,3)&amp;")",ROUND(K99,3)&amp;"")&amp;"×"&amp;IF(ROUND(D84,3)&lt;0,"("&amp;ROUND(D84,3)&amp;")",ROUND(D84,3)&amp;"")&amp;"  =  "&amp;IF(ROUND(D105,3)&lt;0,"("&amp;ROUND(D105,3)&amp;")",ROUND(D105,3)&amp;"")</f>
        <v>0.224×0.6 + 0.638×2.14 + 0.138×(-0.216)  =  1.469</v>
      </c>
      <c r="D109" s="29"/>
      <c r="E109" s="29"/>
      <c r="F109" s="29"/>
      <c r="G109" s="29"/>
      <c r="H109" s="29"/>
      <c r="I109" s="29"/>
      <c r="J109" s="29"/>
      <c r="K109" s="29"/>
      <c r="L109" s="29"/>
      <c r="M109" s="29"/>
      <c r="N109" s="29"/>
    </row>
    <row r="110" customFormat="false" ht="15.75" hidden="false" customHeight="true" outlineLevel="0" collapsed="false">
      <c r="B110" s="10" t="s">
        <v>685</v>
      </c>
      <c r="C110" s="29" t="str">
        <f aca="false">IF(ROUND(I99,3)&lt;0,"("&amp;ROUND(I99,3)&amp;")",ROUND(I99,3)&amp;"")&amp;"×"&amp;IF(ROUND(E82,3)&lt;0,"("&amp;ROUND(E82,3)&amp;")",ROUND(E82,3)&amp;"")&amp;" + "&amp;IF(ROUND(J99,3)&lt;0,"("&amp;ROUND(J99,3)&amp;")",ROUND(J99,3)&amp;"")&amp;"×"&amp;IF(ROUND(E83,3)&lt;0,"("&amp;ROUND(E83,3)&amp;")",ROUND(E83,3)&amp;"")&amp;" + "&amp;IF(ROUND(K99,3)&lt;0,"("&amp;ROUND(K99,3)&amp;")",ROUND(K99,3)&amp;"")&amp;"×"&amp;IF(ROUND(E84,3)&lt;0,"("&amp;ROUND(E84,3)&amp;")",ROUND(E84,3)&amp;"")&amp;"  =  "&amp;IF(ROUND(E105,3)&lt;0,"("&amp;ROUND(E105,3)&amp;")",ROUND(E105,3)&amp;"")</f>
        <v>0.224×0.7 + 0.638×0.931 + 0.138×(-0.525)  =  0.678</v>
      </c>
      <c r="D110" s="29"/>
      <c r="E110" s="29"/>
      <c r="F110" s="29"/>
      <c r="G110" s="29"/>
      <c r="H110" s="29"/>
      <c r="I110" s="29"/>
      <c r="J110" s="29"/>
      <c r="K110" s="29"/>
      <c r="L110" s="29"/>
      <c r="M110" s="29"/>
      <c r="N110" s="29"/>
    </row>
    <row r="111" customFormat="false" ht="15.75" hidden="false" customHeight="true" outlineLevel="0" collapsed="false">
      <c r="B111" s="10" t="s">
        <v>686</v>
      </c>
      <c r="C111" s="29" t="str">
        <f aca="false">IF(ROUND(I99,3)&lt;0,"("&amp;ROUND(I99,3)&amp;")",ROUND(I99,3)&amp;"")&amp;"×"&amp;IF(ROUND(F82,3)&lt;0,"("&amp;ROUND(F82,3)&amp;")",ROUND(F82,3)&amp;"")&amp;" + "&amp;IF(ROUND(J99,3)&lt;0,"("&amp;ROUND(J99,3)&amp;")",ROUND(J99,3)&amp;"")&amp;"×"&amp;IF(ROUND(F83,3)&lt;0,"("&amp;ROUND(F83,3)&amp;")",ROUND(F83,3)&amp;"")&amp;" + "&amp;IF(ROUND(K99,3)&lt;0,"("&amp;ROUND(K99,3)&amp;")",ROUND(K99,3)&amp;"")&amp;"×"&amp;IF(ROUND(F84,3)&lt;0,"("&amp;ROUND(F84,3)&amp;")",ROUND(F84,3)&amp;"")&amp;"  =  "&amp;IF(ROUND(F105,3)&lt;0,"("&amp;ROUND(F105,3)&amp;")",ROUND(F105,3)&amp;"")</f>
        <v>0.224×0.5 + 0.638×0.4 + 0.138×1  =  0.505</v>
      </c>
      <c r="D111" s="29"/>
      <c r="E111" s="29"/>
      <c r="F111" s="29"/>
      <c r="G111" s="29"/>
      <c r="H111" s="29"/>
      <c r="I111" s="29"/>
      <c r="J111" s="29"/>
      <c r="K111" s="29"/>
      <c r="L111" s="29"/>
      <c r="M111" s="29"/>
      <c r="N111" s="29"/>
    </row>
    <row r="112" customFormat="false" ht="31.5" hidden="false" customHeight="true" outlineLevel="0" collapsed="false">
      <c r="B112" s="19" t="s">
        <v>687</v>
      </c>
      <c r="C112" s="19"/>
      <c r="D112" s="19"/>
      <c r="E112" s="19"/>
      <c r="F112" s="19"/>
      <c r="G112" s="19"/>
      <c r="H112" s="19"/>
      <c r="I112" s="19"/>
      <c r="J112" s="19"/>
      <c r="K112" s="19"/>
      <c r="L112" s="19"/>
      <c r="M112" s="19"/>
      <c r="N112" s="19"/>
    </row>
    <row r="114" customFormat="false" ht="21.75" hidden="false" customHeight="true" outlineLevel="0" collapsed="false">
      <c r="B114" s="4" t="s">
        <v>688</v>
      </c>
      <c r="C114" s="4"/>
      <c r="D114" s="4"/>
      <c r="E114" s="4"/>
      <c r="F114" s="4"/>
      <c r="G114" s="4"/>
      <c r="H114" s="4"/>
      <c r="I114" s="4"/>
      <c r="J114" s="4"/>
      <c r="K114" s="4"/>
      <c r="L114" s="4"/>
      <c r="M114" s="4"/>
      <c r="N114" s="4"/>
    </row>
    <row r="115" customFormat="false" ht="46.5" hidden="false" customHeight="true" outlineLevel="0" collapsed="false">
      <c r="B115" s="5" t="s">
        <v>689</v>
      </c>
      <c r="C115" s="5"/>
      <c r="D115" s="5"/>
      <c r="E115" s="5"/>
      <c r="F115" s="5"/>
      <c r="G115" s="5"/>
      <c r="H115" s="5"/>
      <c r="I115" s="5"/>
      <c r="J115" s="5"/>
      <c r="K115" s="5"/>
      <c r="L115" s="5"/>
      <c r="M115" s="5"/>
      <c r="N115" s="5"/>
    </row>
    <row r="116" customFormat="false" ht="31.5" hidden="false" customHeight="true" outlineLevel="0" collapsed="false">
      <c r="B116" s="19" t="s">
        <v>690</v>
      </c>
      <c r="C116" s="19"/>
      <c r="D116" s="19"/>
      <c r="E116" s="19"/>
      <c r="F116" s="19"/>
      <c r="G116" s="19"/>
      <c r="H116" s="19"/>
      <c r="I116" s="19"/>
      <c r="J116" s="19"/>
      <c r="K116" s="19"/>
      <c r="L116" s="19"/>
      <c r="M116" s="19"/>
      <c r="N116" s="19"/>
    </row>
    <row r="117" customFormat="false" ht="17.25" hidden="false" customHeight="true" outlineLevel="0" collapsed="false">
      <c r="B117" s="11" t="s">
        <v>648</v>
      </c>
      <c r="C117" s="11" t="s">
        <v>691</v>
      </c>
      <c r="D117" s="11"/>
      <c r="E117" s="11" t="s">
        <v>692</v>
      </c>
      <c r="F117" s="11"/>
      <c r="G117" s="11" t="s">
        <v>693</v>
      </c>
      <c r="H117" s="11"/>
      <c r="I117" s="11" t="s">
        <v>694</v>
      </c>
      <c r="J117" s="11"/>
      <c r="K117" s="11"/>
      <c r="L117" s="11" t="s">
        <v>695</v>
      </c>
      <c r="M117" s="11"/>
      <c r="N117" s="11"/>
    </row>
    <row r="118" customFormat="false" ht="17.25" hidden="false" customHeight="true" outlineLevel="0" collapsed="false">
      <c r="B118" s="6" t="n">
        <v>1</v>
      </c>
      <c r="C118" s="69" t="n">
        <f aca="false">SQRT(B118)</f>
        <v>1</v>
      </c>
      <c r="D118" s="69"/>
      <c r="E118" s="81" t="n">
        <f aca="false">EXP(C118)/(EXP(C118)+1+EXP(-C118))</f>
        <v>0.665240955774822</v>
      </c>
      <c r="F118" s="81"/>
      <c r="G118" s="81" t="n">
        <f aca="false">E118*(1-E118)</f>
        <v>0.222695426534623</v>
      </c>
      <c r="H118" s="81"/>
      <c r="I118" s="31" t="n">
        <f aca="false">EXP(C118/SQRT(B118))/(EXP(C118/SQRT(B118))+1+EXP(-C118/SQRT(B118)))</f>
        <v>0.665240955774822</v>
      </c>
      <c r="J118" s="31"/>
      <c r="K118" s="31"/>
      <c r="L118" s="32" t="n">
        <f aca="false">I118*(1-I118)</f>
        <v>0.222695426534623</v>
      </c>
      <c r="M118" s="32"/>
      <c r="N118" s="32"/>
    </row>
    <row r="119" customFormat="false" ht="17.25" hidden="false" customHeight="true" outlineLevel="0" collapsed="false">
      <c r="B119" s="6" t="n">
        <v>4</v>
      </c>
      <c r="C119" s="82" t="n">
        <f aca="false">SQRT(B119)</f>
        <v>2</v>
      </c>
      <c r="D119" s="82"/>
      <c r="E119" s="83" t="n">
        <f aca="false">EXP(C119)/(EXP(C119)+1+EXP(-C119))</f>
        <v>0.866813332197335</v>
      </c>
      <c r="F119" s="83"/>
      <c r="G119" s="83" t="n">
        <f aca="false">E119*(1-E119)</f>
        <v>0.115447979322288</v>
      </c>
      <c r="H119" s="83"/>
      <c r="I119" s="33" t="n">
        <f aca="false">EXP(C119/SQRT(B119))/(EXP(C119/SQRT(B119))+1+EXP(-C119/SQRT(B119)))</f>
        <v>0.665240955774822</v>
      </c>
      <c r="J119" s="33"/>
      <c r="K119" s="33"/>
      <c r="L119" s="32" t="n">
        <f aca="false">I119*(1-I119)</f>
        <v>0.222695426534623</v>
      </c>
      <c r="M119" s="32"/>
      <c r="N119" s="32"/>
    </row>
    <row r="120" customFormat="false" ht="17.25" hidden="false" customHeight="true" outlineLevel="0" collapsed="false">
      <c r="B120" s="6" t="n">
        <v>16</v>
      </c>
      <c r="C120" s="69" t="n">
        <f aca="false">SQRT(B120)</f>
        <v>4</v>
      </c>
      <c r="D120" s="69"/>
      <c r="E120" s="81" t="n">
        <f aca="false">EXP(C120)/(EXP(C120)+1+EXP(-C120))</f>
        <v>0.981690392825505</v>
      </c>
      <c r="F120" s="81"/>
      <c r="G120" s="81" t="n">
        <f aca="false">E120*(1-E120)</f>
        <v>0.0179743654596111</v>
      </c>
      <c r="H120" s="81"/>
      <c r="I120" s="31" t="n">
        <f aca="false">EXP(C120/SQRT(B120))/(EXP(C120/SQRT(B120))+1+EXP(-C120/SQRT(B120)))</f>
        <v>0.665240955774822</v>
      </c>
      <c r="J120" s="31"/>
      <c r="K120" s="31"/>
      <c r="L120" s="32" t="n">
        <f aca="false">I120*(1-I120)</f>
        <v>0.222695426534623</v>
      </c>
      <c r="M120" s="32"/>
      <c r="N120" s="32"/>
    </row>
    <row r="121" customFormat="false" ht="17.25" hidden="false" customHeight="true" outlineLevel="0" collapsed="false">
      <c r="B121" s="6" t="n">
        <v>64</v>
      </c>
      <c r="C121" s="82" t="n">
        <f aca="false">SQRT(B121)</f>
        <v>8</v>
      </c>
      <c r="D121" s="82"/>
      <c r="E121" s="83" t="n">
        <f aca="false">EXP(C121)/(EXP(C121)+1+EXP(-C121))</f>
        <v>0.999664537409836</v>
      </c>
      <c r="F121" s="83"/>
      <c r="G121" s="83" t="n">
        <f aca="false">E121*(1-E121)</f>
        <v>0.000335350055014416</v>
      </c>
      <c r="H121" s="83"/>
      <c r="I121" s="33" t="n">
        <f aca="false">EXP(C121/SQRT(B121))/(EXP(C121/SQRT(B121))+1+EXP(-C121/SQRT(B121)))</f>
        <v>0.665240955774822</v>
      </c>
      <c r="J121" s="33"/>
      <c r="K121" s="33"/>
      <c r="L121" s="32" t="n">
        <f aca="false">I121*(1-I121)</f>
        <v>0.222695426534623</v>
      </c>
      <c r="M121" s="32"/>
      <c r="N121" s="32"/>
    </row>
    <row r="122" customFormat="false" ht="17.25" hidden="false" customHeight="true" outlineLevel="0" collapsed="false">
      <c r="B122" s="6" t="n">
        <v>512</v>
      </c>
      <c r="C122" s="69" t="n">
        <f aca="false">SQRT(B122)</f>
        <v>22.6274169979695</v>
      </c>
      <c r="D122" s="69"/>
      <c r="E122" s="81" t="n">
        <f aca="false">EXP(C122)/(EXP(C122)+1+EXP(-C122))</f>
        <v>0.999999999851051</v>
      </c>
      <c r="F122" s="81"/>
      <c r="G122" s="81" t="n">
        <f aca="false">E122*(1-E122)</f>
        <v>1.4894907527376E-010</v>
      </c>
      <c r="H122" s="81"/>
      <c r="I122" s="31" t="n">
        <f aca="false">EXP(C122/SQRT(B122))/(EXP(C122/SQRT(B122))+1+EXP(-C122/SQRT(B122)))</f>
        <v>0.665240955774822</v>
      </c>
      <c r="J122" s="31"/>
      <c r="K122" s="31"/>
      <c r="L122" s="32" t="n">
        <f aca="false">I122*(1-I122)</f>
        <v>0.222695426534623</v>
      </c>
      <c r="M122" s="32"/>
      <c r="N122" s="32"/>
    </row>
    <row r="123" customFormat="false" ht="31.5" hidden="false" customHeight="true" outlineLevel="0" collapsed="false">
      <c r="B123" s="43" t="s">
        <v>696</v>
      </c>
      <c r="C123" s="43"/>
      <c r="D123" s="43"/>
      <c r="E123" s="43"/>
      <c r="F123" s="43"/>
      <c r="G123" s="43"/>
      <c r="H123" s="43"/>
      <c r="I123" s="43"/>
      <c r="J123" s="43"/>
      <c r="K123" s="43"/>
      <c r="L123" s="43"/>
      <c r="M123" s="43"/>
      <c r="N123" s="43"/>
    </row>
    <row r="124" customFormat="false" ht="46.5" hidden="false" customHeight="true" outlineLevel="0" collapsed="false">
      <c r="B124" s="18" t="s">
        <v>697</v>
      </c>
      <c r="C124" s="18"/>
      <c r="D124" s="18"/>
      <c r="E124" s="18"/>
      <c r="F124" s="18"/>
      <c r="G124" s="18"/>
      <c r="H124" s="18"/>
      <c r="I124" s="18"/>
      <c r="J124" s="18"/>
      <c r="K124" s="18"/>
      <c r="L124" s="18"/>
      <c r="M124" s="18"/>
      <c r="N124" s="18"/>
    </row>
    <row r="125" customFormat="false" ht="18.75" hidden="false" customHeight="true" outlineLevel="0" collapsed="false">
      <c r="B125" s="25" t="s">
        <v>279</v>
      </c>
      <c r="C125" s="25"/>
      <c r="D125" s="25"/>
      <c r="E125" s="25"/>
      <c r="F125" s="25"/>
      <c r="G125" s="25"/>
      <c r="H125" s="25"/>
      <c r="I125" s="25"/>
      <c r="J125" s="25"/>
      <c r="K125" s="25"/>
      <c r="L125" s="25"/>
      <c r="M125" s="25"/>
      <c r="N125" s="25"/>
    </row>
    <row r="126" customFormat="false" ht="17.25" hidden="false" customHeight="true" outlineLevel="0" collapsed="false">
      <c r="B126" s="43" t="s">
        <v>698</v>
      </c>
      <c r="C126" s="43"/>
      <c r="D126" s="43"/>
      <c r="E126" s="43"/>
      <c r="F126" s="43"/>
      <c r="G126" s="43"/>
      <c r="H126" s="43"/>
      <c r="I126" s="43"/>
      <c r="J126" s="43"/>
      <c r="K126" s="43"/>
      <c r="L126" s="43"/>
      <c r="M126" s="43"/>
      <c r="N126" s="43"/>
    </row>
    <row r="127" customFormat="false" ht="17.25" hidden="false" customHeight="true" outlineLevel="0" collapsed="false">
      <c r="B127" s="44" t="s">
        <v>699</v>
      </c>
      <c r="C127" s="44"/>
      <c r="D127" s="44"/>
      <c r="E127" s="44"/>
      <c r="F127" s="44"/>
      <c r="G127" s="44"/>
      <c r="H127" s="44"/>
      <c r="I127" s="44"/>
      <c r="J127" s="44"/>
      <c r="K127" s="44"/>
      <c r="L127" s="44"/>
      <c r="M127" s="44"/>
      <c r="N127" s="44"/>
    </row>
    <row r="128" customFormat="false" ht="17.25" hidden="false" customHeight="true" outlineLevel="0" collapsed="false">
      <c r="B128" s="43" t="s">
        <v>700</v>
      </c>
      <c r="C128" s="43"/>
      <c r="D128" s="43"/>
      <c r="E128" s="43"/>
      <c r="F128" s="43"/>
      <c r="G128" s="43"/>
      <c r="H128" s="43"/>
      <c r="I128" s="43"/>
      <c r="J128" s="43"/>
      <c r="K128" s="43"/>
      <c r="L128" s="43"/>
      <c r="M128" s="43"/>
      <c r="N128" s="43"/>
    </row>
    <row r="129" customFormat="false" ht="17.25" hidden="false" customHeight="true" outlineLevel="0" collapsed="false">
      <c r="B129" s="44" t="s">
        <v>701</v>
      </c>
      <c r="C129" s="44"/>
      <c r="D129" s="44"/>
      <c r="E129" s="44"/>
      <c r="F129" s="44"/>
      <c r="G129" s="44"/>
      <c r="H129" s="44"/>
      <c r="I129" s="44"/>
      <c r="J129" s="44"/>
      <c r="K129" s="44"/>
      <c r="L129" s="44"/>
      <c r="M129" s="44"/>
      <c r="N129" s="44"/>
    </row>
    <row r="130" customFormat="false" ht="17.25" hidden="false" customHeight="true" outlineLevel="0" collapsed="false">
      <c r="B130" s="43" t="s">
        <v>702</v>
      </c>
      <c r="C130" s="43"/>
      <c r="D130" s="43"/>
      <c r="E130" s="43"/>
      <c r="F130" s="43"/>
      <c r="G130" s="43"/>
      <c r="H130" s="43"/>
      <c r="I130" s="43"/>
      <c r="J130" s="43"/>
      <c r="K130" s="43"/>
      <c r="L130" s="43"/>
      <c r="M130" s="43"/>
      <c r="N130" s="43"/>
    </row>
    <row r="131" customFormat="false" ht="17.25" hidden="false" customHeight="true" outlineLevel="0" collapsed="false">
      <c r="B131" s="44" t="s">
        <v>703</v>
      </c>
      <c r="C131" s="44"/>
      <c r="D131" s="44"/>
      <c r="E131" s="44"/>
      <c r="F131" s="44"/>
      <c r="G131" s="44"/>
      <c r="H131" s="44"/>
      <c r="I131" s="44"/>
      <c r="J131" s="44"/>
      <c r="K131" s="44"/>
      <c r="L131" s="44"/>
      <c r="M131" s="44"/>
      <c r="N131" s="44"/>
    </row>
  </sheetData>
  <mergeCells count="124">
    <mergeCell ref="B1:N1"/>
    <mergeCell ref="B2:N2"/>
    <mergeCell ref="B4:N4"/>
    <mergeCell ref="B5:N5"/>
    <mergeCell ref="C6:K6"/>
    <mergeCell ref="L6:N6"/>
    <mergeCell ref="C7:K7"/>
    <mergeCell ref="L7:N7"/>
    <mergeCell ref="C8:K8"/>
    <mergeCell ref="L8:N8"/>
    <mergeCell ref="C9:K9"/>
    <mergeCell ref="L9:N9"/>
    <mergeCell ref="C10:K10"/>
    <mergeCell ref="L10:N10"/>
    <mergeCell ref="C11:K11"/>
    <mergeCell ref="L11:N11"/>
    <mergeCell ref="C12:K12"/>
    <mergeCell ref="L12:N12"/>
    <mergeCell ref="C13:E13"/>
    <mergeCell ref="F13:H13"/>
    <mergeCell ref="I13:N13"/>
    <mergeCell ref="C14:E14"/>
    <mergeCell ref="F14:H14"/>
    <mergeCell ref="I14:N14"/>
    <mergeCell ref="C15:E15"/>
    <mergeCell ref="F15:H15"/>
    <mergeCell ref="I15:N15"/>
    <mergeCell ref="C16:E16"/>
    <mergeCell ref="F16:H16"/>
    <mergeCell ref="I16:N16"/>
    <mergeCell ref="C17:E17"/>
    <mergeCell ref="F17:H17"/>
    <mergeCell ref="I17:N17"/>
    <mergeCell ref="B19:N19"/>
    <mergeCell ref="B20:D20"/>
    <mergeCell ref="F20:H20"/>
    <mergeCell ref="J20:L20"/>
    <mergeCell ref="D26:N26"/>
    <mergeCell ref="C27:N27"/>
    <mergeCell ref="B28:E28"/>
    <mergeCell ref="C34:N34"/>
    <mergeCell ref="C35:N35"/>
    <mergeCell ref="C36:N36"/>
    <mergeCell ref="C37:N37"/>
    <mergeCell ref="C38:N38"/>
    <mergeCell ref="C39:N39"/>
    <mergeCell ref="C40:N40"/>
    <mergeCell ref="C41:N41"/>
    <mergeCell ref="C42:N42"/>
    <mergeCell ref="C43:N43"/>
    <mergeCell ref="B44:E44"/>
    <mergeCell ref="C50:N50"/>
    <mergeCell ref="B51:E51"/>
    <mergeCell ref="H51:K51"/>
    <mergeCell ref="C57:N57"/>
    <mergeCell ref="C58:N58"/>
    <mergeCell ref="B59:D59"/>
    <mergeCell ref="C65:N65"/>
    <mergeCell ref="C66:N66"/>
    <mergeCell ref="C67:N67"/>
    <mergeCell ref="C68:N68"/>
    <mergeCell ref="C69:N69"/>
    <mergeCell ref="C70:N70"/>
    <mergeCell ref="B71:N71"/>
    <mergeCell ref="B73:N73"/>
    <mergeCell ref="B74:F74"/>
    <mergeCell ref="H74:L74"/>
    <mergeCell ref="B80:F80"/>
    <mergeCell ref="D86:N86"/>
    <mergeCell ref="B87:E87"/>
    <mergeCell ref="G87:J87"/>
    <mergeCell ref="C93:N93"/>
    <mergeCell ref="C94:N94"/>
    <mergeCell ref="C95:N95"/>
    <mergeCell ref="B96:E96"/>
    <mergeCell ref="H96:K96"/>
    <mergeCell ref="B102:F102"/>
    <mergeCell ref="C108:N108"/>
    <mergeCell ref="C109:N109"/>
    <mergeCell ref="C110:N110"/>
    <mergeCell ref="C111:N111"/>
    <mergeCell ref="B112:N112"/>
    <mergeCell ref="B114:N114"/>
    <mergeCell ref="B115:N115"/>
    <mergeCell ref="B116:N116"/>
    <mergeCell ref="C117:D117"/>
    <mergeCell ref="E117:F117"/>
    <mergeCell ref="G117:H117"/>
    <mergeCell ref="I117:K117"/>
    <mergeCell ref="L117:N117"/>
    <mergeCell ref="C118:D118"/>
    <mergeCell ref="E118:F118"/>
    <mergeCell ref="G118:H118"/>
    <mergeCell ref="I118:K118"/>
    <mergeCell ref="L118:N118"/>
    <mergeCell ref="C119:D119"/>
    <mergeCell ref="E119:F119"/>
    <mergeCell ref="G119:H119"/>
    <mergeCell ref="I119:K119"/>
    <mergeCell ref="L119:N119"/>
    <mergeCell ref="C120:D120"/>
    <mergeCell ref="E120:F120"/>
    <mergeCell ref="G120:H120"/>
    <mergeCell ref="I120:K120"/>
    <mergeCell ref="L120:N120"/>
    <mergeCell ref="C121:D121"/>
    <mergeCell ref="E121:F121"/>
    <mergeCell ref="G121:H121"/>
    <mergeCell ref="I121:K121"/>
    <mergeCell ref="L121:N121"/>
    <mergeCell ref="C122:D122"/>
    <mergeCell ref="E122:F122"/>
    <mergeCell ref="G122:H122"/>
    <mergeCell ref="I122:K122"/>
    <mergeCell ref="L122:N122"/>
    <mergeCell ref="B123:N123"/>
    <mergeCell ref="B124:N124"/>
    <mergeCell ref="B125:N125"/>
    <mergeCell ref="B126:N126"/>
    <mergeCell ref="B127:N127"/>
    <mergeCell ref="B128:N128"/>
    <mergeCell ref="B129:N129"/>
    <mergeCell ref="B130:N130"/>
    <mergeCell ref="B131:N131"/>
  </mergeCells>
  <conditionalFormatting sqref="I53:K55">
    <cfRule type="colorScale" priority="2">
      <colorScale>
        <cfvo type="num" val="0"/>
        <cfvo type="num" val="1"/>
        <color rgb="FFFFFFFF"/>
        <color rgb="FF5B9BD5"/>
      </colorScale>
    </cfRule>
  </conditionalFormatting>
  <conditionalFormatting sqref="I98:K100">
    <cfRule type="colorScale" priority="3">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704</v>
      </c>
      <c r="C1" s="1"/>
      <c r="D1" s="1"/>
      <c r="E1" s="1"/>
      <c r="F1" s="1"/>
      <c r="G1" s="1"/>
      <c r="H1" s="1"/>
      <c r="I1" s="1"/>
      <c r="J1" s="1"/>
      <c r="K1" s="1"/>
      <c r="L1" s="1"/>
      <c r="M1" s="1"/>
      <c r="N1" s="1"/>
    </row>
    <row r="2" customFormat="false" ht="17.25" hidden="false" customHeight="true" outlineLevel="0" collapsed="false">
      <c r="B2" s="2" t="s">
        <v>705</v>
      </c>
      <c r="C2" s="2"/>
      <c r="D2" s="2"/>
      <c r="E2" s="2"/>
      <c r="F2" s="2"/>
      <c r="G2" s="2"/>
      <c r="H2" s="2"/>
      <c r="I2" s="2"/>
      <c r="J2" s="2"/>
      <c r="K2" s="2"/>
      <c r="L2" s="2"/>
      <c r="M2" s="2"/>
      <c r="N2" s="2"/>
    </row>
    <row r="4" customFormat="false" ht="34.5" hidden="false" customHeight="true" outlineLevel="0" collapsed="false">
      <c r="B4" s="3" t="s">
        <v>706</v>
      </c>
      <c r="C4" s="3"/>
      <c r="D4" s="3"/>
      <c r="E4" s="3"/>
      <c r="F4" s="3"/>
      <c r="G4" s="3"/>
      <c r="H4" s="3"/>
      <c r="I4" s="3"/>
      <c r="J4" s="3"/>
      <c r="K4" s="3"/>
      <c r="L4" s="3"/>
      <c r="M4" s="3"/>
      <c r="N4" s="3"/>
    </row>
    <row r="5" customFormat="false" ht="17.25" hidden="false" customHeight="true" outlineLevel="0" collapsed="false">
      <c r="B5" s="45" t="s">
        <v>707</v>
      </c>
      <c r="C5" s="45"/>
      <c r="D5" s="45"/>
      <c r="E5" s="45"/>
      <c r="F5" s="45"/>
      <c r="G5" s="45"/>
      <c r="H5" s="45"/>
      <c r="I5" s="45"/>
      <c r="J5" s="45"/>
      <c r="K5" s="45"/>
      <c r="L5" s="45"/>
      <c r="M5" s="45"/>
      <c r="N5" s="45"/>
    </row>
    <row r="6" customFormat="false" ht="21.75" hidden="false" customHeight="true" outlineLevel="0" collapsed="false">
      <c r="B6" s="4" t="s">
        <v>708</v>
      </c>
      <c r="C6" s="4"/>
      <c r="D6" s="4"/>
      <c r="E6" s="4"/>
      <c r="F6" s="4"/>
      <c r="G6" s="4"/>
      <c r="H6" s="4"/>
      <c r="I6" s="4"/>
      <c r="J6" s="4"/>
      <c r="K6" s="4"/>
      <c r="L6" s="4"/>
      <c r="M6" s="4"/>
      <c r="N6" s="4"/>
    </row>
    <row r="7" customFormat="false" ht="31.5" hidden="false" customHeight="true" outlineLevel="0" collapsed="false">
      <c r="B7" s="5" t="s">
        <v>709</v>
      </c>
      <c r="C7" s="5"/>
      <c r="D7" s="5"/>
      <c r="E7" s="5"/>
      <c r="F7" s="5"/>
      <c r="G7" s="5"/>
      <c r="H7" s="5"/>
      <c r="I7" s="5"/>
      <c r="J7" s="5"/>
      <c r="K7" s="5"/>
      <c r="L7" s="5"/>
      <c r="M7" s="5"/>
      <c r="N7" s="5"/>
    </row>
    <row r="8" customFormat="false" ht="17.25" hidden="false" customHeight="true" outlineLevel="0" collapsed="false">
      <c r="B8" s="11" t="s">
        <v>710</v>
      </c>
      <c r="C8" s="11" t="s">
        <v>711</v>
      </c>
      <c r="D8" s="11"/>
      <c r="E8" s="11"/>
      <c r="F8" s="11"/>
      <c r="G8" s="11" t="s">
        <v>712</v>
      </c>
      <c r="H8" s="11"/>
      <c r="I8" s="11"/>
      <c r="J8" s="11"/>
      <c r="K8" s="11" t="s">
        <v>713</v>
      </c>
      <c r="L8" s="11"/>
      <c r="M8" s="11"/>
      <c r="N8" s="11"/>
    </row>
    <row r="9" customFormat="false" ht="17.25" hidden="false" customHeight="true" outlineLevel="0" collapsed="false">
      <c r="B9" s="13" t="s">
        <v>629</v>
      </c>
      <c r="C9" s="13" t="s">
        <v>714</v>
      </c>
      <c r="D9" s="13"/>
      <c r="E9" s="13"/>
      <c r="F9" s="13"/>
      <c r="G9" s="13" t="s">
        <v>393</v>
      </c>
      <c r="H9" s="13"/>
      <c r="I9" s="13"/>
      <c r="J9" s="13"/>
      <c r="K9" s="13" t="s">
        <v>715</v>
      </c>
      <c r="L9" s="13"/>
      <c r="M9" s="13"/>
      <c r="N9" s="13"/>
    </row>
    <row r="10" customFormat="false" ht="17.25" hidden="false" customHeight="true" outlineLevel="0" collapsed="false">
      <c r="B10" s="16" t="s">
        <v>633</v>
      </c>
      <c r="C10" s="16" t="s">
        <v>715</v>
      </c>
      <c r="D10" s="16"/>
      <c r="E10" s="16"/>
      <c r="F10" s="16"/>
      <c r="G10" s="16" t="s">
        <v>716</v>
      </c>
      <c r="H10" s="16"/>
      <c r="I10" s="16"/>
      <c r="J10" s="16"/>
      <c r="K10" s="16" t="s">
        <v>369</v>
      </c>
      <c r="L10" s="16"/>
      <c r="M10" s="16"/>
      <c r="N10" s="16"/>
    </row>
    <row r="11" customFormat="false" ht="17.25" hidden="false" customHeight="true" outlineLevel="0" collapsed="false">
      <c r="B11" s="13" t="s">
        <v>636</v>
      </c>
      <c r="C11" s="13" t="s">
        <v>369</v>
      </c>
      <c r="D11" s="13"/>
      <c r="E11" s="13"/>
      <c r="F11" s="13"/>
      <c r="G11" s="13" t="s">
        <v>717</v>
      </c>
      <c r="H11" s="13"/>
      <c r="I11" s="13"/>
      <c r="J11" s="13"/>
      <c r="K11" s="13" t="s">
        <v>398</v>
      </c>
      <c r="L11" s="13"/>
      <c r="M11" s="13"/>
      <c r="N11" s="13"/>
    </row>
    <row r="12" customFormat="false" ht="17.25" hidden="false" customHeight="true" outlineLevel="0" collapsed="false">
      <c r="B12" s="16" t="s">
        <v>639</v>
      </c>
      <c r="C12" s="16" t="s">
        <v>398</v>
      </c>
      <c r="D12" s="16"/>
      <c r="E12" s="16"/>
      <c r="F12" s="16"/>
      <c r="G12" s="16" t="s">
        <v>718</v>
      </c>
      <c r="H12" s="16"/>
      <c r="I12" s="16"/>
      <c r="J12" s="16"/>
      <c r="K12" s="16" t="s">
        <v>719</v>
      </c>
      <c r="L12" s="16"/>
      <c r="M12" s="16"/>
      <c r="N12" s="16"/>
    </row>
    <row r="13" customFormat="false" ht="31.5" hidden="false" customHeight="true" outlineLevel="0" collapsed="false">
      <c r="B13" s="5" t="s">
        <v>720</v>
      </c>
      <c r="C13" s="5"/>
      <c r="D13" s="5"/>
      <c r="E13" s="5"/>
      <c r="F13" s="5"/>
      <c r="G13" s="5"/>
      <c r="H13" s="5"/>
      <c r="I13" s="5"/>
      <c r="J13" s="5"/>
      <c r="K13" s="5"/>
      <c r="L13" s="5"/>
      <c r="M13" s="5"/>
      <c r="N13" s="5"/>
    </row>
    <row r="14" customFormat="false" ht="20.25" hidden="false" customHeight="true" outlineLevel="0" collapsed="false">
      <c r="B14" s="24" t="s">
        <v>721</v>
      </c>
      <c r="C14" s="24"/>
      <c r="D14" s="24"/>
      <c r="E14" s="24"/>
      <c r="F14" s="24"/>
      <c r="G14" s="24"/>
      <c r="H14" s="24"/>
      <c r="I14" s="24"/>
      <c r="J14" s="24"/>
      <c r="K14" s="24"/>
      <c r="L14" s="24"/>
      <c r="M14" s="24"/>
      <c r="N14" s="24"/>
    </row>
    <row r="16" customFormat="false" ht="21.75" hidden="false" customHeight="true" outlineLevel="0" collapsed="false">
      <c r="B16" s="4" t="s">
        <v>722</v>
      </c>
      <c r="C16" s="4"/>
      <c r="D16" s="4"/>
      <c r="E16" s="4"/>
      <c r="F16" s="4"/>
      <c r="G16" s="4"/>
      <c r="H16" s="4"/>
      <c r="I16" s="4"/>
      <c r="J16" s="4"/>
      <c r="K16" s="4"/>
      <c r="L16" s="4"/>
      <c r="M16" s="4"/>
      <c r="N16" s="4"/>
    </row>
    <row r="17" customFormat="false" ht="17.25" hidden="false" customHeight="true" outlineLevel="0" collapsed="false">
      <c r="B17" s="20" t="s">
        <v>723</v>
      </c>
      <c r="C17" s="20"/>
      <c r="D17" s="20"/>
      <c r="E17" s="20"/>
      <c r="G17" s="20" t="s">
        <v>724</v>
      </c>
      <c r="H17" s="20"/>
      <c r="I17" s="20"/>
      <c r="J17" s="20"/>
    </row>
    <row r="18" customFormat="false" ht="15" hidden="false" customHeight="false" outlineLevel="0" collapsed="false">
      <c r="B18" s="16"/>
      <c r="C18" s="21" t="s">
        <v>393</v>
      </c>
      <c r="D18" s="21" t="s">
        <v>715</v>
      </c>
      <c r="E18" s="21" t="s">
        <v>369</v>
      </c>
      <c r="G18" s="16"/>
      <c r="H18" s="21" t="s">
        <v>393</v>
      </c>
      <c r="I18" s="21" t="s">
        <v>715</v>
      </c>
      <c r="J18" s="21" t="s">
        <v>369</v>
      </c>
    </row>
    <row r="19" customFormat="false" ht="15" hidden="false" customHeight="false" outlineLevel="0" collapsed="false">
      <c r="B19" s="22" t="s">
        <v>393</v>
      </c>
      <c r="C19" s="35" t="n">
        <v>2</v>
      </c>
      <c r="D19" s="35" t="n">
        <v>1</v>
      </c>
      <c r="E19" s="35" t="n">
        <v>3</v>
      </c>
      <c r="G19" s="22" t="s">
        <v>393</v>
      </c>
      <c r="H19" s="84" t="n">
        <f aca="false">IF(0&gt;0,-1000000000,0)</f>
        <v>0</v>
      </c>
      <c r="I19" s="84" t="n">
        <f aca="false">IF(1&gt;0,-1000000000,0)</f>
        <v>-1000000000</v>
      </c>
      <c r="J19" s="84" t="n">
        <f aca="false">IF(2&gt;0,-1000000000,0)</f>
        <v>-1000000000</v>
      </c>
    </row>
    <row r="20" customFormat="false" ht="15" hidden="false" customHeight="false" outlineLevel="0" collapsed="false">
      <c r="B20" s="22" t="s">
        <v>715</v>
      </c>
      <c r="C20" s="35" t="n">
        <v>1</v>
      </c>
      <c r="D20" s="35" t="n">
        <v>2</v>
      </c>
      <c r="E20" s="35" t="n">
        <v>0</v>
      </c>
      <c r="G20" s="22" t="s">
        <v>715</v>
      </c>
      <c r="H20" s="84" t="n">
        <f aca="false">IF(0&gt;1,-1000000000,0)</f>
        <v>0</v>
      </c>
      <c r="I20" s="84" t="n">
        <f aca="false">IF(1&gt;1,-1000000000,0)</f>
        <v>0</v>
      </c>
      <c r="J20" s="84" t="n">
        <f aca="false">IF(2&gt;1,-1000000000,0)</f>
        <v>-1000000000</v>
      </c>
    </row>
    <row r="21" customFormat="false" ht="15" hidden="false" customHeight="false" outlineLevel="0" collapsed="false">
      <c r="B21" s="22" t="s">
        <v>369</v>
      </c>
      <c r="C21" s="35" t="n">
        <v>0</v>
      </c>
      <c r="D21" s="35" t="n">
        <v>1</v>
      </c>
      <c r="E21" s="35" t="n">
        <v>2</v>
      </c>
      <c r="G21" s="22" t="s">
        <v>369</v>
      </c>
      <c r="H21" s="84" t="n">
        <f aca="false">IF(0&gt;2,-1000000000,0)</f>
        <v>0</v>
      </c>
      <c r="I21" s="84" t="n">
        <f aca="false">IF(1&gt;2,-1000000000,0)</f>
        <v>0</v>
      </c>
      <c r="J21" s="84" t="n">
        <f aca="false">IF(2&gt;2,-1000000000,0)</f>
        <v>0</v>
      </c>
    </row>
    <row r="23" customFormat="false" ht="17.25" hidden="false" customHeight="true" outlineLevel="0" collapsed="false">
      <c r="B23" s="19" t="s">
        <v>725</v>
      </c>
      <c r="C23" s="19"/>
      <c r="D23" s="19"/>
      <c r="E23" s="19"/>
      <c r="F23" s="19"/>
      <c r="G23" s="19"/>
      <c r="H23" s="19"/>
      <c r="I23" s="19"/>
      <c r="J23" s="19"/>
      <c r="K23" s="19"/>
      <c r="L23" s="19"/>
      <c r="M23" s="19"/>
      <c r="N23" s="19"/>
    </row>
    <row r="24" customFormat="false" ht="17.25" hidden="false" customHeight="true" outlineLevel="0" collapsed="false">
      <c r="B24" s="20" t="s">
        <v>726</v>
      </c>
      <c r="C24" s="20"/>
      <c r="D24" s="20"/>
      <c r="E24" s="20"/>
    </row>
    <row r="25" customFormat="false" ht="15" hidden="false" customHeight="false" outlineLevel="0" collapsed="false">
      <c r="B25" s="16"/>
      <c r="C25" s="21" t="s">
        <v>393</v>
      </c>
      <c r="D25" s="21" t="s">
        <v>715</v>
      </c>
      <c r="E25" s="21" t="s">
        <v>369</v>
      </c>
    </row>
    <row r="26" customFormat="false" ht="15" hidden="false" customHeight="false" outlineLevel="0" collapsed="false">
      <c r="B26" s="22" t="s">
        <v>393</v>
      </c>
      <c r="C26" s="84" t="n">
        <f aca="false">C19+H19</f>
        <v>2</v>
      </c>
      <c r="D26" s="84" t="n">
        <f aca="false">D19+I19</f>
        <v>-999999999</v>
      </c>
      <c r="E26" s="84" t="n">
        <f aca="false">E19+J19</f>
        <v>-999999997</v>
      </c>
    </row>
    <row r="27" customFormat="false" ht="15" hidden="false" customHeight="false" outlineLevel="0" collapsed="false">
      <c r="B27" s="22" t="s">
        <v>715</v>
      </c>
      <c r="C27" s="84" t="n">
        <f aca="false">C20+H20</f>
        <v>1</v>
      </c>
      <c r="D27" s="84" t="n">
        <f aca="false">D20+I20</f>
        <v>2</v>
      </c>
      <c r="E27" s="84" t="n">
        <f aca="false">E20+J20</f>
        <v>-1000000000</v>
      </c>
    </row>
    <row r="28" customFormat="false" ht="15" hidden="false" customHeight="false" outlineLevel="0" collapsed="false">
      <c r="B28" s="22" t="s">
        <v>369</v>
      </c>
      <c r="C28" s="84" t="n">
        <f aca="false">C21+H21</f>
        <v>0</v>
      </c>
      <c r="D28" s="84" t="n">
        <f aca="false">D21+I21</f>
        <v>1</v>
      </c>
      <c r="E28" s="84" t="n">
        <f aca="false">E21+J21</f>
        <v>2</v>
      </c>
    </row>
    <row r="30" customFormat="false" ht="17.25" hidden="false" customHeight="true" outlineLevel="0" collapsed="false">
      <c r="B30" s="20" t="s">
        <v>662</v>
      </c>
      <c r="C30" s="20"/>
      <c r="D30" s="20"/>
      <c r="E30" s="20"/>
      <c r="H30" s="20" t="s">
        <v>727</v>
      </c>
      <c r="I30" s="20"/>
      <c r="J30" s="20"/>
      <c r="K30" s="20"/>
    </row>
    <row r="31" customFormat="false" ht="15" hidden="false" customHeight="false" outlineLevel="0" collapsed="false">
      <c r="B31" s="16"/>
      <c r="C31" s="21" t="s">
        <v>393</v>
      </c>
      <c r="D31" s="21" t="s">
        <v>715</v>
      </c>
      <c r="E31" s="21" t="s">
        <v>369</v>
      </c>
      <c r="F31" s="21" t="s">
        <v>664</v>
      </c>
      <c r="H31" s="16"/>
      <c r="I31" s="21" t="s">
        <v>393</v>
      </c>
      <c r="J31" s="21" t="s">
        <v>715</v>
      </c>
      <c r="K31" s="21" t="s">
        <v>369</v>
      </c>
    </row>
    <row r="32" customFormat="false" ht="15" hidden="false" customHeight="false" outlineLevel="0" collapsed="false">
      <c r="B32" s="22" t="s">
        <v>393</v>
      </c>
      <c r="C32" s="39" t="n">
        <f aca="false">EXP(C26)</f>
        <v>7.38905609893065</v>
      </c>
      <c r="D32" s="39" t="n">
        <f aca="false">EXP(D26)</f>
        <v>0</v>
      </c>
      <c r="E32" s="39" t="n">
        <f aca="false">EXP(E26)</f>
        <v>0</v>
      </c>
      <c r="F32" s="31" t="n">
        <f aca="false">SUM(C32:E32)</f>
        <v>7.38905609893065</v>
      </c>
      <c r="H32" s="22" t="s">
        <v>393</v>
      </c>
      <c r="I32" s="41" t="n">
        <f aca="false">C32/F32</f>
        <v>1</v>
      </c>
      <c r="J32" s="41" t="n">
        <f aca="false">D32/F32</f>
        <v>0</v>
      </c>
      <c r="K32" s="41" t="n">
        <f aca="false">E32/F32</f>
        <v>0</v>
      </c>
    </row>
    <row r="33" customFormat="false" ht="15" hidden="false" customHeight="false" outlineLevel="0" collapsed="false">
      <c r="B33" s="22" t="s">
        <v>715</v>
      </c>
      <c r="C33" s="39" t="n">
        <f aca="false">EXP(C27)</f>
        <v>2.71828182845905</v>
      </c>
      <c r="D33" s="39" t="n">
        <f aca="false">EXP(D27)</f>
        <v>7.38905609893065</v>
      </c>
      <c r="E33" s="39" t="n">
        <f aca="false">EXP(E27)</f>
        <v>0</v>
      </c>
      <c r="F33" s="31" t="n">
        <f aca="false">SUM(C33:E33)</f>
        <v>10.1073379273897</v>
      </c>
      <c r="H33" s="22" t="s">
        <v>715</v>
      </c>
      <c r="I33" s="41" t="n">
        <f aca="false">C33/F33</f>
        <v>0.268941421369995</v>
      </c>
      <c r="J33" s="41" t="n">
        <f aca="false">D33/F33</f>
        <v>0.731058578630005</v>
      </c>
      <c r="K33" s="41" t="n">
        <f aca="false">E33/F33</f>
        <v>0</v>
      </c>
    </row>
    <row r="34" customFormat="false" ht="15" hidden="false" customHeight="false" outlineLevel="0" collapsed="false">
      <c r="B34" s="22" t="s">
        <v>369</v>
      </c>
      <c r="C34" s="39" t="n">
        <f aca="false">EXP(C28)</f>
        <v>1</v>
      </c>
      <c r="D34" s="39" t="n">
        <f aca="false">EXP(D28)</f>
        <v>2.71828182845905</v>
      </c>
      <c r="E34" s="39" t="n">
        <f aca="false">EXP(E28)</f>
        <v>7.38905609893065</v>
      </c>
      <c r="F34" s="31" t="n">
        <f aca="false">SUM(C34:E34)</f>
        <v>11.1073379273897</v>
      </c>
      <c r="H34" s="22" t="s">
        <v>369</v>
      </c>
      <c r="I34" s="41" t="n">
        <f aca="false">C34/F34</f>
        <v>0.0900305731703805</v>
      </c>
      <c r="J34" s="41" t="n">
        <f aca="false">D34/F34</f>
        <v>0.244728471054798</v>
      </c>
      <c r="K34" s="41" t="n">
        <f aca="false">E34/F34</f>
        <v>0.665240955774822</v>
      </c>
    </row>
    <row r="36" customFormat="false" ht="15.75" hidden="false" customHeight="true" outlineLevel="0" collapsed="false">
      <c r="B36" s="10" t="s">
        <v>728</v>
      </c>
      <c r="C36" s="29" t="str">
        <f aca="false">"only itself allowed: "&amp;IF(ROUND(C32,3)&lt;0,"("&amp;ROUND(C32,3)&amp;")",ROUND(C32,3)&amp;"")&amp;" ÷ "&amp;IF(ROUND(F32,3)&lt;0,"("&amp;ROUND(F32,3)&amp;")",ROUND(F32,3)&amp;"")&amp;" = "&amp;IF(ROUND(I32,3)&lt;0,"("&amp;ROUND(I32,3)&amp;")",ROUND(I32,3)&amp;"")&amp;"  (future words get 0)"</f>
        <v>only itself allowed: 7.389 ÷ 7.389 = 1  (future words get 0)</v>
      </c>
      <c r="D36" s="29"/>
      <c r="E36" s="29"/>
      <c r="F36" s="29"/>
      <c r="G36" s="29"/>
      <c r="H36" s="29"/>
      <c r="I36" s="29"/>
      <c r="J36" s="29"/>
      <c r="K36" s="29"/>
      <c r="L36" s="29"/>
      <c r="M36" s="29"/>
      <c r="N36" s="29"/>
    </row>
    <row r="37" customFormat="false" ht="15.75" hidden="false" customHeight="true" outlineLevel="0" collapsed="false">
      <c r="B37" s="10" t="s">
        <v>729</v>
      </c>
      <c r="C37" s="29" t="str">
        <f aca="false">"e^"&amp;IF(ROUND(C27,3)&lt;0,"("&amp;ROUND(C27,3)&amp;")",ROUND(C27,3)&amp;"")&amp;" and e^"&amp;IF(ROUND(D27,3)&lt;0,"("&amp;ROUND(D27,3)&amp;")",ROUND(D27,3)&amp;"")&amp;" → "&amp;IF(ROUND(C33,3)&lt;0,"("&amp;ROUND(C33,3)&amp;")",ROUND(C33,3)&amp;"")&amp;", "&amp;IF(ROUND(D33,3)&lt;0,"("&amp;ROUND(D33,3)&amp;")",ROUND(D33,3)&amp;"")&amp;"; ÷ "&amp;IF(ROUND(F33,3)&lt;0,"("&amp;ROUND(F33,3)&amp;")",ROUND(F33,3)&amp;"")&amp;" → "&amp;IF(ROUND(I33,3)&lt;0,"("&amp;ROUND(I33,3)&amp;")",ROUND(I33,3)&amp;"")&amp;", "&amp;IF(ROUND(J33,3)&lt;0,"("&amp;ROUND(J33,3)&amp;")",ROUND(J33,3)&amp;"")&amp;", 0"</f>
        <v>e^1 and e^2 → 2.718, 7.389; ÷ 10.107 → 0.269, 0.731, 0</v>
      </c>
      <c r="D37" s="29"/>
      <c r="E37" s="29"/>
      <c r="F37" s="29"/>
      <c r="G37" s="29"/>
      <c r="H37" s="29"/>
      <c r="I37" s="29"/>
      <c r="J37" s="29"/>
      <c r="K37" s="29"/>
      <c r="L37" s="29"/>
      <c r="M37" s="29"/>
      <c r="N37" s="29"/>
    </row>
    <row r="38" customFormat="false" ht="17.25" hidden="false" customHeight="true" outlineLevel="0" collapsed="false">
      <c r="B38" s="5" t="s">
        <v>730</v>
      </c>
      <c r="C38" s="5"/>
      <c r="D38" s="5"/>
      <c r="E38" s="5"/>
      <c r="F38" s="5"/>
      <c r="G38" s="5"/>
      <c r="H38" s="5"/>
      <c r="I38" s="5"/>
      <c r="J38" s="5"/>
      <c r="K38" s="5"/>
      <c r="L38" s="5"/>
      <c r="M38" s="5"/>
      <c r="N38" s="5"/>
    </row>
    <row r="40" customFormat="false" ht="21.75" hidden="false" customHeight="true" outlineLevel="0" collapsed="false">
      <c r="B40" s="4" t="s">
        <v>731</v>
      </c>
      <c r="C40" s="4"/>
      <c r="D40" s="4"/>
      <c r="E40" s="4"/>
      <c r="F40" s="4"/>
      <c r="G40" s="4"/>
      <c r="H40" s="4"/>
      <c r="I40" s="4"/>
      <c r="J40" s="4"/>
      <c r="K40" s="4"/>
      <c r="L40" s="4"/>
      <c r="M40" s="4"/>
      <c r="N40" s="4"/>
    </row>
    <row r="41" customFormat="false" ht="17.25" hidden="false" customHeight="true" outlineLevel="0" collapsed="false">
      <c r="B41" s="20" t="s">
        <v>609</v>
      </c>
      <c r="C41" s="20"/>
      <c r="D41" s="20"/>
      <c r="F41" s="20" t="s">
        <v>612</v>
      </c>
      <c r="G41" s="20"/>
      <c r="H41" s="20"/>
      <c r="J41" s="20" t="s">
        <v>622</v>
      </c>
      <c r="K41" s="20"/>
      <c r="L41" s="20"/>
    </row>
    <row r="42" customFormat="false" ht="15" hidden="false" customHeight="false" outlineLevel="0" collapsed="false">
      <c r="B42" s="16"/>
      <c r="C42" s="21" t="s">
        <v>643</v>
      </c>
      <c r="D42" s="21" t="s">
        <v>644</v>
      </c>
      <c r="F42" s="16"/>
      <c r="G42" s="21" t="s">
        <v>643</v>
      </c>
      <c r="H42" s="21" t="s">
        <v>644</v>
      </c>
      <c r="J42" s="16"/>
      <c r="K42" s="21" t="s">
        <v>643</v>
      </c>
      <c r="L42" s="21" t="s">
        <v>644</v>
      </c>
    </row>
    <row r="43" customFormat="false" ht="15" hidden="false" customHeight="false" outlineLevel="0" collapsed="false">
      <c r="B43" s="22" t="s">
        <v>393</v>
      </c>
      <c r="C43" s="35" t="n">
        <v>1</v>
      </c>
      <c r="D43" s="35" t="n">
        <v>0</v>
      </c>
      <c r="F43" s="22" t="s">
        <v>393</v>
      </c>
      <c r="G43" s="35" t="n">
        <v>1</v>
      </c>
      <c r="H43" s="35" t="n">
        <v>1</v>
      </c>
      <c r="J43" s="22" t="s">
        <v>393</v>
      </c>
      <c r="K43" s="35" t="n">
        <v>1</v>
      </c>
      <c r="L43" s="35" t="n">
        <v>0</v>
      </c>
    </row>
    <row r="44" customFormat="false" ht="15" hidden="false" customHeight="false" outlineLevel="0" collapsed="false">
      <c r="B44" s="22" t="s">
        <v>715</v>
      </c>
      <c r="C44" s="35" t="n">
        <v>0</v>
      </c>
      <c r="D44" s="35" t="n">
        <v>1</v>
      </c>
      <c r="F44" s="22" t="s">
        <v>715</v>
      </c>
      <c r="G44" s="35" t="n">
        <v>1</v>
      </c>
      <c r="H44" s="35" t="n">
        <v>0</v>
      </c>
      <c r="J44" s="22" t="s">
        <v>715</v>
      </c>
      <c r="K44" s="35" t="n">
        <v>0</v>
      </c>
      <c r="L44" s="35" t="n">
        <v>1</v>
      </c>
    </row>
    <row r="45" customFormat="false" ht="15" hidden="false" customHeight="false" outlineLevel="0" collapsed="false">
      <c r="B45" s="22" t="s">
        <v>369</v>
      </c>
      <c r="C45" s="35" t="n">
        <v>1</v>
      </c>
      <c r="D45" s="35" t="n">
        <v>1</v>
      </c>
      <c r="F45" s="22" t="s">
        <v>369</v>
      </c>
      <c r="G45" s="35" t="n">
        <v>0</v>
      </c>
      <c r="H45" s="35" t="n">
        <v>2</v>
      </c>
      <c r="J45" s="22" t="s">
        <v>369</v>
      </c>
      <c r="K45" s="35" t="n">
        <v>2</v>
      </c>
      <c r="L45" s="35" t="n">
        <v>2</v>
      </c>
    </row>
    <row r="46" customFormat="false" ht="15" hidden="false" customHeight="false" outlineLevel="0" collapsed="false">
      <c r="B46" s="22" t="s">
        <v>398</v>
      </c>
      <c r="C46" s="35" t="n">
        <v>2</v>
      </c>
      <c r="D46" s="35" t="n">
        <v>0</v>
      </c>
      <c r="F46" s="22" t="s">
        <v>398</v>
      </c>
      <c r="G46" s="35" t="n">
        <v>1</v>
      </c>
      <c r="H46" s="35" t="n">
        <v>-1</v>
      </c>
      <c r="J46" s="22" t="s">
        <v>398</v>
      </c>
      <c r="K46" s="35" t="n">
        <v>5</v>
      </c>
      <c r="L46" s="35" t="n">
        <v>-5</v>
      </c>
    </row>
    <row r="48" customFormat="false" ht="15.75" hidden="false" customHeight="true" outlineLevel="0" collapsed="false">
      <c r="B48" s="22" t="s">
        <v>648</v>
      </c>
      <c r="C48" s="23" t="n">
        <v>2</v>
      </c>
    </row>
    <row r="49" customFormat="false" ht="17.25" hidden="false" customHeight="true" outlineLevel="0" collapsed="false">
      <c r="B49" s="20" t="s">
        <v>634</v>
      </c>
      <c r="C49" s="20"/>
      <c r="D49" s="20"/>
      <c r="E49" s="20"/>
      <c r="F49" s="20"/>
      <c r="H49" s="20" t="s">
        <v>732</v>
      </c>
      <c r="I49" s="20"/>
      <c r="J49" s="20"/>
      <c r="K49" s="20"/>
      <c r="L49" s="20"/>
    </row>
    <row r="50" customFormat="false" ht="15" hidden="false" customHeight="false" outlineLevel="0" collapsed="false">
      <c r="B50" s="16"/>
      <c r="C50" s="21" t="s">
        <v>393</v>
      </c>
      <c r="D50" s="21" t="s">
        <v>715</v>
      </c>
      <c r="E50" s="21" t="s">
        <v>369</v>
      </c>
      <c r="F50" s="21" t="s">
        <v>398</v>
      </c>
      <c r="H50" s="16"/>
      <c r="I50" s="21" t="s">
        <v>393</v>
      </c>
      <c r="J50" s="21" t="s">
        <v>715</v>
      </c>
      <c r="K50" s="21" t="s">
        <v>369</v>
      </c>
      <c r="L50" s="21" t="s">
        <v>398</v>
      </c>
    </row>
    <row r="51" customFormat="false" ht="15" hidden="false" customHeight="false" outlineLevel="0" collapsed="false">
      <c r="B51" s="22" t="s">
        <v>393</v>
      </c>
      <c r="C51" s="39" t="n">
        <f aca="false">(C43*G43+D43*H43)/SQRT(C48)</f>
        <v>0.707106781186548</v>
      </c>
      <c r="D51" s="39" t="n">
        <f aca="false">(C43*G44+D43*H44)/SQRT(C48)</f>
        <v>0.707106781186548</v>
      </c>
      <c r="E51" s="39" t="n">
        <f aca="false">(C43*G45+D43*H45)/SQRT(C48)</f>
        <v>0</v>
      </c>
      <c r="F51" s="39" t="n">
        <f aca="false">(C43*G46+D43*H46)/SQRT(C48)</f>
        <v>0.707106781186548</v>
      </c>
      <c r="H51" s="22" t="s">
        <v>393</v>
      </c>
      <c r="I51" s="84" t="n">
        <f aca="false">C51+IF(0&gt;0,-1000000000,0)</f>
        <v>0.707106781186548</v>
      </c>
      <c r="J51" s="84" t="n">
        <f aca="false">D51+IF(1&gt;0,-1000000000,0)</f>
        <v>-999999999.292893</v>
      </c>
      <c r="K51" s="84" t="n">
        <f aca="false">E51+IF(2&gt;0,-1000000000,0)</f>
        <v>-1000000000</v>
      </c>
      <c r="L51" s="84" t="n">
        <f aca="false">F51+IF(3&gt;0,-1000000000,0)</f>
        <v>-999999999.292893</v>
      </c>
    </row>
    <row r="52" customFormat="false" ht="15" hidden="false" customHeight="false" outlineLevel="0" collapsed="false">
      <c r="B52" s="22" t="s">
        <v>715</v>
      </c>
      <c r="C52" s="39" t="n">
        <f aca="false">(C44*G43+D44*H43)/SQRT(C48)</f>
        <v>0.707106781186548</v>
      </c>
      <c r="D52" s="39" t="n">
        <f aca="false">(C44*G44+D44*H44)/SQRT(C48)</f>
        <v>0</v>
      </c>
      <c r="E52" s="39" t="n">
        <f aca="false">(C44*G45+D44*H45)/SQRT(C48)</f>
        <v>1.4142135623731</v>
      </c>
      <c r="F52" s="39" t="n">
        <f aca="false">(C44*G46+D44*H46)/SQRT(C48)</f>
        <v>-0.707106781186548</v>
      </c>
      <c r="H52" s="22" t="s">
        <v>715</v>
      </c>
      <c r="I52" s="84" t="n">
        <f aca="false">C52+IF(0&gt;1,-1000000000,0)</f>
        <v>0.707106781186548</v>
      </c>
      <c r="J52" s="84" t="n">
        <f aca="false">D52+IF(1&gt;1,-1000000000,0)</f>
        <v>0</v>
      </c>
      <c r="K52" s="84" t="n">
        <f aca="false">E52+IF(2&gt;1,-1000000000,0)</f>
        <v>-999999998.585787</v>
      </c>
      <c r="L52" s="84" t="n">
        <f aca="false">F52+IF(3&gt;1,-1000000000,0)</f>
        <v>-1000000000.70711</v>
      </c>
    </row>
    <row r="53" customFormat="false" ht="15" hidden="false" customHeight="false" outlineLevel="0" collapsed="false">
      <c r="B53" s="22" t="s">
        <v>369</v>
      </c>
      <c r="C53" s="39" t="n">
        <f aca="false">(C45*G43+D45*H43)/SQRT(C48)</f>
        <v>1.4142135623731</v>
      </c>
      <c r="D53" s="39" t="n">
        <f aca="false">(C45*G44+D45*H44)/SQRT(C48)</f>
        <v>0.707106781186548</v>
      </c>
      <c r="E53" s="39" t="n">
        <f aca="false">(C45*G45+D45*H45)/SQRT(C48)</f>
        <v>1.4142135623731</v>
      </c>
      <c r="F53" s="39" t="n">
        <f aca="false">(C45*G46+D45*H46)/SQRT(C48)</f>
        <v>0</v>
      </c>
      <c r="H53" s="22" t="s">
        <v>369</v>
      </c>
      <c r="I53" s="84" t="n">
        <f aca="false">C53+IF(0&gt;2,-1000000000,0)</f>
        <v>1.4142135623731</v>
      </c>
      <c r="J53" s="84" t="n">
        <f aca="false">D53+IF(1&gt;2,-1000000000,0)</f>
        <v>0.707106781186548</v>
      </c>
      <c r="K53" s="84" t="n">
        <f aca="false">E53+IF(2&gt;2,-1000000000,0)</f>
        <v>1.4142135623731</v>
      </c>
      <c r="L53" s="84" t="n">
        <f aca="false">F53+IF(3&gt;2,-1000000000,0)</f>
        <v>-1000000000</v>
      </c>
    </row>
    <row r="54" customFormat="false" ht="15" hidden="false" customHeight="false" outlineLevel="0" collapsed="false">
      <c r="B54" s="22" t="s">
        <v>398</v>
      </c>
      <c r="C54" s="39" t="n">
        <f aca="false">(C46*G43+D46*H43)/SQRT(C48)</f>
        <v>1.4142135623731</v>
      </c>
      <c r="D54" s="39" t="n">
        <f aca="false">(C46*G44+D46*H44)/SQRT(C48)</f>
        <v>1.4142135623731</v>
      </c>
      <c r="E54" s="39" t="n">
        <f aca="false">(C46*G45+D46*H45)/SQRT(C48)</f>
        <v>0</v>
      </c>
      <c r="F54" s="39" t="n">
        <f aca="false">(C46*G46+D46*H46)/SQRT(C48)</f>
        <v>1.4142135623731</v>
      </c>
      <c r="H54" s="22" t="s">
        <v>398</v>
      </c>
      <c r="I54" s="84" t="n">
        <f aca="false">C54+IF(0&gt;3,-1000000000,0)</f>
        <v>1.4142135623731</v>
      </c>
      <c r="J54" s="84" t="n">
        <f aca="false">D54+IF(1&gt;3,-1000000000,0)</f>
        <v>1.4142135623731</v>
      </c>
      <c r="K54" s="84" t="n">
        <f aca="false">E54+IF(2&gt;3,-1000000000,0)</f>
        <v>0</v>
      </c>
      <c r="L54" s="84" t="n">
        <f aca="false">F54+IF(3&gt;3,-1000000000,0)</f>
        <v>1.4142135623731</v>
      </c>
    </row>
    <row r="56" customFormat="false" ht="17.25" hidden="false" customHeight="true" outlineLevel="0" collapsed="false">
      <c r="B56" s="20" t="s">
        <v>662</v>
      </c>
      <c r="C56" s="20"/>
      <c r="D56" s="20"/>
      <c r="E56" s="20"/>
      <c r="F56" s="20"/>
      <c r="I56" s="20" t="s">
        <v>733</v>
      </c>
      <c r="J56" s="20"/>
      <c r="K56" s="20"/>
      <c r="L56" s="20"/>
      <c r="M56" s="20"/>
    </row>
    <row r="57" customFormat="false" ht="15" hidden="false" customHeight="false" outlineLevel="0" collapsed="false">
      <c r="B57" s="16"/>
      <c r="C57" s="21" t="s">
        <v>393</v>
      </c>
      <c r="D57" s="21" t="s">
        <v>715</v>
      </c>
      <c r="E57" s="21" t="s">
        <v>369</v>
      </c>
      <c r="F57" s="21" t="s">
        <v>398</v>
      </c>
      <c r="G57" s="21" t="s">
        <v>664</v>
      </c>
      <c r="I57" s="16"/>
      <c r="J57" s="21" t="s">
        <v>393</v>
      </c>
      <c r="K57" s="21" t="s">
        <v>715</v>
      </c>
      <c r="L57" s="21" t="s">
        <v>369</v>
      </c>
      <c r="M57" s="21" t="s">
        <v>398</v>
      </c>
    </row>
    <row r="58" customFormat="false" ht="15" hidden="false" customHeight="false" outlineLevel="0" collapsed="false">
      <c r="B58" s="22" t="s">
        <v>393</v>
      </c>
      <c r="C58" s="39" t="n">
        <f aca="false">EXP(I51)</f>
        <v>2.02811498164747</v>
      </c>
      <c r="D58" s="39" t="n">
        <f aca="false">EXP(J51)</f>
        <v>0</v>
      </c>
      <c r="E58" s="39" t="n">
        <f aca="false">EXP(K51)</f>
        <v>0</v>
      </c>
      <c r="F58" s="39" t="n">
        <f aca="false">EXP(L51)</f>
        <v>0</v>
      </c>
      <c r="G58" s="31" t="n">
        <f aca="false">SUM(C58:F58)</f>
        <v>2.02811498164747</v>
      </c>
      <c r="I58" s="22" t="s">
        <v>393</v>
      </c>
      <c r="J58" s="41" t="n">
        <f aca="false">C58/G58</f>
        <v>1</v>
      </c>
      <c r="K58" s="41" t="n">
        <f aca="false">D58/G58</f>
        <v>0</v>
      </c>
      <c r="L58" s="41" t="n">
        <f aca="false">E58/G58</f>
        <v>0</v>
      </c>
      <c r="M58" s="41" t="n">
        <f aca="false">F58/G58</f>
        <v>0</v>
      </c>
    </row>
    <row r="59" customFormat="false" ht="15" hidden="false" customHeight="false" outlineLevel="0" collapsed="false">
      <c r="B59" s="22" t="s">
        <v>715</v>
      </c>
      <c r="C59" s="39" t="n">
        <f aca="false">EXP(I52)</f>
        <v>2.02811498164747</v>
      </c>
      <c r="D59" s="39" t="n">
        <f aca="false">EXP(J52)</f>
        <v>1</v>
      </c>
      <c r="E59" s="39" t="n">
        <f aca="false">EXP(K52)</f>
        <v>0</v>
      </c>
      <c r="F59" s="39" t="n">
        <f aca="false">EXP(L52)</f>
        <v>0</v>
      </c>
      <c r="G59" s="31" t="n">
        <f aca="false">SUM(C59:F59)</f>
        <v>3.02811498164747</v>
      </c>
      <c r="I59" s="22" t="s">
        <v>715</v>
      </c>
      <c r="J59" s="41" t="n">
        <f aca="false">C59/G59</f>
        <v>0.669761549326657</v>
      </c>
      <c r="K59" s="41" t="n">
        <f aca="false">D59/G59</f>
        <v>0.330238450673343</v>
      </c>
      <c r="L59" s="41" t="n">
        <f aca="false">E59/G59</f>
        <v>0</v>
      </c>
      <c r="M59" s="41" t="n">
        <f aca="false">F59/G59</f>
        <v>0</v>
      </c>
    </row>
    <row r="60" customFormat="false" ht="15" hidden="false" customHeight="false" outlineLevel="0" collapsed="false">
      <c r="B60" s="22" t="s">
        <v>369</v>
      </c>
      <c r="C60" s="39" t="n">
        <f aca="false">EXP(I53)</f>
        <v>4.11325037878293</v>
      </c>
      <c r="D60" s="39" t="n">
        <f aca="false">EXP(J53)</f>
        <v>2.02811498164747</v>
      </c>
      <c r="E60" s="39" t="n">
        <f aca="false">EXP(K53)</f>
        <v>4.11325037878293</v>
      </c>
      <c r="F60" s="39" t="n">
        <f aca="false">EXP(L53)</f>
        <v>0</v>
      </c>
      <c r="G60" s="31" t="n">
        <f aca="false">SUM(C60:F60)</f>
        <v>10.2546157392133</v>
      </c>
      <c r="I60" s="22" t="s">
        <v>369</v>
      </c>
      <c r="J60" s="41" t="n">
        <f aca="false">C60/G60</f>
        <v>0.401112092679786</v>
      </c>
      <c r="K60" s="41" t="n">
        <f aca="false">D60/G60</f>
        <v>0.197775814640428</v>
      </c>
      <c r="L60" s="41" t="n">
        <f aca="false">E60/G60</f>
        <v>0.401112092679786</v>
      </c>
      <c r="M60" s="41" t="n">
        <f aca="false">F60/G60</f>
        <v>0</v>
      </c>
    </row>
    <row r="61" customFormat="false" ht="15" hidden="false" customHeight="false" outlineLevel="0" collapsed="false">
      <c r="B61" s="22" t="s">
        <v>398</v>
      </c>
      <c r="C61" s="39" t="n">
        <f aca="false">EXP(I54)</f>
        <v>4.11325037878293</v>
      </c>
      <c r="D61" s="39" t="n">
        <f aca="false">EXP(J54)</f>
        <v>4.11325037878293</v>
      </c>
      <c r="E61" s="39" t="n">
        <f aca="false">EXP(K54)</f>
        <v>1</v>
      </c>
      <c r="F61" s="39" t="n">
        <f aca="false">EXP(L54)</f>
        <v>4.11325037878293</v>
      </c>
      <c r="G61" s="31" t="n">
        <f aca="false">SUM(C61:F61)</f>
        <v>13.3397511363488</v>
      </c>
      <c r="I61" s="22" t="s">
        <v>398</v>
      </c>
      <c r="J61" s="41" t="n">
        <f aca="false">C61/G61</f>
        <v>0.308345360924684</v>
      </c>
      <c r="K61" s="41" t="n">
        <f aca="false">D61/G61</f>
        <v>0.308345360924684</v>
      </c>
      <c r="L61" s="41" t="n">
        <f aca="false">E61/G61</f>
        <v>0.0749639172259483</v>
      </c>
      <c r="M61" s="41" t="n">
        <f aca="false">F61/G61</f>
        <v>0.308345360924684</v>
      </c>
    </row>
    <row r="63" customFormat="false" ht="17.25" hidden="false" customHeight="true" outlineLevel="0" collapsed="false">
      <c r="B63" s="20" t="s">
        <v>640</v>
      </c>
      <c r="C63" s="20"/>
      <c r="D63" s="20"/>
    </row>
    <row r="64" customFormat="false" ht="15" hidden="false" customHeight="false" outlineLevel="0" collapsed="false">
      <c r="B64" s="16"/>
      <c r="C64" s="21" t="s">
        <v>643</v>
      </c>
      <c r="D64" s="21" t="s">
        <v>644</v>
      </c>
    </row>
    <row r="65" customFormat="false" ht="15" hidden="false" customHeight="false" outlineLevel="0" collapsed="false">
      <c r="B65" s="22" t="s">
        <v>393</v>
      </c>
      <c r="C65" s="41" t="n">
        <f aca="false">J58*K43+K58*K44+L58*K45+M58*K46</f>
        <v>1</v>
      </c>
      <c r="D65" s="41" t="n">
        <f aca="false">J58*L43+K58*L44+L58*L45+M58*L46</f>
        <v>0</v>
      </c>
    </row>
    <row r="66" customFormat="false" ht="15" hidden="false" customHeight="false" outlineLevel="0" collapsed="false">
      <c r="B66" s="22" t="s">
        <v>715</v>
      </c>
      <c r="C66" s="41" t="n">
        <f aca="false">J59*K43+K59*K44+L59*K45+M59*K46</f>
        <v>0.669761549326657</v>
      </c>
      <c r="D66" s="41" t="n">
        <f aca="false">J59*L43+K59*L44+L59*L45+M59*L46</f>
        <v>0.330238450673343</v>
      </c>
    </row>
    <row r="67" customFormat="false" ht="15" hidden="false" customHeight="false" outlineLevel="0" collapsed="false">
      <c r="B67" s="22" t="s">
        <v>369</v>
      </c>
      <c r="C67" s="41" t="n">
        <f aca="false">J60*K43+K60*K44+L60*K45+M60*K46</f>
        <v>1.20333627803936</v>
      </c>
      <c r="D67" s="41" t="n">
        <f aca="false">J60*L43+K60*L44+L60*L45+M60*L46</f>
        <v>1</v>
      </c>
    </row>
    <row r="68" customFormat="false" ht="15" hidden="false" customHeight="false" outlineLevel="0" collapsed="false">
      <c r="B68" s="22" t="s">
        <v>398</v>
      </c>
      <c r="C68" s="41" t="n">
        <f aca="false">J61*K43+K61*K44+L61*K45+M61*K46</f>
        <v>2</v>
      </c>
      <c r="D68" s="41" t="n">
        <f aca="false">J61*L43+K61*L44+L61*L45+M61*L46</f>
        <v>-1.08345360924684</v>
      </c>
    </row>
    <row r="70" customFormat="false" ht="15.75" hidden="false" customHeight="true" outlineLevel="0" collapsed="false">
      <c r="B70" s="10" t="s">
        <v>734</v>
      </c>
      <c r="C70" s="29" t="str">
        <f aca="false">IF(ROUND(J60,3)&lt;0,"("&amp;ROUND(J60,3)&amp;")",ROUND(J60,3)&amp;"")&amp;"×"&amp;IF(ROUND(K43,3)&lt;0,"("&amp;ROUND(K43,3)&amp;")",ROUND(K43,3)&amp;"")&amp;" + "&amp;IF(ROUND(K60,3)&lt;0,"("&amp;ROUND(K60,3)&amp;")",ROUND(K60,3)&amp;"")&amp;"×"&amp;IF(ROUND(K44,3)&lt;0,"("&amp;ROUND(K44,3)&amp;")",ROUND(K44,3)&amp;"")&amp;" + "&amp;IF(ROUND(L60,3)&lt;0,"("&amp;ROUND(L60,3)&amp;")",ROUND(L60,3)&amp;"")&amp;"×"&amp;IF(ROUND(K45,3)&lt;0,"("&amp;ROUND(K45,3)&amp;")",ROUND(K45,3)&amp;"")&amp;" + "&amp;IF(ROUND(M60,3)&lt;0,"("&amp;ROUND(M60,3)&amp;")",ROUND(M60,3)&amp;"")&amp;"×"&amp;IF(ROUND(K46,3)&lt;0,"("&amp;ROUND(K46,3)&amp;")",ROUND(K46,3)&amp;"")&amp;"  =  "&amp;IF(ROUND(C67,3)&lt;0,"("&amp;ROUND(C67,3)&amp;")",ROUND(C67,3)&amp;"")</f>
        <v>0.401×1 + 0.198×0 + 0.401×2 + 0×5  =  1.203</v>
      </c>
      <c r="D70" s="29"/>
      <c r="E70" s="29"/>
      <c r="F70" s="29"/>
      <c r="G70" s="29"/>
      <c r="H70" s="29"/>
      <c r="I70" s="29"/>
      <c r="J70" s="29"/>
      <c r="K70" s="29"/>
      <c r="L70" s="29"/>
      <c r="M70" s="29"/>
      <c r="N70" s="29"/>
    </row>
    <row r="71" customFormat="false" ht="17.25" hidden="false" customHeight="true" outlineLevel="0" collapsed="false">
      <c r="B71" s="5" t="s">
        <v>735</v>
      </c>
      <c r="C71" s="5"/>
      <c r="D71" s="5"/>
      <c r="E71" s="5"/>
      <c r="F71" s="5"/>
      <c r="G71" s="5"/>
      <c r="H71" s="5"/>
      <c r="I71" s="5"/>
      <c r="J71" s="5"/>
      <c r="K71" s="5"/>
      <c r="L71" s="5"/>
      <c r="M71" s="5"/>
      <c r="N71" s="5"/>
    </row>
    <row r="72" customFormat="false" ht="17.25" hidden="false" customHeight="true" outlineLevel="0" collapsed="false">
      <c r="B72" s="80" t="s">
        <v>736</v>
      </c>
      <c r="C72" s="80"/>
      <c r="D72" s="80"/>
      <c r="E72" s="80"/>
      <c r="F72" s="80"/>
      <c r="G72" s="80"/>
      <c r="H72" s="80"/>
      <c r="I72" s="80"/>
      <c r="J72" s="80"/>
      <c r="K72" s="80"/>
      <c r="L72" s="80"/>
      <c r="M72" s="80"/>
      <c r="N72" s="80"/>
    </row>
    <row r="73" customFormat="false" ht="18.75" hidden="false" customHeight="true" outlineLevel="0" collapsed="false">
      <c r="B73" s="25" t="s">
        <v>279</v>
      </c>
      <c r="C73" s="25"/>
      <c r="D73" s="25"/>
      <c r="E73" s="25"/>
      <c r="F73" s="25"/>
      <c r="G73" s="25"/>
      <c r="H73" s="25"/>
      <c r="I73" s="25"/>
      <c r="J73" s="25"/>
      <c r="K73" s="25"/>
      <c r="L73" s="25"/>
      <c r="M73" s="25"/>
      <c r="N73" s="25"/>
    </row>
    <row r="74" customFormat="false" ht="17.25" hidden="false" customHeight="true" outlineLevel="0" collapsed="false">
      <c r="B74" s="43" t="s">
        <v>737</v>
      </c>
      <c r="C74" s="43"/>
      <c r="D74" s="43"/>
      <c r="E74" s="43"/>
      <c r="F74" s="43"/>
      <c r="G74" s="43"/>
      <c r="H74" s="43"/>
      <c r="I74" s="43"/>
      <c r="J74" s="43"/>
      <c r="K74" s="43"/>
      <c r="L74" s="43"/>
      <c r="M74" s="43"/>
      <c r="N74" s="43"/>
    </row>
    <row r="75" customFormat="false" ht="17.25" hidden="false" customHeight="true" outlineLevel="0" collapsed="false">
      <c r="B75" s="44" t="s">
        <v>738</v>
      </c>
      <c r="C75" s="44"/>
      <c r="D75" s="44"/>
      <c r="E75" s="44"/>
      <c r="F75" s="44"/>
      <c r="G75" s="44"/>
      <c r="H75" s="44"/>
      <c r="I75" s="44"/>
      <c r="J75" s="44"/>
      <c r="K75" s="44"/>
      <c r="L75" s="44"/>
      <c r="M75" s="44"/>
      <c r="N75" s="44"/>
    </row>
    <row r="76" customFormat="false" ht="17.25" hidden="false" customHeight="true" outlineLevel="0" collapsed="false">
      <c r="B76" s="43" t="s">
        <v>739</v>
      </c>
      <c r="C76" s="43"/>
      <c r="D76" s="43"/>
      <c r="E76" s="43"/>
      <c r="F76" s="43"/>
      <c r="G76" s="43"/>
      <c r="H76" s="43"/>
      <c r="I76" s="43"/>
      <c r="J76" s="43"/>
      <c r="K76" s="43"/>
      <c r="L76" s="43"/>
      <c r="M76" s="43"/>
      <c r="N76" s="43"/>
    </row>
    <row r="77" customFormat="false" ht="17.25" hidden="false" customHeight="true" outlineLevel="0" collapsed="false">
      <c r="B77" s="44" t="s">
        <v>740</v>
      </c>
      <c r="C77" s="44"/>
      <c r="D77" s="44"/>
      <c r="E77" s="44"/>
      <c r="F77" s="44"/>
      <c r="G77" s="44"/>
      <c r="H77" s="44"/>
      <c r="I77" s="44"/>
      <c r="J77" s="44"/>
      <c r="K77" s="44"/>
      <c r="L77" s="44"/>
      <c r="M77" s="44"/>
      <c r="N77" s="44"/>
    </row>
    <row r="78" customFormat="false" ht="17.25" hidden="false" customHeight="true" outlineLevel="0" collapsed="false">
      <c r="B78" s="43" t="s">
        <v>741</v>
      </c>
      <c r="C78" s="43"/>
      <c r="D78" s="43"/>
      <c r="E78" s="43"/>
      <c r="F78" s="43"/>
      <c r="G78" s="43"/>
      <c r="H78" s="43"/>
      <c r="I78" s="43"/>
      <c r="J78" s="43"/>
      <c r="K78" s="43"/>
      <c r="L78" s="43"/>
      <c r="M78" s="43"/>
      <c r="N78" s="43"/>
    </row>
    <row r="79" customFormat="false" ht="17.25" hidden="false" customHeight="true" outlineLevel="0" collapsed="false">
      <c r="B79" s="44" t="s">
        <v>742</v>
      </c>
      <c r="C79" s="44"/>
      <c r="D79" s="44"/>
      <c r="E79" s="44"/>
      <c r="F79" s="44"/>
      <c r="G79" s="44"/>
      <c r="H79" s="44"/>
      <c r="I79" s="44"/>
      <c r="J79" s="44"/>
      <c r="K79" s="44"/>
      <c r="L79" s="44"/>
      <c r="M79" s="44"/>
      <c r="N79" s="44"/>
    </row>
  </sheetData>
  <mergeCells count="52">
    <mergeCell ref="B1:N1"/>
    <mergeCell ref="B2:N2"/>
    <mergeCell ref="B4:N4"/>
    <mergeCell ref="B5:N5"/>
    <mergeCell ref="B6:N6"/>
    <mergeCell ref="B7:N7"/>
    <mergeCell ref="C8:F8"/>
    <mergeCell ref="G8:J8"/>
    <mergeCell ref="K8:N8"/>
    <mergeCell ref="C9:F9"/>
    <mergeCell ref="G9:J9"/>
    <mergeCell ref="K9:N9"/>
    <mergeCell ref="C10:F10"/>
    <mergeCell ref="G10:J10"/>
    <mergeCell ref="K10:N10"/>
    <mergeCell ref="C11:F11"/>
    <mergeCell ref="G11:J11"/>
    <mergeCell ref="K11:N11"/>
    <mergeCell ref="C12:F12"/>
    <mergeCell ref="G12:J12"/>
    <mergeCell ref="K12:N12"/>
    <mergeCell ref="B13:N13"/>
    <mergeCell ref="B14:N14"/>
    <mergeCell ref="B16:N16"/>
    <mergeCell ref="B17:E17"/>
    <mergeCell ref="G17:J17"/>
    <mergeCell ref="B23:N23"/>
    <mergeCell ref="B24:E24"/>
    <mergeCell ref="B30:E30"/>
    <mergeCell ref="H30:K30"/>
    <mergeCell ref="C36:N36"/>
    <mergeCell ref="C37:N37"/>
    <mergeCell ref="B38:N38"/>
    <mergeCell ref="B40:N40"/>
    <mergeCell ref="B41:D41"/>
    <mergeCell ref="F41:H41"/>
    <mergeCell ref="J41:L41"/>
    <mergeCell ref="B49:F49"/>
    <mergeCell ref="H49:L49"/>
    <mergeCell ref="B56:F56"/>
    <mergeCell ref="I56:M56"/>
    <mergeCell ref="B63:D63"/>
    <mergeCell ref="C70:N70"/>
    <mergeCell ref="B71:N71"/>
    <mergeCell ref="B72:N72"/>
    <mergeCell ref="B73:N73"/>
    <mergeCell ref="B74:N74"/>
    <mergeCell ref="B75:N75"/>
    <mergeCell ref="B76:N76"/>
    <mergeCell ref="B77:N77"/>
    <mergeCell ref="B78:N78"/>
    <mergeCell ref="B79:N79"/>
  </mergeCells>
  <conditionalFormatting sqref="I32:K34">
    <cfRule type="colorScale" priority="2">
      <colorScale>
        <cfvo type="num" val="0"/>
        <cfvo type="num" val="1"/>
        <color rgb="FFFFFFFF"/>
        <color rgb="FF5B9BD5"/>
      </colorScale>
    </cfRule>
  </conditionalFormatting>
  <conditionalFormatting sqref="J58:M61">
    <cfRule type="colorScale" priority="3">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743</v>
      </c>
      <c r="C1" s="1"/>
      <c r="D1" s="1"/>
      <c r="E1" s="1"/>
      <c r="F1" s="1"/>
      <c r="G1" s="1"/>
      <c r="H1" s="1"/>
      <c r="I1" s="1"/>
      <c r="J1" s="1"/>
      <c r="K1" s="1"/>
      <c r="L1" s="1"/>
      <c r="M1" s="1"/>
      <c r="N1" s="1"/>
    </row>
    <row r="2" customFormat="false" ht="17.25" hidden="false" customHeight="true" outlineLevel="0" collapsed="false">
      <c r="B2" s="2" t="s">
        <v>744</v>
      </c>
      <c r="C2" s="2"/>
      <c r="D2" s="2"/>
      <c r="E2" s="2"/>
      <c r="F2" s="2"/>
      <c r="G2" s="2"/>
      <c r="H2" s="2"/>
      <c r="I2" s="2"/>
      <c r="J2" s="2"/>
      <c r="K2" s="2"/>
      <c r="L2" s="2"/>
      <c r="M2" s="2"/>
      <c r="N2" s="2"/>
    </row>
    <row r="4" customFormat="false" ht="20.25" hidden="false" customHeight="true" outlineLevel="0" collapsed="false">
      <c r="B4" s="24" t="s">
        <v>745</v>
      </c>
      <c r="C4" s="24"/>
      <c r="D4" s="24"/>
      <c r="E4" s="24"/>
      <c r="F4" s="24"/>
      <c r="G4" s="24"/>
      <c r="H4" s="24"/>
      <c r="I4" s="24"/>
      <c r="J4" s="24"/>
      <c r="K4" s="24"/>
      <c r="L4" s="24"/>
      <c r="M4" s="24"/>
      <c r="N4" s="24"/>
    </row>
    <row r="5" customFormat="false" ht="34.5" hidden="false" customHeight="true" outlineLevel="0" collapsed="false">
      <c r="B5" s="3" t="s">
        <v>746</v>
      </c>
      <c r="C5" s="3"/>
      <c r="D5" s="3"/>
      <c r="E5" s="3"/>
      <c r="F5" s="3"/>
      <c r="G5" s="3"/>
      <c r="H5" s="3"/>
      <c r="I5" s="3"/>
      <c r="J5" s="3"/>
      <c r="K5" s="3"/>
      <c r="L5" s="3"/>
      <c r="M5" s="3"/>
      <c r="N5" s="3"/>
    </row>
    <row r="6" customFormat="false" ht="31.5" hidden="false" customHeight="true" outlineLevel="0" collapsed="false">
      <c r="B6" s="45" t="s">
        <v>747</v>
      </c>
      <c r="C6" s="45"/>
      <c r="D6" s="45"/>
      <c r="E6" s="45"/>
      <c r="F6" s="45"/>
      <c r="G6" s="45"/>
      <c r="H6" s="45"/>
      <c r="I6" s="45"/>
      <c r="J6" s="45"/>
      <c r="K6" s="45"/>
      <c r="L6" s="45"/>
      <c r="M6" s="45"/>
      <c r="N6" s="45"/>
    </row>
    <row r="7" customFormat="false" ht="17.25" hidden="false" customHeight="true" outlineLevel="0" collapsed="false">
      <c r="B7" s="11" t="s">
        <v>374</v>
      </c>
      <c r="C7" s="11" t="s">
        <v>375</v>
      </c>
      <c r="D7" s="11"/>
      <c r="E7" s="11"/>
      <c r="F7" s="11"/>
      <c r="G7" s="11"/>
      <c r="H7" s="11"/>
      <c r="I7" s="11"/>
      <c r="J7" s="11"/>
      <c r="K7" s="11"/>
      <c r="L7" s="11" t="s">
        <v>376</v>
      </c>
      <c r="M7" s="11"/>
      <c r="N7" s="11"/>
    </row>
    <row r="8" customFormat="false" ht="17.25" hidden="false" customHeight="true" outlineLevel="0" collapsed="false">
      <c r="B8" s="55" t="s">
        <v>748</v>
      </c>
      <c r="C8" s="13" t="s">
        <v>749</v>
      </c>
      <c r="D8" s="13"/>
      <c r="E8" s="13"/>
      <c r="F8" s="13"/>
      <c r="G8" s="13"/>
      <c r="H8" s="13"/>
      <c r="I8" s="13"/>
      <c r="J8" s="13"/>
      <c r="K8" s="13"/>
      <c r="L8" s="13" t="s">
        <v>750</v>
      </c>
      <c r="M8" s="13"/>
      <c r="N8" s="13"/>
    </row>
    <row r="9" customFormat="false" ht="17.25" hidden="false" customHeight="true" outlineLevel="0" collapsed="false">
      <c r="B9" s="10" t="s">
        <v>751</v>
      </c>
      <c r="C9" s="16" t="s">
        <v>752</v>
      </c>
      <c r="D9" s="16"/>
      <c r="E9" s="16"/>
      <c r="F9" s="16"/>
      <c r="G9" s="16"/>
      <c r="H9" s="16"/>
      <c r="I9" s="16"/>
      <c r="J9" s="16"/>
      <c r="K9" s="16"/>
      <c r="L9" s="16" t="s">
        <v>753</v>
      </c>
      <c r="M9" s="16"/>
      <c r="N9" s="16"/>
    </row>
    <row r="10" customFormat="false" ht="17.25" hidden="false" customHeight="true" outlineLevel="0" collapsed="false">
      <c r="B10" s="55" t="s">
        <v>754</v>
      </c>
      <c r="C10" s="13" t="s">
        <v>755</v>
      </c>
      <c r="D10" s="13"/>
      <c r="E10" s="13"/>
      <c r="F10" s="13"/>
      <c r="G10" s="13"/>
      <c r="H10" s="13"/>
      <c r="I10" s="13"/>
      <c r="J10" s="13"/>
      <c r="K10" s="13"/>
      <c r="L10" s="13" t="s">
        <v>756</v>
      </c>
      <c r="M10" s="13"/>
      <c r="N10" s="13"/>
    </row>
    <row r="11" customFormat="false" ht="17.25" hidden="false" customHeight="true" outlineLevel="0" collapsed="false">
      <c r="B11" s="10" t="s">
        <v>757</v>
      </c>
      <c r="C11" s="16" t="s">
        <v>758</v>
      </c>
      <c r="D11" s="16"/>
      <c r="E11" s="16"/>
      <c r="F11" s="16"/>
      <c r="G11" s="16"/>
      <c r="H11" s="16"/>
      <c r="I11" s="16"/>
      <c r="J11" s="16"/>
      <c r="K11" s="16"/>
      <c r="L11" s="16" t="s">
        <v>759</v>
      </c>
      <c r="M11" s="16"/>
      <c r="N11" s="16"/>
    </row>
    <row r="12" customFormat="false" ht="17.25" hidden="false" customHeight="true" outlineLevel="0" collapsed="false">
      <c r="B12" s="55" t="s">
        <v>760</v>
      </c>
      <c r="C12" s="13" t="s">
        <v>761</v>
      </c>
      <c r="D12" s="13"/>
      <c r="E12" s="13"/>
      <c r="F12" s="13"/>
      <c r="G12" s="13"/>
      <c r="H12" s="13"/>
      <c r="I12" s="13"/>
      <c r="J12" s="13"/>
      <c r="K12" s="13"/>
      <c r="L12" s="13" t="s">
        <v>762</v>
      </c>
      <c r="M12" s="13"/>
      <c r="N12" s="13"/>
    </row>
    <row r="13" customFormat="false" ht="17.25" hidden="false" customHeight="true" outlineLevel="0" collapsed="false">
      <c r="B13" s="10" t="s">
        <v>763</v>
      </c>
      <c r="C13" s="16" t="s">
        <v>764</v>
      </c>
      <c r="D13" s="16"/>
      <c r="E13" s="16"/>
      <c r="F13" s="16"/>
      <c r="G13" s="16"/>
      <c r="H13" s="16"/>
      <c r="I13" s="16"/>
      <c r="J13" s="16"/>
      <c r="K13" s="16"/>
      <c r="L13" s="16" t="s">
        <v>765</v>
      </c>
      <c r="M13" s="16"/>
      <c r="N13" s="16"/>
    </row>
    <row r="14" customFormat="false" ht="31.5" hidden="false" customHeight="true" outlineLevel="0" collapsed="false">
      <c r="B14" s="5" t="s">
        <v>766</v>
      </c>
      <c r="C14" s="5"/>
      <c r="D14" s="5"/>
      <c r="E14" s="5"/>
      <c r="F14" s="5"/>
      <c r="G14" s="5"/>
      <c r="H14" s="5"/>
      <c r="I14" s="5"/>
      <c r="J14" s="5"/>
      <c r="K14" s="5"/>
      <c r="L14" s="5"/>
      <c r="M14" s="5"/>
      <c r="N14" s="5"/>
    </row>
    <row r="16" customFormat="false" ht="21.75" hidden="false" customHeight="true" outlineLevel="0" collapsed="false">
      <c r="B16" s="4" t="s">
        <v>767</v>
      </c>
      <c r="C16" s="4"/>
      <c r="D16" s="4"/>
      <c r="E16" s="4"/>
      <c r="F16" s="4"/>
      <c r="G16" s="4"/>
      <c r="H16" s="4"/>
      <c r="I16" s="4"/>
      <c r="J16" s="4"/>
      <c r="K16" s="4"/>
      <c r="L16" s="4"/>
      <c r="M16" s="4"/>
      <c r="N16" s="4"/>
    </row>
    <row r="17" customFormat="false" ht="31.5" hidden="false" customHeight="true" outlineLevel="0" collapsed="false">
      <c r="B17" s="5" t="s">
        <v>768</v>
      </c>
      <c r="C17" s="5"/>
      <c r="D17" s="5"/>
      <c r="E17" s="5"/>
      <c r="F17" s="5"/>
      <c r="G17" s="5"/>
      <c r="H17" s="5"/>
      <c r="I17" s="5"/>
      <c r="J17" s="5"/>
      <c r="K17" s="5"/>
      <c r="L17" s="5"/>
      <c r="M17" s="5"/>
      <c r="N17" s="5"/>
    </row>
    <row r="18" customFormat="false" ht="17.25" hidden="false" customHeight="true" outlineLevel="0" collapsed="false">
      <c r="B18" s="20" t="s">
        <v>574</v>
      </c>
      <c r="C18" s="20"/>
      <c r="D18" s="20"/>
      <c r="E18" s="20"/>
      <c r="F18" s="20"/>
    </row>
    <row r="19" customFormat="false" ht="15" hidden="false" customHeight="false" outlineLevel="0" collapsed="false">
      <c r="B19" s="16"/>
      <c r="C19" s="21" t="s">
        <v>389</v>
      </c>
      <c r="D19" s="21" t="s">
        <v>390</v>
      </c>
      <c r="E19" s="21" t="s">
        <v>391</v>
      </c>
      <c r="F19" s="21" t="s">
        <v>392</v>
      </c>
    </row>
    <row r="20" customFormat="false" ht="15" hidden="false" customHeight="false" outlineLevel="0" collapsed="false">
      <c r="B20" s="22" t="str">
        <f aca="false">'03 Embeddings'!$B$36</f>
        <v>the</v>
      </c>
      <c r="C20" s="68" t="n">
        <f aca="false">'04 Positional Enc'!$C$45</f>
        <v>1</v>
      </c>
      <c r="D20" s="68" t="n">
        <f aca="false">'04 Positional Enc'!$D$45</f>
        <v>0.6</v>
      </c>
      <c r="E20" s="68" t="n">
        <f aca="false">'04 Positional Enc'!$E$45</f>
        <v>0.2</v>
      </c>
      <c r="F20" s="68" t="n">
        <f aca="false">'04 Positional Enc'!$F$45</f>
        <v>1</v>
      </c>
    </row>
    <row r="21" customFormat="false" ht="15" hidden="false" customHeight="false" outlineLevel="0" collapsed="false">
      <c r="B21" s="22" t="str">
        <f aca="false">'03 Embeddings'!$B$37</f>
        <v>cat</v>
      </c>
      <c r="C21" s="68" t="n">
        <f aca="false">'04 Positional Enc'!$C$46</f>
        <v>0.241470984807897</v>
      </c>
      <c r="D21" s="68" t="n">
        <f aca="false">'04 Positional Enc'!$D$46</f>
        <v>2.14030230586814</v>
      </c>
      <c r="E21" s="68" t="n">
        <f aca="false">'04 Positional Enc'!$E$46</f>
        <v>0.809999833334167</v>
      </c>
      <c r="F21" s="68" t="n">
        <f aca="false">'04 Positional Enc'!$F$46</f>
        <v>0.799950000416665</v>
      </c>
    </row>
    <row r="22" customFormat="false" ht="15" hidden="false" customHeight="false" outlineLevel="0" collapsed="false">
      <c r="B22" s="22" t="str">
        <f aca="false">'03 Embeddings'!$B$38</f>
        <v>sat</v>
      </c>
      <c r="C22" s="68" t="n">
        <f aca="false">'04 Positional Enc'!$C$47</f>
        <v>1.30929742682568</v>
      </c>
      <c r="D22" s="68" t="n">
        <f aca="false">'04 Positional Enc'!$D$47</f>
        <v>-0.216146836547142</v>
      </c>
      <c r="E22" s="68" t="n">
        <f aca="false">'04 Positional Enc'!$E$47</f>
        <v>-1.18000133330667</v>
      </c>
      <c r="F22" s="68" t="n">
        <f aca="false">'04 Positional Enc'!$F$47</f>
        <v>1.99980000666658</v>
      </c>
    </row>
    <row r="24" customFormat="false" ht="17.25" hidden="false" customHeight="true" outlineLevel="0" collapsed="false">
      <c r="B24" s="22" t="s">
        <v>769</v>
      </c>
      <c r="C24" s="23" t="n">
        <v>2</v>
      </c>
      <c r="D24" s="27" t="s">
        <v>770</v>
      </c>
      <c r="E24" s="27"/>
      <c r="F24" s="27"/>
      <c r="G24" s="27"/>
      <c r="H24" s="27"/>
      <c r="I24" s="27"/>
      <c r="J24" s="27"/>
      <c r="K24" s="27"/>
      <c r="L24" s="27"/>
      <c r="M24" s="27"/>
      <c r="N24" s="27"/>
    </row>
    <row r="25" customFormat="false" ht="18.75" hidden="false" customHeight="true" outlineLevel="0" collapsed="false">
      <c r="B25" s="25" t="s">
        <v>771</v>
      </c>
      <c r="C25" s="25"/>
      <c r="D25" s="25"/>
      <c r="E25" s="25"/>
      <c r="F25" s="25"/>
      <c r="G25" s="25"/>
      <c r="H25" s="25"/>
      <c r="I25" s="25"/>
      <c r="J25" s="25"/>
      <c r="K25" s="25"/>
      <c r="L25" s="25"/>
      <c r="M25" s="25"/>
      <c r="N25" s="25"/>
    </row>
    <row r="26" customFormat="false" ht="17.25" hidden="false" customHeight="true" outlineLevel="0" collapsed="false">
      <c r="B26" s="20" t="s">
        <v>772</v>
      </c>
      <c r="C26" s="20"/>
      <c r="D26" s="20"/>
      <c r="F26" s="20" t="s">
        <v>773</v>
      </c>
      <c r="G26" s="20"/>
      <c r="H26" s="20"/>
      <c r="J26" s="20" t="s">
        <v>774</v>
      </c>
      <c r="K26" s="20"/>
      <c r="L26" s="20"/>
    </row>
    <row r="27" customFormat="false" ht="15" hidden="false" customHeight="false" outlineLevel="0" collapsed="false">
      <c r="B27" s="16"/>
      <c r="C27" s="21" t="s">
        <v>262</v>
      </c>
      <c r="D27" s="21" t="s">
        <v>263</v>
      </c>
      <c r="F27" s="16"/>
      <c r="G27" s="21" t="s">
        <v>262</v>
      </c>
      <c r="H27" s="21" t="s">
        <v>263</v>
      </c>
      <c r="J27" s="16"/>
      <c r="K27" s="21" t="s">
        <v>262</v>
      </c>
      <c r="L27" s="21" t="s">
        <v>263</v>
      </c>
    </row>
    <row r="28" customFormat="false" ht="15" hidden="false" customHeight="false" outlineLevel="0" collapsed="false">
      <c r="B28" s="22" t="s">
        <v>389</v>
      </c>
      <c r="C28" s="85" t="n">
        <f aca="false">'05 Query-Key-Value'!$C$68</f>
        <v>1</v>
      </c>
      <c r="D28" s="85" t="n">
        <f aca="false">'05 Query-Key-Value'!$D$68</f>
        <v>0</v>
      </c>
      <c r="F28" s="22" t="s">
        <v>389</v>
      </c>
      <c r="G28" s="85" t="n">
        <f aca="false">'05 Query-Key-Value'!$I$68</f>
        <v>1</v>
      </c>
      <c r="H28" s="85" t="n">
        <f aca="false">'05 Query-Key-Value'!$J$68</f>
        <v>0</v>
      </c>
      <c r="J28" s="22" t="s">
        <v>389</v>
      </c>
      <c r="K28" s="85" t="n">
        <f aca="false">'05 Query-Key-Value'!$C$75</f>
        <v>0.5</v>
      </c>
      <c r="L28" s="85" t="n">
        <f aca="false">'05 Query-Key-Value'!$D$75</f>
        <v>0</v>
      </c>
    </row>
    <row r="29" customFormat="false" ht="15" hidden="false" customHeight="false" outlineLevel="0" collapsed="false">
      <c r="B29" s="22" t="s">
        <v>390</v>
      </c>
      <c r="C29" s="85" t="n">
        <f aca="false">'05 Query-Key-Value'!$C$69</f>
        <v>0</v>
      </c>
      <c r="D29" s="85" t="n">
        <f aca="false">'05 Query-Key-Value'!$D$69</f>
        <v>1</v>
      </c>
      <c r="F29" s="22" t="s">
        <v>390</v>
      </c>
      <c r="G29" s="85" t="n">
        <f aca="false">'05 Query-Key-Value'!$I$69</f>
        <v>0</v>
      </c>
      <c r="H29" s="85" t="n">
        <f aca="false">'05 Query-Key-Value'!$J$69</f>
        <v>1</v>
      </c>
      <c r="J29" s="22" t="s">
        <v>390</v>
      </c>
      <c r="K29" s="85" t="n">
        <f aca="false">'05 Query-Key-Value'!$C$76</f>
        <v>0</v>
      </c>
      <c r="L29" s="85" t="n">
        <f aca="false">'05 Query-Key-Value'!$D$76</f>
        <v>1</v>
      </c>
    </row>
    <row r="30" customFormat="false" ht="15" hidden="false" customHeight="false" outlineLevel="0" collapsed="false">
      <c r="B30" s="22" t="s">
        <v>391</v>
      </c>
      <c r="C30" s="85" t="n">
        <f aca="false">'05 Query-Key-Value'!$C$70</f>
        <v>1</v>
      </c>
      <c r="D30" s="85" t="n">
        <f aca="false">'05 Query-Key-Value'!$D$70</f>
        <v>0</v>
      </c>
      <c r="F30" s="22" t="s">
        <v>391</v>
      </c>
      <c r="G30" s="85" t="n">
        <f aca="false">'05 Query-Key-Value'!$I$70</f>
        <v>0</v>
      </c>
      <c r="H30" s="85" t="n">
        <f aca="false">'05 Query-Key-Value'!$J$70</f>
        <v>1</v>
      </c>
      <c r="J30" s="22" t="s">
        <v>391</v>
      </c>
      <c r="K30" s="85" t="n">
        <f aca="false">'05 Query-Key-Value'!$C$77</f>
        <v>0</v>
      </c>
      <c r="L30" s="85" t="n">
        <f aca="false">'05 Query-Key-Value'!$D$77</f>
        <v>0</v>
      </c>
    </row>
    <row r="31" customFormat="false" ht="15" hidden="false" customHeight="false" outlineLevel="0" collapsed="false">
      <c r="B31" s="22" t="s">
        <v>392</v>
      </c>
      <c r="C31" s="85" t="n">
        <f aca="false">'05 Query-Key-Value'!$C$71</f>
        <v>0</v>
      </c>
      <c r="D31" s="85" t="n">
        <f aca="false">'05 Query-Key-Value'!$D$71</f>
        <v>-1</v>
      </c>
      <c r="F31" s="22" t="s">
        <v>392</v>
      </c>
      <c r="G31" s="85" t="n">
        <f aca="false">'05 Query-Key-Value'!$I$71</f>
        <v>1</v>
      </c>
      <c r="H31" s="85" t="n">
        <f aca="false">'05 Query-Key-Value'!$J$71</f>
        <v>0</v>
      </c>
      <c r="J31" s="22" t="s">
        <v>392</v>
      </c>
      <c r="K31" s="85" t="n">
        <f aca="false">'05 Query-Key-Value'!$C$78</f>
        <v>0.5</v>
      </c>
      <c r="L31" s="85" t="n">
        <f aca="false">'05 Query-Key-Value'!$D$78</f>
        <v>0</v>
      </c>
    </row>
    <row r="33" customFormat="false" ht="17.25" hidden="false" customHeight="true" outlineLevel="0" collapsed="false">
      <c r="B33" s="20" t="s">
        <v>775</v>
      </c>
      <c r="C33" s="20"/>
      <c r="D33" s="20"/>
      <c r="F33" s="20" t="s">
        <v>776</v>
      </c>
      <c r="G33" s="20"/>
      <c r="H33" s="20"/>
      <c r="J33" s="20" t="s">
        <v>777</v>
      </c>
      <c r="K33" s="20"/>
      <c r="L33" s="20"/>
    </row>
    <row r="34" customFormat="false" ht="15" hidden="false" customHeight="false" outlineLevel="0" collapsed="false">
      <c r="B34" s="16"/>
      <c r="C34" s="21" t="s">
        <v>262</v>
      </c>
      <c r="D34" s="21" t="s">
        <v>263</v>
      </c>
      <c r="F34" s="16"/>
      <c r="G34" s="21" t="s">
        <v>262</v>
      </c>
      <c r="H34" s="21" t="s">
        <v>263</v>
      </c>
      <c r="J34" s="16"/>
      <c r="K34" s="21" t="s">
        <v>262</v>
      </c>
      <c r="L34" s="21" t="s">
        <v>263</v>
      </c>
    </row>
    <row r="35" customFormat="false" ht="15" hidden="false" customHeight="false" outlineLevel="0" collapsed="false">
      <c r="B35" s="22" t="str">
        <f aca="false">'03 Embeddings'!$B$36</f>
        <v>the</v>
      </c>
      <c r="C35" s="39" t="n">
        <f aca="false">C20*C28+D20*C29+E20*C30+F20*C31</f>
        <v>1.2</v>
      </c>
      <c r="D35" s="39" t="n">
        <f aca="false">C20*D28+D20*D29+E20*D30+F20*D31</f>
        <v>-0.4</v>
      </c>
      <c r="F35" s="22" t="str">
        <f aca="false">'03 Embeddings'!$B$36</f>
        <v>the</v>
      </c>
      <c r="G35" s="39" t="n">
        <f aca="false">C20*G28+D20*G29+E20*G30+F20*G31</f>
        <v>2</v>
      </c>
      <c r="H35" s="39" t="n">
        <f aca="false">C20*H28+D20*H29+E20*H30+F20*H31</f>
        <v>0.8</v>
      </c>
      <c r="J35" s="22" t="str">
        <f aca="false">'03 Embeddings'!$B$36</f>
        <v>the</v>
      </c>
      <c r="K35" s="39" t="n">
        <f aca="false">C20*K28+D20*K29+E20*K30+F20*K31</f>
        <v>1</v>
      </c>
      <c r="L35" s="39" t="n">
        <f aca="false">C20*L28+D20*L29+E20*L30+F20*L31</f>
        <v>0.6</v>
      </c>
    </row>
    <row r="36" customFormat="false" ht="15" hidden="false" customHeight="false" outlineLevel="0" collapsed="false">
      <c r="B36" s="22" t="str">
        <f aca="false">'03 Embeddings'!$B$37</f>
        <v>cat</v>
      </c>
      <c r="C36" s="39" t="n">
        <f aca="false">C21*C28+D21*C29+E21*C30+F21*C31</f>
        <v>1.05147081814206</v>
      </c>
      <c r="D36" s="39" t="n">
        <f aca="false">C21*D28+D21*D29+E21*D30+F21*D31</f>
        <v>1.34035230545147</v>
      </c>
      <c r="F36" s="22" t="str">
        <f aca="false">'03 Embeddings'!$B$37</f>
        <v>cat</v>
      </c>
      <c r="G36" s="39" t="n">
        <f aca="false">C21*G28+D21*G29+E21*G30+F21*G31</f>
        <v>1.04142098522456</v>
      </c>
      <c r="H36" s="39" t="n">
        <f aca="false">C21*H28+D21*H29+E21*H30+F21*H31</f>
        <v>2.95030213920231</v>
      </c>
      <c r="J36" s="22" t="str">
        <f aca="false">'03 Embeddings'!$B$37</f>
        <v>cat</v>
      </c>
      <c r="K36" s="39" t="n">
        <f aca="false">C21*K28+D21*K29+E21*K30+F21*K31</f>
        <v>0.520710492612281</v>
      </c>
      <c r="L36" s="39" t="n">
        <f aca="false">C21*L28+D21*L29+E21*L30+F21*L31</f>
        <v>2.14030230586814</v>
      </c>
    </row>
    <row r="37" customFormat="false" ht="15" hidden="false" customHeight="false" outlineLevel="0" collapsed="false">
      <c r="B37" s="22" t="str">
        <f aca="false">'03 Embeddings'!$B$38</f>
        <v>sat</v>
      </c>
      <c r="C37" s="39" t="n">
        <f aca="false">C22*C28+D22*C29+E22*C30+F22*C31</f>
        <v>0.129296093519015</v>
      </c>
      <c r="D37" s="39" t="n">
        <f aca="false">C22*D28+D22*D29+E22*D30+F22*D31</f>
        <v>-2.21594684321372</v>
      </c>
      <c r="F37" s="22" t="str">
        <f aca="false">'03 Embeddings'!$B$38</f>
        <v>sat</v>
      </c>
      <c r="G37" s="39" t="n">
        <f aca="false">C22*G28+D22*G29+E22*G30+F22*G31</f>
        <v>3.30909743349226</v>
      </c>
      <c r="H37" s="39" t="n">
        <f aca="false">C22*H28+D22*H29+E22*H30+F22*H31</f>
        <v>-1.39614816985381</v>
      </c>
      <c r="J37" s="22" t="str">
        <f aca="false">'03 Embeddings'!$B$38</f>
        <v>sat</v>
      </c>
      <c r="K37" s="39" t="n">
        <f aca="false">C22*K28+D22*K29+E22*K30+F22*K31</f>
        <v>1.65454871674613</v>
      </c>
      <c r="L37" s="39" t="n">
        <f aca="false">C22*L28+D22*L29+E22*L30+F22*L31</f>
        <v>-0.216146836547142</v>
      </c>
    </row>
    <row r="39" customFormat="false" ht="17.25" hidden="false" customHeight="true" outlineLevel="0" collapsed="false">
      <c r="B39" s="20" t="s">
        <v>778</v>
      </c>
      <c r="C39" s="20"/>
      <c r="D39" s="20"/>
      <c r="E39" s="20"/>
    </row>
    <row r="40" customFormat="false" ht="15" hidden="false" customHeight="false" outlineLevel="0" collapsed="false">
      <c r="B40" s="16"/>
      <c r="C40" s="21" t="str">
        <f aca="false">'03 Embeddings'!$B$36</f>
        <v>the</v>
      </c>
      <c r="D40" s="21" t="str">
        <f aca="false">'03 Embeddings'!$B$37</f>
        <v>cat</v>
      </c>
      <c r="E40" s="21" t="str">
        <f aca="false">'03 Embeddings'!$B$38</f>
        <v>sat</v>
      </c>
    </row>
    <row r="41" customFormat="false" ht="15" hidden="false" customHeight="false" outlineLevel="0" collapsed="false">
      <c r="B41" s="22" t="str">
        <f aca="false">'03 Embeddings'!$B$36</f>
        <v>the</v>
      </c>
      <c r="C41" s="39" t="n">
        <f aca="false">(C35*G35+D35*H35)/SQRT(C24)</f>
        <v>1.47078210486802</v>
      </c>
      <c r="D41" s="39" t="n">
        <f aca="false">(C35*G36+D35*H36)/SQRT(C24)</f>
        <v>0.0492035491950642</v>
      </c>
      <c r="E41" s="39" t="n">
        <f aca="false">(C35*G37+D35*H37)/SQRT(C24)</f>
        <v>3.20275261717318</v>
      </c>
    </row>
    <row r="42" customFormat="false" ht="15" hidden="false" customHeight="false" outlineLevel="0" collapsed="false">
      <c r="B42" s="22" t="str">
        <f aca="false">'03 Embeddings'!$B$37</f>
        <v>cat</v>
      </c>
      <c r="C42" s="39" t="n">
        <f aca="false">(C36*G35+D36*H35)/SQRT(C24)</f>
        <v>2.24522205494705</v>
      </c>
      <c r="D42" s="39" t="n">
        <f aca="false">(C36*G36+D36*H36)/SQRT(C24)</f>
        <v>3.57051309913154</v>
      </c>
      <c r="E42" s="39" t="n">
        <f aca="false">(C36*G37+D36*H37)/SQRT(C24)</f>
        <v>1.1370906136638</v>
      </c>
    </row>
    <row r="43" customFormat="false" ht="15" hidden="false" customHeight="false" outlineLevel="0" collapsed="false">
      <c r="B43" s="22" t="str">
        <f aca="false">'03 Embeddings'!$B$38</f>
        <v>sat</v>
      </c>
      <c r="C43" s="39" t="n">
        <f aca="false">(C37*G35+D37*H35)/SQRT(C24)</f>
        <v>-1.07067654265182</v>
      </c>
      <c r="D43" s="39" t="n">
        <f aca="false">(C37*G36+D37*H36)/SQRT(C24)</f>
        <v>-4.52764788653931</v>
      </c>
      <c r="E43" s="39" t="n">
        <f aca="false">(C37*G37+D37*H37)/SQRT(C24)</f>
        <v>2.49017800038707</v>
      </c>
    </row>
    <row r="45" customFormat="false" ht="17.25" hidden="false" customHeight="true" outlineLevel="0" collapsed="false">
      <c r="B45" s="20" t="s">
        <v>662</v>
      </c>
      <c r="C45" s="20"/>
      <c r="D45" s="20"/>
      <c r="E45" s="20"/>
      <c r="H45" s="20" t="s">
        <v>779</v>
      </c>
      <c r="I45" s="20"/>
      <c r="J45" s="20"/>
      <c r="K45" s="20"/>
    </row>
    <row r="46" customFormat="false" ht="15" hidden="false" customHeight="false" outlineLevel="0" collapsed="false">
      <c r="B46" s="16"/>
      <c r="C46" s="21" t="str">
        <f aca="false">'03 Embeddings'!$B$36</f>
        <v>the</v>
      </c>
      <c r="D46" s="21" t="str">
        <f aca="false">'03 Embeddings'!$B$37</f>
        <v>cat</v>
      </c>
      <c r="E46" s="21" t="str">
        <f aca="false">'03 Embeddings'!$B$38</f>
        <v>sat</v>
      </c>
      <c r="F46" s="21" t="s">
        <v>664</v>
      </c>
      <c r="H46" s="16"/>
      <c r="I46" s="21" t="str">
        <f aca="false">'03 Embeddings'!$B$36</f>
        <v>the</v>
      </c>
      <c r="J46" s="21" t="str">
        <f aca="false">'03 Embeddings'!$B$37</f>
        <v>cat</v>
      </c>
      <c r="K46" s="21" t="str">
        <f aca="false">'03 Embeddings'!$B$38</f>
        <v>sat</v>
      </c>
    </row>
    <row r="47" customFormat="false" ht="15" hidden="false" customHeight="false" outlineLevel="0" collapsed="false">
      <c r="B47" s="22" t="str">
        <f aca="false">'03 Embeddings'!$B$36</f>
        <v>the</v>
      </c>
      <c r="C47" s="39" t="n">
        <f aca="false">EXP(C41)</f>
        <v>4.3526380295731</v>
      </c>
      <c r="D47" s="39" t="n">
        <f aca="false">EXP(D41)</f>
        <v>1.05043414400505</v>
      </c>
      <c r="E47" s="39" t="n">
        <f aca="false">EXP(E41)</f>
        <v>24.6001518866465</v>
      </c>
      <c r="F47" s="31" t="n">
        <f aca="false">SUM(C47:E47)</f>
        <v>30.0032240602246</v>
      </c>
      <c r="H47" s="22" t="str">
        <f aca="false">'03 Embeddings'!$B$36</f>
        <v>the</v>
      </c>
      <c r="I47" s="41" t="n">
        <f aca="false">C47/F47</f>
        <v>0.145072343586682</v>
      </c>
      <c r="J47" s="41" t="n">
        <f aca="false">D47/F47</f>
        <v>0.0350107089123669</v>
      </c>
      <c r="K47" s="41" t="n">
        <f aca="false">E47/F47</f>
        <v>0.819916947500952</v>
      </c>
    </row>
    <row r="48" customFormat="false" ht="15" hidden="false" customHeight="false" outlineLevel="0" collapsed="false">
      <c r="B48" s="22" t="str">
        <f aca="false">'03 Embeddings'!$B$37</f>
        <v>cat</v>
      </c>
      <c r="C48" s="39" t="n">
        <f aca="false">EXP(C42)</f>
        <v>9.44251208019997</v>
      </c>
      <c r="D48" s="39" t="n">
        <f aca="false">EXP(D42)</f>
        <v>35.534821360769</v>
      </c>
      <c r="E48" s="39" t="n">
        <f aca="false">EXP(E42)</f>
        <v>3.11768460851428</v>
      </c>
      <c r="F48" s="31" t="n">
        <f aca="false">SUM(C48:E48)</f>
        <v>48.0950180494833</v>
      </c>
      <c r="H48" s="22" t="str">
        <f aca="false">'03 Embeddings'!$B$37</f>
        <v>cat</v>
      </c>
      <c r="I48" s="41" t="n">
        <f aca="false">C48/F48</f>
        <v>0.196330357345638</v>
      </c>
      <c r="J48" s="41" t="n">
        <f aca="false">D48/F48</f>
        <v>0.738846200748038</v>
      </c>
      <c r="K48" s="41" t="n">
        <f aca="false">E48/F48</f>
        <v>0.064823441906324</v>
      </c>
    </row>
    <row r="49" customFormat="false" ht="15" hidden="false" customHeight="false" outlineLevel="0" collapsed="false">
      <c r="B49" s="22" t="str">
        <f aca="false">'03 Embeddings'!$B$38</f>
        <v>sat</v>
      </c>
      <c r="C49" s="39" t="n">
        <f aca="false">EXP(C43)</f>
        <v>0.342776536008242</v>
      </c>
      <c r="D49" s="39" t="n">
        <f aca="false">EXP(D43)</f>
        <v>0.0108060632911537</v>
      </c>
      <c r="E49" s="39" t="n">
        <f aca="false">EXP(E43)</f>
        <v>12.0634232233496</v>
      </c>
      <c r="F49" s="31" t="n">
        <f aca="false">SUM(C49:E49)</f>
        <v>12.417005822649</v>
      </c>
      <c r="H49" s="22" t="str">
        <f aca="false">'03 Embeddings'!$B$38</f>
        <v>sat</v>
      </c>
      <c r="I49" s="41" t="n">
        <f aca="false">C49/F49</f>
        <v>0.0276054099437568</v>
      </c>
      <c r="J49" s="41" t="n">
        <f aca="false">D49/F49</f>
        <v>0.000870263205598498</v>
      </c>
      <c r="K49" s="41" t="n">
        <f aca="false">E49/F49</f>
        <v>0.971524326850645</v>
      </c>
    </row>
    <row r="51" customFormat="false" ht="17.25" hidden="false" customHeight="true" outlineLevel="0" collapsed="false">
      <c r="B51" s="20" t="s">
        <v>780</v>
      </c>
      <c r="C51" s="20"/>
      <c r="D51" s="20"/>
    </row>
    <row r="52" customFormat="false" ht="15" hidden="false" customHeight="false" outlineLevel="0" collapsed="false">
      <c r="B52" s="16"/>
      <c r="C52" s="21" t="s">
        <v>262</v>
      </c>
      <c r="D52" s="21" t="s">
        <v>263</v>
      </c>
    </row>
    <row r="53" customFormat="false" ht="15" hidden="false" customHeight="false" outlineLevel="0" collapsed="false">
      <c r="B53" s="22" t="str">
        <f aca="false">'03 Embeddings'!$B$36</f>
        <v>the</v>
      </c>
      <c r="C53" s="41" t="n">
        <f aca="false">I47*K35+J47*K36+K47*K37</f>
        <v>1.51989532039725</v>
      </c>
      <c r="D53" s="41" t="n">
        <f aca="false">I47*L35+J47*L36+K47*L37</f>
        <v>-0.015245547266494</v>
      </c>
    </row>
    <row r="54" customFormat="false" ht="15" hidden="false" customHeight="false" outlineLevel="0" collapsed="false">
      <c r="B54" s="22" t="str">
        <f aca="false">'03 Embeddings'!$B$37</f>
        <v>cat</v>
      </c>
      <c r="C54" s="41" t="n">
        <f aca="false">I48*K35+J48*K36+K48*K37</f>
        <v>0.688308869123037</v>
      </c>
      <c r="D54" s="41" t="n">
        <f aca="false">I48*L35+J48*L36+K48*L37</f>
        <v>1.68514105964817</v>
      </c>
    </row>
    <row r="55" customFormat="false" ht="15" hidden="false" customHeight="false" outlineLevel="0" collapsed="false">
      <c r="B55" s="22" t="str">
        <f aca="false">'03 Embeddings'!$B$38</f>
        <v>sat</v>
      </c>
      <c r="C55" s="41" t="n">
        <f aca="false">I49*K35+J49*K36+K49*K37</f>
        <v>1.63549289340463</v>
      </c>
      <c r="D55" s="41" t="n">
        <f aca="false">I49*L35+J49*L36+K49*L37</f>
        <v>-0.19156603756545</v>
      </c>
    </row>
    <row r="57" customFormat="false" ht="15.75" hidden="false" customHeight="true" outlineLevel="0" collapsed="false">
      <c r="B57" s="10" t="s">
        <v>781</v>
      </c>
      <c r="C57" s="29" t="str">
        <f aca="false">IF(ROUND(I48,3)&lt;0,"("&amp;ROUND(I48,3)&amp;")",ROUND(I48,3)&amp;"")&amp;"×"&amp;IF(ROUND(K35,3)&lt;0,"("&amp;ROUND(K35,3)&amp;")",ROUND(K35,3)&amp;"")&amp;" + "&amp;IF(ROUND(J48,3)&lt;0,"("&amp;ROUND(J48,3)&amp;")",ROUND(J48,3)&amp;"")&amp;"×"&amp;IF(ROUND(K36,3)&lt;0,"("&amp;ROUND(K36,3)&amp;")",ROUND(K36,3)&amp;"")&amp;" + "&amp;IF(ROUND(K48,3)&lt;0,"("&amp;ROUND(K48,3)&amp;")",ROUND(K48,3)&amp;"")&amp;"×"&amp;IF(ROUND(K37,3)&lt;0,"("&amp;ROUND(K37,3)&amp;")",ROUND(K37,3)&amp;"")&amp;"  =  "&amp;IF(ROUND(C54,3)&lt;0,"("&amp;ROUND(C54,3)&amp;")",ROUND(C54,3)&amp;"")</f>
        <v>0.196×1 + 0.739×0.521 + 0.065×1.655  =  0.688</v>
      </c>
      <c r="D57" s="29"/>
      <c r="E57" s="29"/>
      <c r="F57" s="29"/>
      <c r="G57" s="29"/>
      <c r="H57" s="29"/>
      <c r="I57" s="29"/>
      <c r="J57" s="29"/>
      <c r="K57" s="29"/>
      <c r="L57" s="29"/>
      <c r="M57" s="29"/>
      <c r="N57" s="29"/>
    </row>
    <row r="58" customFormat="false" ht="18.75" hidden="false" customHeight="true" outlineLevel="0" collapsed="false">
      <c r="B58" s="25" t="s">
        <v>782</v>
      </c>
      <c r="C58" s="25"/>
      <c r="D58" s="25"/>
      <c r="E58" s="25"/>
      <c r="F58" s="25"/>
      <c r="G58" s="25"/>
      <c r="H58" s="25"/>
      <c r="I58" s="25"/>
      <c r="J58" s="25"/>
      <c r="K58" s="25"/>
      <c r="L58" s="25"/>
      <c r="M58" s="25"/>
      <c r="N58" s="25"/>
    </row>
    <row r="59" customFormat="false" ht="17.25" hidden="false" customHeight="true" outlineLevel="0" collapsed="false">
      <c r="B59" s="20" t="s">
        <v>783</v>
      </c>
      <c r="C59" s="20"/>
      <c r="D59" s="20"/>
      <c r="F59" s="20" t="s">
        <v>784</v>
      </c>
      <c r="G59" s="20"/>
      <c r="H59" s="20"/>
      <c r="J59" s="20" t="s">
        <v>785</v>
      </c>
      <c r="K59" s="20"/>
      <c r="L59" s="20"/>
    </row>
    <row r="60" customFormat="false" ht="15" hidden="false" customHeight="false" outlineLevel="0" collapsed="false">
      <c r="B60" s="16"/>
      <c r="C60" s="21" t="s">
        <v>262</v>
      </c>
      <c r="D60" s="21" t="s">
        <v>263</v>
      </c>
      <c r="F60" s="16"/>
      <c r="G60" s="21" t="s">
        <v>262</v>
      </c>
      <c r="H60" s="21" t="s">
        <v>263</v>
      </c>
      <c r="J60" s="16"/>
      <c r="K60" s="21" t="s">
        <v>262</v>
      </c>
      <c r="L60" s="21" t="s">
        <v>263</v>
      </c>
    </row>
    <row r="61" customFormat="false" ht="15" hidden="false" customHeight="false" outlineLevel="0" collapsed="false">
      <c r="B61" s="22" t="s">
        <v>389</v>
      </c>
      <c r="C61" s="85" t="n">
        <f aca="false">'05 Query-Key-Value'!$E$68</f>
        <v>1</v>
      </c>
      <c r="D61" s="85" t="n">
        <f aca="false">'05 Query-Key-Value'!$F$68</f>
        <v>0</v>
      </c>
      <c r="F61" s="22" t="s">
        <v>389</v>
      </c>
      <c r="G61" s="85" t="n">
        <f aca="false">'05 Query-Key-Value'!$K$68</f>
        <v>0</v>
      </c>
      <c r="H61" s="85" t="n">
        <f aca="false">'05 Query-Key-Value'!$L$68</f>
        <v>1</v>
      </c>
      <c r="J61" s="22" t="s">
        <v>389</v>
      </c>
      <c r="K61" s="85" t="n">
        <f aca="false">'05 Query-Key-Value'!$E$75</f>
        <v>0.5</v>
      </c>
      <c r="L61" s="85" t="n">
        <f aca="false">'05 Query-Key-Value'!$F$75</f>
        <v>0</v>
      </c>
    </row>
    <row r="62" customFormat="false" ht="15" hidden="false" customHeight="false" outlineLevel="0" collapsed="false">
      <c r="B62" s="22" t="s">
        <v>390</v>
      </c>
      <c r="C62" s="85" t="n">
        <f aca="false">'05 Query-Key-Value'!$E$69</f>
        <v>0</v>
      </c>
      <c r="D62" s="85" t="n">
        <f aca="false">'05 Query-Key-Value'!$F$69</f>
        <v>-1</v>
      </c>
      <c r="F62" s="22" t="s">
        <v>390</v>
      </c>
      <c r="G62" s="85" t="n">
        <f aca="false">'05 Query-Key-Value'!$K$69</f>
        <v>1</v>
      </c>
      <c r="H62" s="85" t="n">
        <f aca="false">'05 Query-Key-Value'!$L$69</f>
        <v>0</v>
      </c>
      <c r="J62" s="22" t="s">
        <v>390</v>
      </c>
      <c r="K62" s="85" t="n">
        <f aca="false">'05 Query-Key-Value'!$E$76</f>
        <v>0</v>
      </c>
      <c r="L62" s="85" t="n">
        <f aca="false">'05 Query-Key-Value'!$F$76</f>
        <v>0</v>
      </c>
    </row>
    <row r="63" customFormat="false" ht="15" hidden="false" customHeight="false" outlineLevel="0" collapsed="false">
      <c r="B63" s="22" t="s">
        <v>391</v>
      </c>
      <c r="C63" s="85" t="n">
        <f aca="false">'05 Query-Key-Value'!$E$70</f>
        <v>-1</v>
      </c>
      <c r="D63" s="85" t="n">
        <f aca="false">'05 Query-Key-Value'!$F$70</f>
        <v>0</v>
      </c>
      <c r="F63" s="22" t="s">
        <v>391</v>
      </c>
      <c r="G63" s="85" t="n">
        <f aca="false">'05 Query-Key-Value'!$K$70</f>
        <v>-1</v>
      </c>
      <c r="H63" s="85" t="n">
        <f aca="false">'05 Query-Key-Value'!$L$70</f>
        <v>0</v>
      </c>
      <c r="J63" s="22" t="s">
        <v>391</v>
      </c>
      <c r="K63" s="85" t="n">
        <f aca="false">'05 Query-Key-Value'!$E$77</f>
        <v>1</v>
      </c>
      <c r="L63" s="85" t="n">
        <f aca="false">'05 Query-Key-Value'!$F$77</f>
        <v>0</v>
      </c>
    </row>
    <row r="64" customFormat="false" ht="15" hidden="false" customHeight="false" outlineLevel="0" collapsed="false">
      <c r="B64" s="22" t="s">
        <v>392</v>
      </c>
      <c r="C64" s="85" t="n">
        <f aca="false">'05 Query-Key-Value'!$E$71</f>
        <v>0</v>
      </c>
      <c r="D64" s="85" t="n">
        <f aca="false">'05 Query-Key-Value'!$F$71</f>
        <v>1</v>
      </c>
      <c r="F64" s="22" t="s">
        <v>392</v>
      </c>
      <c r="G64" s="85" t="n">
        <f aca="false">'05 Query-Key-Value'!$K$71</f>
        <v>0</v>
      </c>
      <c r="H64" s="85" t="n">
        <f aca="false">'05 Query-Key-Value'!$L$71</f>
        <v>-1</v>
      </c>
      <c r="J64" s="22" t="s">
        <v>392</v>
      </c>
      <c r="K64" s="85" t="n">
        <f aca="false">'05 Query-Key-Value'!$E$78</f>
        <v>0</v>
      </c>
      <c r="L64" s="85" t="n">
        <f aca="false">'05 Query-Key-Value'!$F$78</f>
        <v>0.5</v>
      </c>
    </row>
    <row r="66" customFormat="false" ht="17.25" hidden="false" customHeight="true" outlineLevel="0" collapsed="false">
      <c r="B66" s="20" t="s">
        <v>786</v>
      </c>
      <c r="C66" s="20"/>
      <c r="D66" s="20"/>
      <c r="F66" s="20" t="s">
        <v>787</v>
      </c>
      <c r="G66" s="20"/>
      <c r="H66" s="20"/>
      <c r="J66" s="20" t="s">
        <v>788</v>
      </c>
      <c r="K66" s="20"/>
      <c r="L66" s="20"/>
    </row>
    <row r="67" customFormat="false" ht="15" hidden="false" customHeight="false" outlineLevel="0" collapsed="false">
      <c r="B67" s="16"/>
      <c r="C67" s="21" t="s">
        <v>262</v>
      </c>
      <c r="D67" s="21" t="s">
        <v>263</v>
      </c>
      <c r="F67" s="16"/>
      <c r="G67" s="21" t="s">
        <v>262</v>
      </c>
      <c r="H67" s="21" t="s">
        <v>263</v>
      </c>
      <c r="J67" s="16"/>
      <c r="K67" s="21" t="s">
        <v>262</v>
      </c>
      <c r="L67" s="21" t="s">
        <v>263</v>
      </c>
    </row>
    <row r="68" customFormat="false" ht="15" hidden="false" customHeight="false" outlineLevel="0" collapsed="false">
      <c r="B68" s="22" t="str">
        <f aca="false">'03 Embeddings'!$B$36</f>
        <v>the</v>
      </c>
      <c r="C68" s="39" t="n">
        <f aca="false">C20*C61+D20*C62+E20*C63+F20*C64</f>
        <v>0.8</v>
      </c>
      <c r="D68" s="39" t="n">
        <f aca="false">C20*D61+D20*D62+E20*D63+F20*D64</f>
        <v>0.4</v>
      </c>
      <c r="F68" s="22" t="str">
        <f aca="false">'03 Embeddings'!$B$36</f>
        <v>the</v>
      </c>
      <c r="G68" s="39" t="n">
        <f aca="false">C20*G61+D20*G62+E20*G63+F20*G64</f>
        <v>0.4</v>
      </c>
      <c r="H68" s="39" t="n">
        <f aca="false">C20*H61+D20*H62+E20*H63+F20*H64</f>
        <v>0</v>
      </c>
      <c r="J68" s="22" t="str">
        <f aca="false">'03 Embeddings'!$B$36</f>
        <v>the</v>
      </c>
      <c r="K68" s="39" t="n">
        <f aca="false">C20*K61+D20*K62+E20*K63+F20*K64</f>
        <v>0.7</v>
      </c>
      <c r="L68" s="39" t="n">
        <f aca="false">C20*L61+D20*L62+E20*L63+F20*L64</f>
        <v>0.5</v>
      </c>
    </row>
    <row r="69" customFormat="false" ht="15" hidden="false" customHeight="false" outlineLevel="0" collapsed="false">
      <c r="B69" s="22" t="str">
        <f aca="false">'03 Embeddings'!$B$37</f>
        <v>cat</v>
      </c>
      <c r="C69" s="39" t="n">
        <f aca="false">C21*C61+D21*C62+E21*C63+F21*C64</f>
        <v>-0.56852884852627</v>
      </c>
      <c r="D69" s="39" t="n">
        <f aca="false">C21*D61+D21*D62+E21*D63+F21*D64</f>
        <v>-1.34035230545147</v>
      </c>
      <c r="F69" s="22" t="str">
        <f aca="false">'03 Embeddings'!$B$37</f>
        <v>cat</v>
      </c>
      <c r="G69" s="39" t="n">
        <f aca="false">C21*G61+D21*G62+E21*G63+F21*G64</f>
        <v>1.33030247253397</v>
      </c>
      <c r="H69" s="39" t="n">
        <f aca="false">C21*H61+D21*H62+E21*H63+F21*H64</f>
        <v>-0.558479015608769</v>
      </c>
      <c r="J69" s="22" t="str">
        <f aca="false">'03 Embeddings'!$B$37</f>
        <v>cat</v>
      </c>
      <c r="K69" s="39" t="n">
        <f aca="false">C21*K61+D21*K62+E21*K63+F21*K64</f>
        <v>0.930735325738115</v>
      </c>
      <c r="L69" s="39" t="n">
        <f aca="false">C21*L61+D21*L62+E21*L63+F21*L64</f>
        <v>0.399975000208333</v>
      </c>
    </row>
    <row r="70" customFormat="false" ht="15" hidden="false" customHeight="false" outlineLevel="0" collapsed="false">
      <c r="B70" s="22" t="str">
        <f aca="false">'03 Embeddings'!$B$38</f>
        <v>sat</v>
      </c>
      <c r="C70" s="39" t="n">
        <f aca="false">C22*C61+D22*C62+E22*C63+F22*C64</f>
        <v>2.48929876013235</v>
      </c>
      <c r="D70" s="39" t="n">
        <f aca="false">C22*D61+D22*D62+E22*D63+F22*D64</f>
        <v>2.21594684321372</v>
      </c>
      <c r="F70" s="22" t="str">
        <f aca="false">'03 Embeddings'!$B$38</f>
        <v>sat</v>
      </c>
      <c r="G70" s="39" t="n">
        <f aca="false">C22*G61+D22*G62+E22*G63+F22*G64</f>
        <v>0.963854496759524</v>
      </c>
      <c r="H70" s="39" t="n">
        <f aca="false">C22*H61+D22*H62+E22*H63+F22*H64</f>
        <v>-0.690502579840896</v>
      </c>
      <c r="J70" s="22" t="str">
        <f aca="false">'03 Embeddings'!$B$38</f>
        <v>sat</v>
      </c>
      <c r="K70" s="39" t="n">
        <f aca="false">C22*K61+D22*K62+E22*K63+F22*K64</f>
        <v>-0.525352619893826</v>
      </c>
      <c r="L70" s="39" t="n">
        <f aca="false">C22*L61+D22*L62+E22*L63+F22*L64</f>
        <v>0.999900003333289</v>
      </c>
    </row>
    <row r="72" customFormat="false" ht="17.25" hidden="false" customHeight="true" outlineLevel="0" collapsed="false">
      <c r="B72" s="20" t="s">
        <v>789</v>
      </c>
      <c r="C72" s="20"/>
      <c r="D72" s="20"/>
      <c r="E72" s="20"/>
    </row>
    <row r="73" customFormat="false" ht="15" hidden="false" customHeight="false" outlineLevel="0" collapsed="false">
      <c r="B73" s="16"/>
      <c r="C73" s="21" t="str">
        <f aca="false">'03 Embeddings'!$B$36</f>
        <v>the</v>
      </c>
      <c r="D73" s="21" t="str">
        <f aca="false">'03 Embeddings'!$B$37</f>
        <v>cat</v>
      </c>
      <c r="E73" s="21" t="str">
        <f aca="false">'03 Embeddings'!$B$38</f>
        <v>sat</v>
      </c>
    </row>
    <row r="74" customFormat="false" ht="15" hidden="false" customHeight="false" outlineLevel="0" collapsed="false">
      <c r="B74" s="22" t="str">
        <f aca="false">'03 Embeddings'!$B$36</f>
        <v>the</v>
      </c>
      <c r="C74" s="39" t="n">
        <f aca="false">(C68*G68+D68*H68)/SQRT(C24)</f>
        <v>0.226274169979695</v>
      </c>
      <c r="D74" s="39" t="n">
        <f aca="false">(C68*G69+D68*H69)/SQRT(C24)</f>
        <v>0.594570999851463</v>
      </c>
      <c r="E74" s="39" t="n">
        <f aca="false">(C68*G70+D68*H70)/SQRT(C24)</f>
        <v>0.349934817935724</v>
      </c>
    </row>
    <row r="75" customFormat="false" ht="15" hidden="false" customHeight="false" outlineLevel="0" collapsed="false">
      <c r="B75" s="22" t="str">
        <f aca="false">'03 Embeddings'!$B$37</f>
        <v>cat</v>
      </c>
      <c r="C75" s="39" t="n">
        <f aca="false">(C69*G68+D69*H68)/SQRT(C24)</f>
        <v>-0.160804241637242</v>
      </c>
      <c r="D75" s="39" t="n">
        <f aca="false">(C69*G69+D69*H69)/SQRT(C24)</f>
        <v>-0.00548481289550821</v>
      </c>
      <c r="E75" s="39" t="n">
        <f aca="false">(C69*G70+D69*H70)/SQRT(C24)</f>
        <v>0.266959423714517</v>
      </c>
    </row>
    <row r="76" customFormat="false" ht="15" hidden="false" customHeight="false" outlineLevel="0" collapsed="false">
      <c r="B76" s="22" t="str">
        <f aca="false">'03 Embeddings'!$B$38</f>
        <v>sat</v>
      </c>
      <c r="C76" s="39" t="n">
        <f aca="false">(C70*G68+D70*H68)/SQRT(C24)</f>
        <v>0.704080013475539</v>
      </c>
      <c r="D76" s="39" t="n">
        <f aca="false">(C70*G69+D70*H69)/SQRT(C24)</f>
        <v>1.46651152203652</v>
      </c>
      <c r="E76" s="39" t="n">
        <f aca="false">(C70*G70+D70*H70)/SQRT(C24)</f>
        <v>0.614620602452403</v>
      </c>
    </row>
    <row r="78" customFormat="false" ht="17.25" hidden="false" customHeight="true" outlineLevel="0" collapsed="false">
      <c r="B78" s="20" t="s">
        <v>662</v>
      </c>
      <c r="C78" s="20"/>
      <c r="D78" s="20"/>
      <c r="E78" s="20"/>
      <c r="H78" s="20" t="s">
        <v>790</v>
      </c>
      <c r="I78" s="20"/>
      <c r="J78" s="20"/>
      <c r="K78" s="20"/>
    </row>
    <row r="79" customFormat="false" ht="15" hidden="false" customHeight="false" outlineLevel="0" collapsed="false">
      <c r="B79" s="16"/>
      <c r="C79" s="21" t="str">
        <f aca="false">'03 Embeddings'!$B$36</f>
        <v>the</v>
      </c>
      <c r="D79" s="21" t="str">
        <f aca="false">'03 Embeddings'!$B$37</f>
        <v>cat</v>
      </c>
      <c r="E79" s="21" t="str">
        <f aca="false">'03 Embeddings'!$B$38</f>
        <v>sat</v>
      </c>
      <c r="F79" s="21" t="s">
        <v>664</v>
      </c>
      <c r="H79" s="16"/>
      <c r="I79" s="21" t="str">
        <f aca="false">'03 Embeddings'!$B$36</f>
        <v>the</v>
      </c>
      <c r="J79" s="21" t="str">
        <f aca="false">'03 Embeddings'!$B$37</f>
        <v>cat</v>
      </c>
      <c r="K79" s="21" t="str">
        <f aca="false">'03 Embeddings'!$B$38</f>
        <v>sat</v>
      </c>
    </row>
    <row r="80" customFormat="false" ht="15" hidden="false" customHeight="false" outlineLevel="0" collapsed="false">
      <c r="B80" s="22" t="str">
        <f aca="false">'03 Embeddings'!$B$36</f>
        <v>the</v>
      </c>
      <c r="C80" s="39" t="n">
        <f aca="false">EXP(C74)</f>
        <v>1.25391940521231</v>
      </c>
      <c r="D80" s="39" t="n">
        <f aca="false">EXP(D74)</f>
        <v>1.81225332122774</v>
      </c>
      <c r="E80" s="39" t="n">
        <f aca="false">EXP(E74)</f>
        <v>1.41897505385563</v>
      </c>
      <c r="F80" s="31" t="n">
        <f aca="false">SUM(C80:E80)</f>
        <v>4.48514778029568</v>
      </c>
      <c r="H80" s="22" t="str">
        <f aca="false">'03 Embeddings'!$B$36</f>
        <v>the</v>
      </c>
      <c r="I80" s="41" t="n">
        <f aca="false">C80/F80</f>
        <v>0.279571480503068</v>
      </c>
      <c r="J80" s="41" t="n">
        <f aca="false">D80/F80</f>
        <v>0.40405654618325</v>
      </c>
      <c r="K80" s="41" t="n">
        <f aca="false">E80/F80</f>
        <v>0.316371973313682</v>
      </c>
    </row>
    <row r="81" customFormat="false" ht="15" hidden="false" customHeight="false" outlineLevel="0" collapsed="false">
      <c r="B81" s="22" t="str">
        <f aca="false">'03 Embeddings'!$B$37</f>
        <v>cat</v>
      </c>
      <c r="C81" s="39" t="n">
        <f aca="false">EXP(C75)</f>
        <v>0.851458734961609</v>
      </c>
      <c r="D81" s="39" t="n">
        <f aca="false">EXP(D75)</f>
        <v>0.994530201228313</v>
      </c>
      <c r="E81" s="39" t="n">
        <f aca="false">EXP(E75)</f>
        <v>1.30598745313579</v>
      </c>
      <c r="F81" s="31" t="n">
        <f aca="false">SUM(C81:E81)</f>
        <v>3.15197638932571</v>
      </c>
      <c r="H81" s="22" t="str">
        <f aca="false">'03 Embeddings'!$B$37</f>
        <v>cat</v>
      </c>
      <c r="I81" s="41" t="n">
        <f aca="false">C81/F81</f>
        <v>0.270134870884536</v>
      </c>
      <c r="J81" s="41" t="n">
        <f aca="false">D81/F81</f>
        <v>0.31552590450751</v>
      </c>
      <c r="K81" s="41" t="n">
        <f aca="false">E81/F81</f>
        <v>0.414339224607953</v>
      </c>
    </row>
    <row r="82" customFormat="false" ht="15" hidden="false" customHeight="false" outlineLevel="0" collapsed="false">
      <c r="B82" s="22" t="str">
        <f aca="false">'03 Embeddings'!$B$38</f>
        <v>sat</v>
      </c>
      <c r="C82" s="39" t="n">
        <f aca="false">EXP(C76)</f>
        <v>2.02198562944889</v>
      </c>
      <c r="D82" s="39" t="n">
        <f aca="false">EXP(D76)</f>
        <v>4.33408936333077</v>
      </c>
      <c r="E82" s="39" t="n">
        <f aca="false">EXP(E76)</f>
        <v>1.84895497748582</v>
      </c>
      <c r="F82" s="31" t="n">
        <f aca="false">SUM(C82:E82)</f>
        <v>8.20502997026548</v>
      </c>
      <c r="H82" s="22" t="str">
        <f aca="false">'03 Embeddings'!$B$38</f>
        <v>sat</v>
      </c>
      <c r="I82" s="41" t="n">
        <f aca="false">C82/F82</f>
        <v>0.246432448970502</v>
      </c>
      <c r="J82" s="41" t="n">
        <f aca="false">D82/F82</f>
        <v>0.528223465244764</v>
      </c>
      <c r="K82" s="41" t="n">
        <f aca="false">E82/F82</f>
        <v>0.225344085784734</v>
      </c>
    </row>
    <row r="84" customFormat="false" ht="17.25" hidden="false" customHeight="true" outlineLevel="0" collapsed="false">
      <c r="B84" s="20" t="s">
        <v>791</v>
      </c>
      <c r="C84" s="20"/>
      <c r="D84" s="20"/>
    </row>
    <row r="85" customFormat="false" ht="15" hidden="false" customHeight="false" outlineLevel="0" collapsed="false">
      <c r="B85" s="16"/>
      <c r="C85" s="21" t="s">
        <v>262</v>
      </c>
      <c r="D85" s="21" t="s">
        <v>263</v>
      </c>
    </row>
    <row r="86" customFormat="false" ht="15" hidden="false" customHeight="false" outlineLevel="0" collapsed="false">
      <c r="B86" s="22" t="str">
        <f aca="false">'03 Embeddings'!$B$36</f>
        <v>the</v>
      </c>
      <c r="C86" s="41" t="n">
        <f aca="false">I80*K68+J80*K69+K80*K70</f>
        <v>0.40556289243931</v>
      </c>
      <c r="D86" s="41" t="n">
        <f aca="false">I80*L68+J80*L69+K80*L70</f>
        <v>0.617738594566267</v>
      </c>
    </row>
    <row r="87" customFormat="false" ht="15" hidden="false" customHeight="false" outlineLevel="0" collapsed="false">
      <c r="B87" s="22" t="str">
        <f aca="false">'03 Embeddings'!$B$37</f>
        <v>cat</v>
      </c>
      <c r="C87" s="41" t="n">
        <f aca="false">I81*K68+J81*K69+K81*K70</f>
        <v>0.265091317957222</v>
      </c>
      <c r="D87" s="41" t="n">
        <f aca="false">I81*L68+J81*L69+K81*L70</f>
        <v>0.675567701229999</v>
      </c>
    </row>
    <row r="88" customFormat="false" ht="15" hidden="false" customHeight="false" outlineLevel="0" collapsed="false">
      <c r="B88" s="22" t="str">
        <f aca="false">'03 Embeddings'!$B$38</f>
        <v>sat</v>
      </c>
      <c r="C88" s="41" t="n">
        <f aca="false">I82*K68+J82*K69+K82*K70</f>
        <v>0.545753847421863</v>
      </c>
      <c r="D88" s="41" t="n">
        <f aca="false">I82*L68+J82*L69+K82*L70</f>
        <v>0.559813957233864</v>
      </c>
    </row>
    <row r="90" customFormat="false" ht="15.75" hidden="false" customHeight="true" outlineLevel="0" collapsed="false">
      <c r="B90" s="10" t="s">
        <v>792</v>
      </c>
      <c r="C90" s="29" t="str">
        <f aca="false">IF(ROUND(I81,3)&lt;0,"("&amp;ROUND(I81,3)&amp;")",ROUND(I81,3)&amp;"")&amp;"×"&amp;IF(ROUND(K68,3)&lt;0,"("&amp;ROUND(K68,3)&amp;")",ROUND(K68,3)&amp;"")&amp;" + "&amp;IF(ROUND(J81,3)&lt;0,"("&amp;ROUND(J81,3)&amp;")",ROUND(J81,3)&amp;"")&amp;"×"&amp;IF(ROUND(K69,3)&lt;0,"("&amp;ROUND(K69,3)&amp;")",ROUND(K69,3)&amp;"")&amp;" + "&amp;IF(ROUND(K81,3)&lt;0,"("&amp;ROUND(K81,3)&amp;")",ROUND(K81,3)&amp;"")&amp;"×"&amp;IF(ROUND(K70,3)&lt;0,"("&amp;ROUND(K70,3)&amp;")",ROUND(K70,3)&amp;"")&amp;"  =  "&amp;IF(ROUND(C87,3)&lt;0,"("&amp;ROUND(C87,3)&amp;")",ROUND(C87,3)&amp;"")</f>
        <v>0.27×0.7 + 0.316×0.931 + 0.414×(-0.525)  =  0.265</v>
      </c>
      <c r="D90" s="29"/>
      <c r="E90" s="29"/>
      <c r="F90" s="29"/>
      <c r="G90" s="29"/>
      <c r="H90" s="29"/>
      <c r="I90" s="29"/>
      <c r="J90" s="29"/>
      <c r="K90" s="29"/>
      <c r="L90" s="29"/>
      <c r="M90" s="29"/>
      <c r="N90" s="29"/>
    </row>
    <row r="91" customFormat="false" ht="17.25" hidden="false" customHeight="true" outlineLevel="0" collapsed="false">
      <c r="B91" s="43" t="s">
        <v>793</v>
      </c>
      <c r="C91" s="43"/>
      <c r="D91" s="43"/>
      <c r="E91" s="43"/>
      <c r="F91" s="43"/>
      <c r="G91" s="43"/>
      <c r="H91" s="43"/>
      <c r="I91" s="43"/>
      <c r="J91" s="43"/>
      <c r="K91" s="43"/>
      <c r="L91" s="43"/>
      <c r="M91" s="43"/>
      <c r="N91" s="43"/>
    </row>
    <row r="92" customFormat="false" ht="18.75" hidden="false" customHeight="true" outlineLevel="0" collapsed="false">
      <c r="B92" s="25" t="s">
        <v>794</v>
      </c>
      <c r="C92" s="25"/>
      <c r="D92" s="25"/>
      <c r="E92" s="25"/>
      <c r="F92" s="25"/>
      <c r="G92" s="25"/>
      <c r="H92" s="25"/>
      <c r="I92" s="25"/>
      <c r="J92" s="25"/>
      <c r="K92" s="25"/>
      <c r="L92" s="25"/>
      <c r="M92" s="25"/>
      <c r="N92" s="25"/>
    </row>
    <row r="93" customFormat="false" ht="17.25" hidden="false" customHeight="true" outlineLevel="0" collapsed="false">
      <c r="B93" s="20" t="s">
        <v>795</v>
      </c>
      <c r="C93" s="20"/>
      <c r="D93" s="20"/>
      <c r="E93" s="20"/>
      <c r="F93" s="20"/>
      <c r="H93" s="20" t="s">
        <v>796</v>
      </c>
      <c r="I93" s="20"/>
      <c r="J93" s="20"/>
      <c r="K93" s="20"/>
      <c r="L93" s="20"/>
    </row>
    <row r="94" customFormat="false" ht="15" hidden="false" customHeight="false" outlineLevel="0" collapsed="false">
      <c r="B94" s="16"/>
      <c r="C94" s="21" t="s">
        <v>797</v>
      </c>
      <c r="D94" s="21" t="s">
        <v>798</v>
      </c>
      <c r="E94" s="21" t="s">
        <v>799</v>
      </c>
      <c r="F94" s="21" t="s">
        <v>800</v>
      </c>
      <c r="H94" s="16"/>
      <c r="I94" s="21" t="s">
        <v>389</v>
      </c>
      <c r="J94" s="21" t="s">
        <v>390</v>
      </c>
      <c r="K94" s="21" t="s">
        <v>391</v>
      </c>
      <c r="L94" s="21" t="s">
        <v>392</v>
      </c>
    </row>
    <row r="95" customFormat="false" ht="15" hidden="false" customHeight="false" outlineLevel="0" collapsed="false">
      <c r="B95" s="22" t="str">
        <f aca="false">'03 Embeddings'!$B$36</f>
        <v>the</v>
      </c>
      <c r="C95" s="39" t="n">
        <f aca="false">C53</f>
        <v>1.51989532039725</v>
      </c>
      <c r="D95" s="39" t="n">
        <f aca="false">D53</f>
        <v>-0.015245547266494</v>
      </c>
      <c r="E95" s="39" t="n">
        <f aca="false">C86</f>
        <v>0.40556289243931</v>
      </c>
      <c r="F95" s="39" t="n">
        <f aca="false">D86</f>
        <v>0.617738594566267</v>
      </c>
      <c r="H95" s="22" t="s">
        <v>797</v>
      </c>
      <c r="I95" s="35" t="n">
        <v>1</v>
      </c>
      <c r="J95" s="35" t="n">
        <v>0</v>
      </c>
      <c r="K95" s="35" t="n">
        <v>0</v>
      </c>
      <c r="L95" s="35" t="n">
        <v>0.5</v>
      </c>
    </row>
    <row r="96" customFormat="false" ht="15" hidden="false" customHeight="false" outlineLevel="0" collapsed="false">
      <c r="B96" s="22" t="str">
        <f aca="false">'03 Embeddings'!$B$37</f>
        <v>cat</v>
      </c>
      <c r="C96" s="39" t="n">
        <f aca="false">C54</f>
        <v>0.688308869123037</v>
      </c>
      <c r="D96" s="39" t="n">
        <f aca="false">D54</f>
        <v>1.68514105964817</v>
      </c>
      <c r="E96" s="39" t="n">
        <f aca="false">C87</f>
        <v>0.265091317957222</v>
      </c>
      <c r="F96" s="39" t="n">
        <f aca="false">D87</f>
        <v>0.675567701229999</v>
      </c>
      <c r="H96" s="22" t="s">
        <v>798</v>
      </c>
      <c r="I96" s="35" t="n">
        <v>0</v>
      </c>
      <c r="J96" s="35" t="n">
        <v>1</v>
      </c>
      <c r="K96" s="35" t="n">
        <v>0.5</v>
      </c>
      <c r="L96" s="35" t="n">
        <v>0</v>
      </c>
    </row>
    <row r="97" customFormat="false" ht="15" hidden="false" customHeight="false" outlineLevel="0" collapsed="false">
      <c r="B97" s="22" t="str">
        <f aca="false">'03 Embeddings'!$B$38</f>
        <v>sat</v>
      </c>
      <c r="C97" s="39" t="n">
        <f aca="false">C55</f>
        <v>1.63549289340463</v>
      </c>
      <c r="D97" s="39" t="n">
        <f aca="false">D55</f>
        <v>-0.19156603756545</v>
      </c>
      <c r="E97" s="39" t="n">
        <f aca="false">C88</f>
        <v>0.545753847421863</v>
      </c>
      <c r="F97" s="39" t="n">
        <f aca="false">D88</f>
        <v>0.559813957233864</v>
      </c>
      <c r="H97" s="22" t="s">
        <v>799</v>
      </c>
      <c r="I97" s="35" t="n">
        <v>0</v>
      </c>
      <c r="J97" s="35" t="n">
        <v>0</v>
      </c>
      <c r="K97" s="35" t="n">
        <v>1</v>
      </c>
      <c r="L97" s="35" t="n">
        <v>0</v>
      </c>
    </row>
    <row r="98" customFormat="false" ht="15" hidden="false" customHeight="false" outlineLevel="0" collapsed="false">
      <c r="H98" s="22" t="s">
        <v>800</v>
      </c>
      <c r="I98" s="35" t="n">
        <v>0.5</v>
      </c>
      <c r="J98" s="35" t="n">
        <v>0</v>
      </c>
      <c r="K98" s="35" t="n">
        <v>0</v>
      </c>
      <c r="L98" s="35" t="n">
        <v>1</v>
      </c>
    </row>
    <row r="100" customFormat="false" ht="17.25" hidden="false" customHeight="true" outlineLevel="0" collapsed="false">
      <c r="B100" s="20" t="s">
        <v>801</v>
      </c>
      <c r="C100" s="20"/>
      <c r="D100" s="20"/>
      <c r="E100" s="20"/>
      <c r="F100" s="20"/>
    </row>
    <row r="101" customFormat="false" ht="15" hidden="false" customHeight="false" outlineLevel="0" collapsed="false">
      <c r="B101" s="16"/>
      <c r="C101" s="21" t="s">
        <v>389</v>
      </c>
      <c r="D101" s="21" t="s">
        <v>390</v>
      </c>
      <c r="E101" s="21" t="s">
        <v>391</v>
      </c>
      <c r="F101" s="21" t="s">
        <v>392</v>
      </c>
    </row>
    <row r="102" customFormat="false" ht="15" hidden="false" customHeight="false" outlineLevel="0" collapsed="false">
      <c r="B102" s="22" t="str">
        <f aca="false">'03 Embeddings'!$B$36</f>
        <v>the</v>
      </c>
      <c r="C102" s="41" t="n">
        <f aca="false">C95*I95+D95*I96+E95*I97+F95*I98</f>
        <v>1.82876461768038</v>
      </c>
      <c r="D102" s="41" t="n">
        <f aca="false">C95*J95+D95*J96+E95*J97+F95*J98</f>
        <v>-0.015245547266494</v>
      </c>
      <c r="E102" s="41" t="n">
        <f aca="false">C95*K95+D95*K96+E95*K97+F95*K98</f>
        <v>0.397940118806063</v>
      </c>
      <c r="F102" s="41" t="n">
        <f aca="false">C95*L95+D95*L96+E95*L97+F95*L98</f>
        <v>1.37768625476489</v>
      </c>
    </row>
    <row r="103" customFormat="false" ht="15" hidden="false" customHeight="false" outlineLevel="0" collapsed="false">
      <c r="B103" s="22" t="str">
        <f aca="false">'03 Embeddings'!$B$37</f>
        <v>cat</v>
      </c>
      <c r="C103" s="41" t="n">
        <f aca="false">C96*I95+D96*I96+E96*I97+F96*I98</f>
        <v>1.02609271973804</v>
      </c>
      <c r="D103" s="41" t="n">
        <f aca="false">C96*J95+D96*J96+E96*J97+F96*J98</f>
        <v>1.68514105964817</v>
      </c>
      <c r="E103" s="41" t="n">
        <f aca="false">C96*K95+D96*K96+E96*K97+F96*K98</f>
        <v>1.10766184778131</v>
      </c>
      <c r="F103" s="41" t="n">
        <f aca="false">C96*L95+D96*L96+E96*L97+F96*L98</f>
        <v>1.01972213579152</v>
      </c>
    </row>
    <row r="104" customFormat="false" ht="15" hidden="false" customHeight="false" outlineLevel="0" collapsed="false">
      <c r="B104" s="22" t="str">
        <f aca="false">'03 Embeddings'!$B$38</f>
        <v>sat</v>
      </c>
      <c r="C104" s="41" t="n">
        <f aca="false">C97*I95+D97*I96+E97*I97+F97*I98</f>
        <v>1.91539987202156</v>
      </c>
      <c r="D104" s="41" t="n">
        <f aca="false">C97*J95+D97*J96+E97*J97+F97*J98</f>
        <v>-0.19156603756545</v>
      </c>
      <c r="E104" s="41" t="n">
        <f aca="false">C97*K95+D97*K96+E97*K97+F97*K98</f>
        <v>0.449970828639138</v>
      </c>
      <c r="F104" s="41" t="n">
        <f aca="false">C97*L95+D97*L96+E97*L97+F97*L98</f>
        <v>1.37756040393618</v>
      </c>
    </row>
    <row r="106" customFormat="false" ht="15.75" hidden="false" customHeight="true" outlineLevel="0" collapsed="false">
      <c r="B106" s="10" t="s">
        <v>683</v>
      </c>
      <c r="C106" s="29" t="str">
        <f aca="false">IF(ROUND(C96,3)&lt;0,"("&amp;ROUND(C96,3)&amp;")",ROUND(C96,3)&amp;"")&amp;"×"&amp;IF(ROUND(I95,3)&lt;0,"("&amp;ROUND(I95,3)&amp;")",ROUND(I95,3)&amp;"")&amp;" + "&amp;IF(ROUND(D96,3)&lt;0,"("&amp;ROUND(D96,3)&amp;")",ROUND(D96,3)&amp;"")&amp;"×"&amp;IF(ROUND(I96,3)&lt;0,"("&amp;ROUND(I96,3)&amp;")",ROUND(I96,3)&amp;"")&amp;" + "&amp;IF(ROUND(E96,3)&lt;0,"("&amp;ROUND(E96,3)&amp;")",ROUND(E96,3)&amp;"")&amp;"×"&amp;IF(ROUND(I97,3)&lt;0,"("&amp;ROUND(I97,3)&amp;")",ROUND(I97,3)&amp;"")&amp;" + "&amp;IF(ROUND(F96,3)&lt;0,"("&amp;ROUND(F96,3)&amp;")",ROUND(F96,3)&amp;"")&amp;"×"&amp;IF(ROUND(I98,3)&lt;0,"("&amp;ROUND(I98,3)&amp;")",ROUND(I98,3)&amp;"")&amp;"  =  "&amp;IF(ROUND(C103,3)&lt;0,"("&amp;ROUND(C103,3)&amp;")",ROUND(C103,3)&amp;"")</f>
        <v>0.688×1 + 1.685×0 + 0.265×0 + 0.676×0.5  =  1.026</v>
      </c>
      <c r="D106" s="29"/>
      <c r="E106" s="29"/>
      <c r="F106" s="29"/>
      <c r="G106" s="29"/>
      <c r="H106" s="29"/>
      <c r="I106" s="29"/>
      <c r="J106" s="29"/>
      <c r="K106" s="29"/>
      <c r="L106" s="29"/>
      <c r="M106" s="29"/>
      <c r="N106" s="29"/>
    </row>
    <row r="107" customFormat="false" ht="15.75" hidden="false" customHeight="true" outlineLevel="0" collapsed="false">
      <c r="B107" s="10" t="s">
        <v>684</v>
      </c>
      <c r="C107" s="29" t="str">
        <f aca="false">IF(ROUND(C96,3)&lt;0,"("&amp;ROUND(C96,3)&amp;")",ROUND(C96,3)&amp;"")&amp;"×"&amp;IF(ROUND(J95,3)&lt;0,"("&amp;ROUND(J95,3)&amp;")",ROUND(J95,3)&amp;"")&amp;" + "&amp;IF(ROUND(D96,3)&lt;0,"("&amp;ROUND(D96,3)&amp;")",ROUND(D96,3)&amp;"")&amp;"×"&amp;IF(ROUND(J96,3)&lt;0,"("&amp;ROUND(J96,3)&amp;")",ROUND(J96,3)&amp;"")&amp;" + "&amp;IF(ROUND(E96,3)&lt;0,"("&amp;ROUND(E96,3)&amp;")",ROUND(E96,3)&amp;"")&amp;"×"&amp;IF(ROUND(J97,3)&lt;0,"("&amp;ROUND(J97,3)&amp;")",ROUND(J97,3)&amp;"")&amp;" + "&amp;IF(ROUND(F96,3)&lt;0,"("&amp;ROUND(F96,3)&amp;")",ROUND(F96,3)&amp;"")&amp;"×"&amp;IF(ROUND(J98,3)&lt;0,"("&amp;ROUND(J98,3)&amp;")",ROUND(J98,3)&amp;"")&amp;"  =  "&amp;IF(ROUND(D103,3)&lt;0,"("&amp;ROUND(D103,3)&amp;")",ROUND(D103,3)&amp;"")</f>
        <v>0.688×0 + 1.685×1 + 0.265×0 + 0.676×0  =  1.685</v>
      </c>
      <c r="D107" s="29"/>
      <c r="E107" s="29"/>
      <c r="F107" s="29"/>
      <c r="G107" s="29"/>
      <c r="H107" s="29"/>
      <c r="I107" s="29"/>
      <c r="J107" s="29"/>
      <c r="K107" s="29"/>
      <c r="L107" s="29"/>
      <c r="M107" s="29"/>
      <c r="N107" s="29"/>
    </row>
    <row r="108" customFormat="false" ht="15.75" hidden="false" customHeight="true" outlineLevel="0" collapsed="false">
      <c r="B108" s="10" t="s">
        <v>685</v>
      </c>
      <c r="C108" s="29" t="str">
        <f aca="false">IF(ROUND(C96,3)&lt;0,"("&amp;ROUND(C96,3)&amp;")",ROUND(C96,3)&amp;"")&amp;"×"&amp;IF(ROUND(K95,3)&lt;0,"("&amp;ROUND(K95,3)&amp;")",ROUND(K95,3)&amp;"")&amp;" + "&amp;IF(ROUND(D96,3)&lt;0,"("&amp;ROUND(D96,3)&amp;")",ROUND(D96,3)&amp;"")&amp;"×"&amp;IF(ROUND(K96,3)&lt;0,"("&amp;ROUND(K96,3)&amp;")",ROUND(K96,3)&amp;"")&amp;" + "&amp;IF(ROUND(E96,3)&lt;0,"("&amp;ROUND(E96,3)&amp;")",ROUND(E96,3)&amp;"")&amp;"×"&amp;IF(ROUND(K97,3)&lt;0,"("&amp;ROUND(K97,3)&amp;")",ROUND(K97,3)&amp;"")&amp;" + "&amp;IF(ROUND(F96,3)&lt;0,"("&amp;ROUND(F96,3)&amp;")",ROUND(F96,3)&amp;"")&amp;"×"&amp;IF(ROUND(K98,3)&lt;0,"("&amp;ROUND(K98,3)&amp;")",ROUND(K98,3)&amp;"")&amp;"  =  "&amp;IF(ROUND(E103,3)&lt;0,"("&amp;ROUND(E103,3)&amp;")",ROUND(E103,3)&amp;"")</f>
        <v>0.688×0 + 1.685×0.5 + 0.265×1 + 0.676×0  =  1.108</v>
      </c>
      <c r="D108" s="29"/>
      <c r="E108" s="29"/>
      <c r="F108" s="29"/>
      <c r="G108" s="29"/>
      <c r="H108" s="29"/>
      <c r="I108" s="29"/>
      <c r="J108" s="29"/>
      <c r="K108" s="29"/>
      <c r="L108" s="29"/>
      <c r="M108" s="29"/>
      <c r="N108" s="29"/>
    </row>
    <row r="109" customFormat="false" ht="15.75" hidden="false" customHeight="true" outlineLevel="0" collapsed="false">
      <c r="B109" s="10" t="s">
        <v>686</v>
      </c>
      <c r="C109" s="29" t="str">
        <f aca="false">IF(ROUND(C96,3)&lt;0,"("&amp;ROUND(C96,3)&amp;")",ROUND(C96,3)&amp;"")&amp;"×"&amp;IF(ROUND(L95,3)&lt;0,"("&amp;ROUND(L95,3)&amp;")",ROUND(L95,3)&amp;"")&amp;" + "&amp;IF(ROUND(D96,3)&lt;0,"("&amp;ROUND(D96,3)&amp;")",ROUND(D96,3)&amp;"")&amp;"×"&amp;IF(ROUND(L96,3)&lt;0,"("&amp;ROUND(L96,3)&amp;")",ROUND(L96,3)&amp;"")&amp;" + "&amp;IF(ROUND(E96,3)&lt;0,"("&amp;ROUND(E96,3)&amp;")",ROUND(E96,3)&amp;"")&amp;"×"&amp;IF(ROUND(L97,3)&lt;0,"("&amp;ROUND(L97,3)&amp;")",ROUND(L97,3)&amp;"")&amp;" + "&amp;IF(ROUND(F96,3)&lt;0,"("&amp;ROUND(F96,3)&amp;")",ROUND(F96,3)&amp;"")&amp;"×"&amp;IF(ROUND(L98,3)&lt;0,"("&amp;ROUND(L98,3)&amp;")",ROUND(L98,3)&amp;"")&amp;"  =  "&amp;IF(ROUND(F103,3)&lt;0,"("&amp;ROUND(F103,3)&amp;")",ROUND(F103,3)&amp;"")</f>
        <v>0.688×0.5 + 1.685×0 + 0.265×0 + 0.676×1  =  1.02</v>
      </c>
      <c r="D109" s="29"/>
      <c r="E109" s="29"/>
      <c r="F109" s="29"/>
      <c r="G109" s="29"/>
      <c r="H109" s="29"/>
      <c r="I109" s="29"/>
      <c r="J109" s="29"/>
      <c r="K109" s="29"/>
      <c r="L109" s="29"/>
      <c r="M109" s="29"/>
      <c r="N109" s="29"/>
    </row>
    <row r="110" customFormat="false" ht="17.25" hidden="false" customHeight="true" outlineLevel="0" collapsed="false">
      <c r="B110" s="5" t="s">
        <v>802</v>
      </c>
      <c r="C110" s="5"/>
      <c r="D110" s="5"/>
      <c r="E110" s="5"/>
      <c r="F110" s="5"/>
      <c r="G110" s="5"/>
      <c r="H110" s="5"/>
      <c r="I110" s="5"/>
      <c r="J110" s="5"/>
      <c r="K110" s="5"/>
      <c r="L110" s="5"/>
      <c r="M110" s="5"/>
      <c r="N110" s="5"/>
    </row>
    <row r="112" customFormat="false" ht="21.75" hidden="false" customHeight="true" outlineLevel="0" collapsed="false">
      <c r="B112" s="4" t="s">
        <v>803</v>
      </c>
      <c r="C112" s="4"/>
      <c r="D112" s="4"/>
      <c r="E112" s="4"/>
      <c r="F112" s="4"/>
      <c r="G112" s="4"/>
      <c r="H112" s="4"/>
      <c r="I112" s="4"/>
      <c r="J112" s="4"/>
      <c r="K112" s="4"/>
      <c r="L112" s="4"/>
      <c r="M112" s="4"/>
      <c r="N112" s="4"/>
    </row>
    <row r="113" customFormat="false" ht="15.75" hidden="false" customHeight="true" outlineLevel="0" collapsed="false">
      <c r="B113" s="22" t="s">
        <v>380</v>
      </c>
      <c r="C113" s="61" t="n">
        <v>512</v>
      </c>
    </row>
    <row r="114" customFormat="false" ht="15.75" hidden="false" customHeight="true" outlineLevel="0" collapsed="false">
      <c r="B114" s="22" t="s">
        <v>804</v>
      </c>
      <c r="C114" s="23" t="n">
        <v>8</v>
      </c>
    </row>
    <row r="115" customFormat="false" ht="17.25" hidden="false" customHeight="true" outlineLevel="0" collapsed="false">
      <c r="B115" s="22" t="s">
        <v>805</v>
      </c>
      <c r="C115" s="23" t="n">
        <v>30</v>
      </c>
      <c r="D115" s="27" t="s">
        <v>806</v>
      </c>
      <c r="E115" s="27"/>
      <c r="F115" s="27"/>
      <c r="G115" s="27"/>
      <c r="H115" s="27"/>
      <c r="I115" s="27"/>
      <c r="J115" s="27"/>
      <c r="K115" s="27"/>
      <c r="L115" s="27"/>
      <c r="M115" s="27"/>
      <c r="N115" s="27"/>
    </row>
    <row r="116" customFormat="false" ht="15.75" hidden="false" customHeight="true" outlineLevel="0" collapsed="false">
      <c r="B116" s="22" t="s">
        <v>807</v>
      </c>
      <c r="C116" s="86" t="n">
        <f aca="false">C113/C114</f>
        <v>64</v>
      </c>
    </row>
    <row r="117" customFormat="false" ht="17.25" hidden="false" customHeight="true" outlineLevel="0" collapsed="false">
      <c r="B117" s="22" t="s">
        <v>808</v>
      </c>
      <c r="C117" s="62" t="n">
        <f aca="false">3*C114*C113*C116</f>
        <v>786432</v>
      </c>
      <c r="D117" s="27" t="s">
        <v>809</v>
      </c>
      <c r="E117" s="27"/>
      <c r="F117" s="27"/>
      <c r="G117" s="27"/>
      <c r="H117" s="27"/>
      <c r="I117" s="27"/>
      <c r="J117" s="27"/>
      <c r="K117" s="27"/>
      <c r="L117" s="27"/>
      <c r="M117" s="27"/>
      <c r="N117" s="27"/>
    </row>
    <row r="118" customFormat="false" ht="17.25" hidden="false" customHeight="true" outlineLevel="0" collapsed="false">
      <c r="B118" s="22" t="s">
        <v>763</v>
      </c>
      <c r="C118" s="62" t="n">
        <f aca="false">C114*C116*C113</f>
        <v>262144</v>
      </c>
      <c r="D118" s="27" t="s">
        <v>810</v>
      </c>
      <c r="E118" s="27"/>
      <c r="F118" s="27"/>
      <c r="G118" s="27"/>
      <c r="H118" s="27"/>
      <c r="I118" s="27"/>
      <c r="J118" s="27"/>
      <c r="K118" s="27"/>
      <c r="L118" s="27"/>
      <c r="M118" s="27"/>
      <c r="N118" s="27"/>
    </row>
    <row r="119" customFormat="false" ht="17.25" hidden="false" customHeight="true" outlineLevel="0" collapsed="false">
      <c r="B119" s="22" t="s">
        <v>811</v>
      </c>
      <c r="C119" s="64" t="n">
        <f aca="false">C117+C118</f>
        <v>1048576</v>
      </c>
      <c r="D119" s="27" t="s">
        <v>812</v>
      </c>
      <c r="E119" s="27"/>
      <c r="F119" s="27"/>
      <c r="G119" s="27"/>
      <c r="H119" s="27"/>
      <c r="I119" s="27"/>
      <c r="J119" s="27"/>
      <c r="K119" s="27"/>
      <c r="L119" s="27"/>
      <c r="M119" s="27"/>
      <c r="N119" s="27"/>
    </row>
    <row r="120" customFormat="false" ht="17.25" hidden="false" customHeight="true" outlineLevel="0" collapsed="false">
      <c r="B120" s="22" t="s">
        <v>813</v>
      </c>
      <c r="C120" s="62" t="n">
        <f aca="false">C114*C115^2*C116</f>
        <v>460800</v>
      </c>
      <c r="D120" s="27" t="s">
        <v>814</v>
      </c>
      <c r="E120" s="27"/>
      <c r="F120" s="27"/>
      <c r="G120" s="27"/>
      <c r="H120" s="27"/>
      <c r="I120" s="27"/>
      <c r="J120" s="27"/>
      <c r="K120" s="27"/>
      <c r="L120" s="27"/>
      <c r="M120" s="27"/>
      <c r="N120" s="27"/>
    </row>
    <row r="121" customFormat="false" ht="17.25" hidden="false" customHeight="true" outlineLevel="0" collapsed="false">
      <c r="B121" s="22" t="s">
        <v>815</v>
      </c>
      <c r="C121" s="62" t="n">
        <f aca="false">C115^2*C113</f>
        <v>460800</v>
      </c>
      <c r="D121" s="27" t="s">
        <v>816</v>
      </c>
      <c r="E121" s="27"/>
      <c r="F121" s="27"/>
      <c r="G121" s="27"/>
      <c r="H121" s="27"/>
      <c r="I121" s="27"/>
      <c r="J121" s="27"/>
      <c r="K121" s="27"/>
      <c r="L121" s="27"/>
      <c r="M121" s="27"/>
      <c r="N121" s="27"/>
    </row>
    <row r="123" customFormat="false" ht="18.75" hidden="false" customHeight="true" outlineLevel="0" collapsed="false">
      <c r="B123" s="25" t="s">
        <v>817</v>
      </c>
      <c r="C123" s="25"/>
      <c r="D123" s="25"/>
      <c r="E123" s="25"/>
      <c r="F123" s="25"/>
      <c r="G123" s="25"/>
      <c r="H123" s="25"/>
      <c r="I123" s="25"/>
      <c r="J123" s="25"/>
      <c r="K123" s="25"/>
      <c r="L123" s="25"/>
      <c r="M123" s="25"/>
      <c r="N123" s="25"/>
    </row>
    <row r="124" customFormat="false" ht="17.25" hidden="false" customHeight="true" outlineLevel="0" collapsed="false">
      <c r="B124" s="11" t="s">
        <v>818</v>
      </c>
      <c r="C124" s="11"/>
      <c r="D124" s="11"/>
      <c r="E124" s="11" t="s">
        <v>748</v>
      </c>
      <c r="F124" s="11" t="s">
        <v>648</v>
      </c>
      <c r="G124" s="11" t="s">
        <v>819</v>
      </c>
      <c r="H124" s="11" t="s">
        <v>820</v>
      </c>
      <c r="I124" s="11"/>
      <c r="J124" s="11"/>
      <c r="K124" s="11" t="s">
        <v>821</v>
      </c>
      <c r="L124" s="11"/>
      <c r="M124" s="11"/>
      <c r="N124" s="11"/>
    </row>
    <row r="125" customFormat="false" ht="17.25" hidden="false" customHeight="true" outlineLevel="0" collapsed="false">
      <c r="B125" s="13" t="s">
        <v>822</v>
      </c>
      <c r="C125" s="13"/>
      <c r="D125" s="13"/>
      <c r="E125" s="14" t="n">
        <v>8</v>
      </c>
      <c r="F125" s="14" t="n">
        <v>64</v>
      </c>
      <c r="G125" s="14" t="n">
        <v>64</v>
      </c>
      <c r="H125" s="14" t="n">
        <v>4.92</v>
      </c>
      <c r="I125" s="14"/>
      <c r="J125" s="14"/>
      <c r="K125" s="14" t="n">
        <v>25.8</v>
      </c>
      <c r="L125" s="14"/>
      <c r="M125" s="14"/>
      <c r="N125" s="14"/>
    </row>
    <row r="126" customFormat="false" ht="17.25" hidden="false" customHeight="true" outlineLevel="0" collapsed="false">
      <c r="B126" s="16" t="s">
        <v>823</v>
      </c>
      <c r="C126" s="16"/>
      <c r="D126" s="16"/>
      <c r="E126" s="17" t="n">
        <v>1</v>
      </c>
      <c r="F126" s="17" t="n">
        <v>512</v>
      </c>
      <c r="G126" s="17" t="n">
        <v>512</v>
      </c>
      <c r="H126" s="17" t="n">
        <v>5.29</v>
      </c>
      <c r="I126" s="17"/>
      <c r="J126" s="17"/>
      <c r="K126" s="17" t="n">
        <v>24.9</v>
      </c>
      <c r="L126" s="17"/>
      <c r="M126" s="17"/>
      <c r="N126" s="17"/>
    </row>
    <row r="127" customFormat="false" ht="17.25" hidden="false" customHeight="true" outlineLevel="0" collapsed="false">
      <c r="B127" s="13" t="s">
        <v>823</v>
      </c>
      <c r="C127" s="13"/>
      <c r="D127" s="13"/>
      <c r="E127" s="14" t="n">
        <v>4</v>
      </c>
      <c r="F127" s="14" t="n">
        <v>128</v>
      </c>
      <c r="G127" s="14" t="n">
        <v>128</v>
      </c>
      <c r="H127" s="14" t="n">
        <v>5</v>
      </c>
      <c r="I127" s="14"/>
      <c r="J127" s="14"/>
      <c r="K127" s="14" t="n">
        <v>25.5</v>
      </c>
      <c r="L127" s="14"/>
      <c r="M127" s="14"/>
      <c r="N127" s="14"/>
    </row>
    <row r="128" customFormat="false" ht="17.25" hidden="false" customHeight="true" outlineLevel="0" collapsed="false">
      <c r="B128" s="16" t="s">
        <v>823</v>
      </c>
      <c r="C128" s="16"/>
      <c r="D128" s="16"/>
      <c r="E128" s="17" t="n">
        <v>16</v>
      </c>
      <c r="F128" s="17" t="n">
        <v>32</v>
      </c>
      <c r="G128" s="17" t="n">
        <v>32</v>
      </c>
      <c r="H128" s="17" t="n">
        <v>4.91</v>
      </c>
      <c r="I128" s="17"/>
      <c r="J128" s="17"/>
      <c r="K128" s="17" t="n">
        <v>25.8</v>
      </c>
      <c r="L128" s="17"/>
      <c r="M128" s="17"/>
      <c r="N128" s="17"/>
    </row>
    <row r="129" customFormat="false" ht="17.25" hidden="false" customHeight="true" outlineLevel="0" collapsed="false">
      <c r="B129" s="13" t="s">
        <v>823</v>
      </c>
      <c r="C129" s="13"/>
      <c r="D129" s="13"/>
      <c r="E129" s="14" t="n">
        <v>32</v>
      </c>
      <c r="F129" s="14" t="n">
        <v>16</v>
      </c>
      <c r="G129" s="14" t="n">
        <v>16</v>
      </c>
      <c r="H129" s="14" t="n">
        <v>5.01</v>
      </c>
      <c r="I129" s="14"/>
      <c r="J129" s="14"/>
      <c r="K129" s="14" t="n">
        <v>25.4</v>
      </c>
      <c r="L129" s="14"/>
      <c r="M129" s="14"/>
      <c r="N129" s="14"/>
    </row>
    <row r="130" customFormat="false" ht="17.25" hidden="false" customHeight="true" outlineLevel="0" collapsed="false">
      <c r="B130" s="16" t="s">
        <v>824</v>
      </c>
      <c r="C130" s="16"/>
      <c r="D130" s="16"/>
      <c r="E130" s="17" t="n">
        <v>8</v>
      </c>
      <c r="F130" s="17" t="n">
        <v>16</v>
      </c>
      <c r="G130" s="17" t="n">
        <v>64</v>
      </c>
      <c r="H130" s="17" t="n">
        <v>5.16</v>
      </c>
      <c r="I130" s="17"/>
      <c r="J130" s="17"/>
      <c r="K130" s="17" t="n">
        <v>25.1</v>
      </c>
      <c r="L130" s="17"/>
      <c r="M130" s="17"/>
      <c r="N130" s="17"/>
    </row>
    <row r="131" customFormat="false" ht="17.25" hidden="false" customHeight="true" outlineLevel="0" collapsed="false">
      <c r="B131" s="13" t="s">
        <v>824</v>
      </c>
      <c r="C131" s="13"/>
      <c r="D131" s="13"/>
      <c r="E131" s="14" t="n">
        <v>8</v>
      </c>
      <c r="F131" s="14" t="n">
        <v>32</v>
      </c>
      <c r="G131" s="14" t="n">
        <v>64</v>
      </c>
      <c r="H131" s="14" t="n">
        <v>5.01</v>
      </c>
      <c r="I131" s="14"/>
      <c r="J131" s="14"/>
      <c r="K131" s="14" t="n">
        <v>25.4</v>
      </c>
      <c r="L131" s="14"/>
      <c r="M131" s="14"/>
      <c r="N131" s="14"/>
    </row>
    <row r="132" customFormat="false" ht="31.5" hidden="false" customHeight="true" outlineLevel="0" collapsed="false">
      <c r="B132" s="19" t="s">
        <v>825</v>
      </c>
      <c r="C132" s="19"/>
      <c r="D132" s="19"/>
      <c r="E132" s="19"/>
      <c r="F132" s="19"/>
      <c r="G132" s="19"/>
      <c r="H132" s="19"/>
      <c r="I132" s="19"/>
      <c r="J132" s="19"/>
      <c r="K132" s="19"/>
      <c r="L132" s="19"/>
      <c r="M132" s="19"/>
      <c r="N132" s="19"/>
    </row>
    <row r="133" customFormat="false" ht="18.75" hidden="false" customHeight="true" outlineLevel="0" collapsed="false">
      <c r="B133" s="25" t="s">
        <v>279</v>
      </c>
      <c r="C133" s="25"/>
      <c r="D133" s="25"/>
      <c r="E133" s="25"/>
      <c r="F133" s="25"/>
      <c r="G133" s="25"/>
      <c r="H133" s="25"/>
      <c r="I133" s="25"/>
      <c r="J133" s="25"/>
      <c r="K133" s="25"/>
      <c r="L133" s="25"/>
      <c r="M133" s="25"/>
      <c r="N133" s="25"/>
    </row>
    <row r="134" customFormat="false" ht="17.25" hidden="false" customHeight="true" outlineLevel="0" collapsed="false">
      <c r="B134" s="43" t="s">
        <v>826</v>
      </c>
      <c r="C134" s="43"/>
      <c r="D134" s="43"/>
      <c r="E134" s="43"/>
      <c r="F134" s="43"/>
      <c r="G134" s="43"/>
      <c r="H134" s="43"/>
      <c r="I134" s="43"/>
      <c r="J134" s="43"/>
      <c r="K134" s="43"/>
      <c r="L134" s="43"/>
      <c r="M134" s="43"/>
      <c r="N134" s="43"/>
    </row>
    <row r="135" customFormat="false" ht="17.25" hidden="false" customHeight="true" outlineLevel="0" collapsed="false">
      <c r="B135" s="44" t="s">
        <v>827</v>
      </c>
      <c r="C135" s="44"/>
      <c r="D135" s="44"/>
      <c r="E135" s="44"/>
      <c r="F135" s="44"/>
      <c r="G135" s="44"/>
      <c r="H135" s="44"/>
      <c r="I135" s="44"/>
      <c r="J135" s="44"/>
      <c r="K135" s="44"/>
      <c r="L135" s="44"/>
      <c r="M135" s="44"/>
      <c r="N135" s="44"/>
    </row>
    <row r="136" customFormat="false" ht="17.25" hidden="false" customHeight="true" outlineLevel="0" collapsed="false">
      <c r="B136" s="43" t="s">
        <v>828</v>
      </c>
      <c r="C136" s="43"/>
      <c r="D136" s="43"/>
      <c r="E136" s="43"/>
      <c r="F136" s="43"/>
      <c r="G136" s="43"/>
      <c r="H136" s="43"/>
      <c r="I136" s="43"/>
      <c r="J136" s="43"/>
      <c r="K136" s="43"/>
      <c r="L136" s="43"/>
      <c r="M136" s="43"/>
      <c r="N136" s="43"/>
    </row>
    <row r="137" customFormat="false" ht="17.25" hidden="false" customHeight="true" outlineLevel="0" collapsed="false">
      <c r="B137" s="44" t="s">
        <v>829</v>
      </c>
      <c r="C137" s="44"/>
      <c r="D137" s="44"/>
      <c r="E137" s="44"/>
      <c r="F137" s="44"/>
      <c r="G137" s="44"/>
      <c r="H137" s="44"/>
      <c r="I137" s="44"/>
      <c r="J137" s="44"/>
      <c r="K137" s="44"/>
      <c r="L137" s="44"/>
      <c r="M137" s="44"/>
      <c r="N137" s="44"/>
    </row>
    <row r="138" customFormat="false" ht="17.25" hidden="false" customHeight="true" outlineLevel="0" collapsed="false">
      <c r="B138" s="43" t="s">
        <v>830</v>
      </c>
      <c r="C138" s="43"/>
      <c r="D138" s="43"/>
      <c r="E138" s="43"/>
      <c r="F138" s="43"/>
      <c r="G138" s="43"/>
      <c r="H138" s="43"/>
      <c r="I138" s="43"/>
      <c r="J138" s="43"/>
      <c r="K138" s="43"/>
      <c r="L138" s="43"/>
      <c r="M138" s="43"/>
      <c r="N138" s="43"/>
    </row>
    <row r="139" customFormat="false" ht="17.25" hidden="false" customHeight="true" outlineLevel="0" collapsed="false">
      <c r="B139" s="44" t="s">
        <v>831</v>
      </c>
      <c r="C139" s="44"/>
      <c r="D139" s="44"/>
      <c r="E139" s="44"/>
      <c r="F139" s="44"/>
      <c r="G139" s="44"/>
      <c r="H139" s="44"/>
      <c r="I139" s="44"/>
      <c r="J139" s="44"/>
      <c r="K139" s="44"/>
      <c r="L139" s="44"/>
      <c r="M139" s="44"/>
      <c r="N139" s="44"/>
    </row>
  </sheetData>
  <mergeCells count="98">
    <mergeCell ref="B1:N1"/>
    <mergeCell ref="B2:N2"/>
    <mergeCell ref="B4:N4"/>
    <mergeCell ref="B5:N5"/>
    <mergeCell ref="B6:N6"/>
    <mergeCell ref="C7:K7"/>
    <mergeCell ref="L7:N7"/>
    <mergeCell ref="C8:K8"/>
    <mergeCell ref="L8:N8"/>
    <mergeCell ref="C9:K9"/>
    <mergeCell ref="L9:N9"/>
    <mergeCell ref="C10:K10"/>
    <mergeCell ref="L10:N10"/>
    <mergeCell ref="C11:K11"/>
    <mergeCell ref="L11:N11"/>
    <mergeCell ref="C12:K12"/>
    <mergeCell ref="L12:N12"/>
    <mergeCell ref="C13:K13"/>
    <mergeCell ref="L13:N13"/>
    <mergeCell ref="B14:N14"/>
    <mergeCell ref="B16:N16"/>
    <mergeCell ref="B17:N17"/>
    <mergeCell ref="B18:F18"/>
    <mergeCell ref="D24:N24"/>
    <mergeCell ref="B25:N25"/>
    <mergeCell ref="B26:D26"/>
    <mergeCell ref="F26:H26"/>
    <mergeCell ref="J26:L26"/>
    <mergeCell ref="B33:D33"/>
    <mergeCell ref="F33:H33"/>
    <mergeCell ref="J33:L33"/>
    <mergeCell ref="B39:E39"/>
    <mergeCell ref="B45:E45"/>
    <mergeCell ref="H45:K45"/>
    <mergeCell ref="B51:D51"/>
    <mergeCell ref="C57:N57"/>
    <mergeCell ref="B58:N58"/>
    <mergeCell ref="B59:D59"/>
    <mergeCell ref="F59:H59"/>
    <mergeCell ref="J59:L59"/>
    <mergeCell ref="B66:D66"/>
    <mergeCell ref="F66:H66"/>
    <mergeCell ref="J66:L66"/>
    <mergeCell ref="B72:E72"/>
    <mergeCell ref="B78:E78"/>
    <mergeCell ref="H78:K78"/>
    <mergeCell ref="B84:D84"/>
    <mergeCell ref="C90:N90"/>
    <mergeCell ref="B91:N91"/>
    <mergeCell ref="B92:N92"/>
    <mergeCell ref="B93:F93"/>
    <mergeCell ref="H93:L93"/>
    <mergeCell ref="B100:F100"/>
    <mergeCell ref="C106:N106"/>
    <mergeCell ref="C107:N107"/>
    <mergeCell ref="C108:N108"/>
    <mergeCell ref="C109:N109"/>
    <mergeCell ref="B110:N110"/>
    <mergeCell ref="B112:N112"/>
    <mergeCell ref="D115:N115"/>
    <mergeCell ref="D117:N117"/>
    <mergeCell ref="D118:N118"/>
    <mergeCell ref="D119:N119"/>
    <mergeCell ref="D120:N120"/>
    <mergeCell ref="D121:N121"/>
    <mergeCell ref="B123:N123"/>
    <mergeCell ref="B124:D124"/>
    <mergeCell ref="H124:J124"/>
    <mergeCell ref="K124:N124"/>
    <mergeCell ref="B125:D125"/>
    <mergeCell ref="H125:J125"/>
    <mergeCell ref="K125:N125"/>
    <mergeCell ref="B126:D126"/>
    <mergeCell ref="H126:J126"/>
    <mergeCell ref="K126:N126"/>
    <mergeCell ref="B127:D127"/>
    <mergeCell ref="H127:J127"/>
    <mergeCell ref="K127:N127"/>
    <mergeCell ref="B128:D128"/>
    <mergeCell ref="H128:J128"/>
    <mergeCell ref="K128:N128"/>
    <mergeCell ref="B129:D129"/>
    <mergeCell ref="H129:J129"/>
    <mergeCell ref="K129:N129"/>
    <mergeCell ref="B130:D130"/>
    <mergeCell ref="H130:J130"/>
    <mergeCell ref="K130:N130"/>
    <mergeCell ref="B131:D131"/>
    <mergeCell ref="H131:J131"/>
    <mergeCell ref="K131:N131"/>
    <mergeCell ref="B132:N132"/>
    <mergeCell ref="B133:N133"/>
    <mergeCell ref="B134:N134"/>
    <mergeCell ref="B135:N135"/>
    <mergeCell ref="B136:N136"/>
    <mergeCell ref="B137:N137"/>
    <mergeCell ref="B138:N138"/>
    <mergeCell ref="B139:N139"/>
  </mergeCells>
  <conditionalFormatting sqref="I47:K49">
    <cfRule type="colorScale" priority="2">
      <colorScale>
        <cfvo type="num" val="0"/>
        <cfvo type="num" val="1"/>
        <color rgb="FFFFFFFF"/>
        <color rgb="FF5B9BD5"/>
      </colorScale>
    </cfRule>
  </conditionalFormatting>
  <conditionalFormatting sqref="I80:K82">
    <cfRule type="colorScale" priority="3">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832</v>
      </c>
      <c r="C1" s="1"/>
      <c r="D1" s="1"/>
      <c r="E1" s="1"/>
      <c r="F1" s="1"/>
      <c r="G1" s="1"/>
      <c r="H1" s="1"/>
      <c r="I1" s="1"/>
      <c r="J1" s="1"/>
      <c r="K1" s="1"/>
      <c r="L1" s="1"/>
      <c r="M1" s="1"/>
      <c r="N1" s="1"/>
    </row>
    <row r="2" customFormat="false" ht="17.25" hidden="false" customHeight="true" outlineLevel="0" collapsed="false">
      <c r="B2" s="2" t="s">
        <v>833</v>
      </c>
      <c r="C2" s="2"/>
      <c r="D2" s="2"/>
      <c r="E2" s="2"/>
      <c r="F2" s="2"/>
      <c r="G2" s="2"/>
      <c r="H2" s="2"/>
      <c r="I2" s="2"/>
      <c r="J2" s="2"/>
      <c r="K2" s="2"/>
      <c r="L2" s="2"/>
      <c r="M2" s="2"/>
      <c r="N2" s="2"/>
    </row>
    <row r="4" customFormat="false" ht="18.75" hidden="false" customHeight="true" outlineLevel="0" collapsed="false">
      <c r="B4" s="3" t="s">
        <v>834</v>
      </c>
      <c r="C4" s="3"/>
      <c r="D4" s="3"/>
      <c r="E4" s="3"/>
      <c r="F4" s="3"/>
      <c r="G4" s="3"/>
      <c r="H4" s="3"/>
      <c r="I4" s="3"/>
      <c r="J4" s="3"/>
      <c r="K4" s="3"/>
      <c r="L4" s="3"/>
      <c r="M4" s="3"/>
      <c r="N4" s="3"/>
    </row>
    <row r="5" customFormat="false" ht="17.25" hidden="false" customHeight="true" outlineLevel="0" collapsed="false">
      <c r="B5" s="11" t="s">
        <v>835</v>
      </c>
      <c r="C5" s="11"/>
      <c r="D5" s="11" t="s">
        <v>836</v>
      </c>
      <c r="E5" s="11"/>
      <c r="F5" s="11" t="s">
        <v>837</v>
      </c>
      <c r="G5" s="11"/>
      <c r="H5" s="11" t="s">
        <v>838</v>
      </c>
      <c r="I5" s="11"/>
      <c r="J5" s="11" t="s">
        <v>839</v>
      </c>
      <c r="K5" s="11" t="s">
        <v>840</v>
      </c>
      <c r="L5" s="11"/>
      <c r="M5" s="11"/>
      <c r="N5" s="11"/>
    </row>
    <row r="6" customFormat="false" ht="31.5" hidden="false" customHeight="true" outlineLevel="0" collapsed="false">
      <c r="B6" s="13" t="s">
        <v>841</v>
      </c>
      <c r="C6" s="13"/>
      <c r="D6" s="13" t="s">
        <v>842</v>
      </c>
      <c r="E6" s="13"/>
      <c r="F6" s="13" t="s">
        <v>843</v>
      </c>
      <c r="G6" s="13"/>
      <c r="H6" s="13" t="s">
        <v>844</v>
      </c>
      <c r="I6" s="13"/>
      <c r="J6" s="13" t="s">
        <v>845</v>
      </c>
      <c r="K6" s="13" t="s">
        <v>846</v>
      </c>
      <c r="L6" s="13"/>
      <c r="M6" s="13"/>
      <c r="N6" s="13"/>
    </row>
    <row r="7" customFormat="false" ht="31.5" hidden="false" customHeight="true" outlineLevel="0" collapsed="false">
      <c r="B7" s="16" t="s">
        <v>847</v>
      </c>
      <c r="C7" s="16"/>
      <c r="D7" s="16" t="s">
        <v>848</v>
      </c>
      <c r="E7" s="16"/>
      <c r="F7" s="16" t="s">
        <v>849</v>
      </c>
      <c r="G7" s="16"/>
      <c r="H7" s="16" t="s">
        <v>849</v>
      </c>
      <c r="I7" s="16"/>
      <c r="J7" s="16" t="s">
        <v>850</v>
      </c>
      <c r="K7" s="16" t="s">
        <v>851</v>
      </c>
      <c r="L7" s="16"/>
      <c r="M7" s="16"/>
      <c r="N7" s="16"/>
    </row>
    <row r="8" customFormat="false" ht="31.5" hidden="false" customHeight="true" outlineLevel="0" collapsed="false">
      <c r="B8" s="13" t="s">
        <v>852</v>
      </c>
      <c r="C8" s="13"/>
      <c r="D8" s="13" t="s">
        <v>853</v>
      </c>
      <c r="E8" s="13"/>
      <c r="F8" s="13" t="s">
        <v>854</v>
      </c>
      <c r="G8" s="13"/>
      <c r="H8" s="13" t="s">
        <v>855</v>
      </c>
      <c r="I8" s="13"/>
      <c r="J8" s="13" t="s">
        <v>845</v>
      </c>
      <c r="K8" s="13" t="s">
        <v>856</v>
      </c>
      <c r="L8" s="13"/>
      <c r="M8" s="13"/>
      <c r="N8" s="13"/>
    </row>
    <row r="9" customFormat="false" ht="31.5" hidden="false" customHeight="true" outlineLevel="0" collapsed="false">
      <c r="B9" s="19" t="s">
        <v>857</v>
      </c>
      <c r="C9" s="19"/>
      <c r="D9" s="19"/>
      <c r="E9" s="19"/>
      <c r="F9" s="19"/>
      <c r="G9" s="19"/>
      <c r="H9" s="19"/>
      <c r="I9" s="19"/>
      <c r="J9" s="19"/>
      <c r="K9" s="19"/>
      <c r="L9" s="19"/>
      <c r="M9" s="19"/>
      <c r="N9" s="19"/>
    </row>
    <row r="10" customFormat="false" ht="31.5" hidden="false" customHeight="true" outlineLevel="0" collapsed="false">
      <c r="B10" s="45" t="s">
        <v>858</v>
      </c>
      <c r="C10" s="45"/>
      <c r="D10" s="45"/>
      <c r="E10" s="45"/>
      <c r="F10" s="45"/>
      <c r="G10" s="45"/>
      <c r="H10" s="45"/>
      <c r="I10" s="45"/>
      <c r="J10" s="45"/>
      <c r="K10" s="45"/>
      <c r="L10" s="45"/>
      <c r="M10" s="45"/>
      <c r="N10" s="45"/>
    </row>
    <row r="12" customFormat="false" ht="21.75" hidden="false" customHeight="true" outlineLevel="0" collapsed="false">
      <c r="B12" s="4" t="s">
        <v>859</v>
      </c>
      <c r="C12" s="4"/>
      <c r="D12" s="4"/>
      <c r="E12" s="4"/>
      <c r="F12" s="4"/>
      <c r="G12" s="4"/>
      <c r="H12" s="4"/>
      <c r="I12" s="4"/>
      <c r="J12" s="4"/>
      <c r="K12" s="4"/>
      <c r="L12" s="4"/>
      <c r="M12" s="4"/>
      <c r="N12" s="4"/>
    </row>
    <row r="13" customFormat="false" ht="31.5" hidden="false" customHeight="true" outlineLevel="0" collapsed="false">
      <c r="B13" s="5" t="s">
        <v>860</v>
      </c>
      <c r="C13" s="5"/>
      <c r="D13" s="5"/>
      <c r="E13" s="5"/>
      <c r="F13" s="5"/>
      <c r="G13" s="5"/>
      <c r="H13" s="5"/>
      <c r="I13" s="5"/>
      <c r="J13" s="5"/>
      <c r="K13" s="5"/>
      <c r="L13" s="5"/>
      <c r="M13" s="5"/>
      <c r="N13" s="5"/>
    </row>
    <row r="14" customFormat="false" ht="17.25" hidden="false" customHeight="true" outlineLevel="0" collapsed="false">
      <c r="B14" s="20" t="s">
        <v>861</v>
      </c>
      <c r="C14" s="20"/>
      <c r="D14" s="20"/>
      <c r="F14" s="20" t="s">
        <v>862</v>
      </c>
      <c r="G14" s="20"/>
      <c r="H14" s="20"/>
      <c r="I14" s="20"/>
      <c r="J14" s="20"/>
    </row>
    <row r="15" customFormat="false" ht="15" hidden="false" customHeight="false" outlineLevel="0" collapsed="false">
      <c r="B15" s="16"/>
      <c r="C15" s="21" t="s">
        <v>863</v>
      </c>
      <c r="D15" s="21" t="s">
        <v>864</v>
      </c>
      <c r="F15" s="16"/>
      <c r="G15" s="21" t="s">
        <v>863</v>
      </c>
      <c r="H15" s="21" t="s">
        <v>864</v>
      </c>
    </row>
    <row r="16" customFormat="false" ht="15" hidden="false" customHeight="false" outlineLevel="0" collapsed="false">
      <c r="B16" s="22" t="s">
        <v>360</v>
      </c>
      <c r="C16" s="35" t="n">
        <v>0</v>
      </c>
      <c r="D16" s="35" t="n">
        <v>1</v>
      </c>
      <c r="F16" s="22" t="s">
        <v>865</v>
      </c>
      <c r="G16" s="35" t="n">
        <v>2</v>
      </c>
      <c r="H16" s="35" t="n">
        <v>0</v>
      </c>
    </row>
    <row r="17" customFormat="false" ht="15" hidden="false" customHeight="false" outlineLevel="0" collapsed="false">
      <c r="B17" s="22" t="s">
        <v>395</v>
      </c>
      <c r="C17" s="35" t="n">
        <v>2</v>
      </c>
      <c r="D17" s="35" t="n">
        <v>0</v>
      </c>
    </row>
    <row r="18" customFormat="false" ht="15" hidden="false" customHeight="false" outlineLevel="0" collapsed="false">
      <c r="B18" s="22" t="s">
        <v>396</v>
      </c>
      <c r="C18" s="35" t="n">
        <v>1</v>
      </c>
      <c r="D18" s="35" t="n">
        <v>2</v>
      </c>
    </row>
    <row r="20" customFormat="false" ht="15.75" hidden="false" customHeight="true" outlineLevel="0" collapsed="false">
      <c r="B20" s="22" t="s">
        <v>648</v>
      </c>
      <c r="C20" s="23" t="n">
        <v>2</v>
      </c>
    </row>
    <row r="21" customFormat="false" ht="17.25" hidden="false" customHeight="true" outlineLevel="0" collapsed="false">
      <c r="B21" s="20" t="s">
        <v>866</v>
      </c>
      <c r="C21" s="20"/>
      <c r="E21" s="20" t="s">
        <v>545</v>
      </c>
      <c r="F21" s="20"/>
      <c r="H21" s="20" t="s">
        <v>867</v>
      </c>
      <c r="I21" s="20"/>
    </row>
    <row r="22" customFormat="false" ht="15" hidden="false" customHeight="false" outlineLevel="0" collapsed="false">
      <c r="B22" s="16"/>
      <c r="C22" s="21" t="s">
        <v>868</v>
      </c>
      <c r="E22" s="16"/>
      <c r="F22" s="21" t="s">
        <v>546</v>
      </c>
      <c r="H22" s="16"/>
      <c r="I22" s="21" t="s">
        <v>549</v>
      </c>
    </row>
    <row r="23" customFormat="false" ht="15" hidden="false" customHeight="false" outlineLevel="0" collapsed="false">
      <c r="B23" s="22" t="s">
        <v>360</v>
      </c>
      <c r="C23" s="39" t="n">
        <f aca="false">(G16*C16+H16*D16)/SQRT(C20)</f>
        <v>0</v>
      </c>
      <c r="E23" s="22" t="s">
        <v>360</v>
      </c>
      <c r="F23" s="39" t="n">
        <f aca="false">EXP(C23)</f>
        <v>1</v>
      </c>
      <c r="H23" s="22" t="s">
        <v>360</v>
      </c>
      <c r="I23" s="41" t="n">
        <f aca="false">F23/SUM(F23:F25)</f>
        <v>0.0453883629137947</v>
      </c>
    </row>
    <row r="24" customFormat="false" ht="15" hidden="false" customHeight="false" outlineLevel="0" collapsed="false">
      <c r="B24" s="22" t="s">
        <v>395</v>
      </c>
      <c r="C24" s="39" t="n">
        <f aca="false">(G16*C17+H16*D17)/SQRT(C20)</f>
        <v>2.82842712474619</v>
      </c>
      <c r="E24" s="22" t="s">
        <v>395</v>
      </c>
      <c r="F24" s="39" t="n">
        <f aca="false">EXP(C24)</f>
        <v>16.9188286785579</v>
      </c>
      <c r="H24" s="22" t="s">
        <v>395</v>
      </c>
      <c r="I24" s="41" t="n">
        <f aca="false">F24/SUM(F23:F25)</f>
        <v>0.767917936138703</v>
      </c>
    </row>
    <row r="25" customFormat="false" ht="15" hidden="false" customHeight="false" outlineLevel="0" collapsed="false">
      <c r="B25" s="22" t="s">
        <v>396</v>
      </c>
      <c r="C25" s="39" t="n">
        <f aca="false">(G16*C18+H16*D18)/SQRT(C20)</f>
        <v>1.4142135623731</v>
      </c>
      <c r="E25" s="22" t="s">
        <v>396</v>
      </c>
      <c r="F25" s="39" t="n">
        <f aca="false">EXP(C25)</f>
        <v>4.11325037878293</v>
      </c>
      <c r="H25" s="22" t="s">
        <v>396</v>
      </c>
      <c r="I25" s="41" t="n">
        <f aca="false">F25/SUM(F23:F25)</f>
        <v>0.186693700947503</v>
      </c>
    </row>
    <row r="27" customFormat="false" ht="15.75" hidden="false" customHeight="true" outlineLevel="0" collapsed="false">
      <c r="B27" s="10" t="s">
        <v>869</v>
      </c>
      <c r="C27" s="29" t="str">
        <f aca="false">"(q·k) ÷ √d_k: "&amp;IF(ROUND(G16,3)&lt;0,"("&amp;ROUND(G16,3)&amp;")",ROUND(G16,3)&amp;"")&amp;"×"&amp;IF(ROUND(C16,3)&lt;0,"("&amp;ROUND(C16,3)&amp;")",ROUND(C16,3)&amp;"")&amp;" + "&amp;IF(ROUND(H16,3)&lt;0,"("&amp;ROUND(H16,3)&amp;")",ROUND(H16,3)&amp;"")&amp;"×"&amp;IF(ROUND(D16,3)&lt;0,"("&amp;ROUND(D16,3)&amp;")",ROUND(D16,3)&amp;"")&amp;" then ÷ √"&amp;C20&amp;"  =  "&amp;IF(ROUND(C23,3)&lt;0,"("&amp;ROUND(C23,3)&amp;")",ROUND(C23,3)&amp;"")</f>
        <v>(q·k) ÷ √d_k: 2×0 + 0×1 then ÷ √2  =  0</v>
      </c>
      <c r="D27" s="29"/>
      <c r="E27" s="29"/>
      <c r="F27" s="29"/>
      <c r="G27" s="29"/>
      <c r="H27" s="29"/>
      <c r="I27" s="29"/>
      <c r="J27" s="29"/>
      <c r="K27" s="29"/>
      <c r="L27" s="29"/>
      <c r="M27" s="29"/>
      <c r="N27" s="29"/>
    </row>
    <row r="28" customFormat="false" ht="15.75" hidden="false" customHeight="true" outlineLevel="0" collapsed="false">
      <c r="B28" s="10" t="s">
        <v>870</v>
      </c>
      <c r="C28" s="29" t="str">
        <f aca="false">"(q·k) ÷ √d_k: "&amp;IF(ROUND(G16,3)&lt;0,"("&amp;ROUND(G16,3)&amp;")",ROUND(G16,3)&amp;"")&amp;"×"&amp;IF(ROUND(C17,3)&lt;0,"("&amp;ROUND(C17,3)&amp;")",ROUND(C17,3)&amp;"")&amp;" + "&amp;IF(ROUND(H16,3)&lt;0,"("&amp;ROUND(H16,3)&amp;")",ROUND(H16,3)&amp;"")&amp;"×"&amp;IF(ROUND(D17,3)&lt;0,"("&amp;ROUND(D17,3)&amp;")",ROUND(D17,3)&amp;"")&amp;" then ÷ √"&amp;C20&amp;"  =  "&amp;IF(ROUND(C24,3)&lt;0,"("&amp;ROUND(C24,3)&amp;")",ROUND(C24,3)&amp;"")</f>
        <v>(q·k) ÷ √d_k: 2×2 + 0×0 then ÷ √2  =  2.828</v>
      </c>
      <c r="D28" s="29"/>
      <c r="E28" s="29"/>
      <c r="F28" s="29"/>
      <c r="G28" s="29"/>
      <c r="H28" s="29"/>
      <c r="I28" s="29"/>
      <c r="J28" s="29"/>
      <c r="K28" s="29"/>
      <c r="L28" s="29"/>
      <c r="M28" s="29"/>
      <c r="N28" s="29"/>
    </row>
    <row r="29" customFormat="false" ht="15.75" hidden="false" customHeight="true" outlineLevel="0" collapsed="false">
      <c r="B29" s="10" t="s">
        <v>871</v>
      </c>
      <c r="C29" s="29" t="str">
        <f aca="false">"(q·k) ÷ √d_k: "&amp;IF(ROUND(G16,3)&lt;0,"("&amp;ROUND(G16,3)&amp;")",ROUND(G16,3)&amp;"")&amp;"×"&amp;IF(ROUND(C18,3)&lt;0,"("&amp;ROUND(C18,3)&amp;")",ROUND(C18,3)&amp;"")&amp;" + "&amp;IF(ROUND(H16,3)&lt;0,"("&amp;ROUND(H16,3)&amp;")",ROUND(H16,3)&amp;"")&amp;"×"&amp;IF(ROUND(D18,3)&lt;0,"("&amp;ROUND(D18,3)&amp;")",ROUND(D18,3)&amp;"")&amp;" then ÷ √"&amp;C20&amp;"  =  "&amp;IF(ROUND(C25,3)&lt;0,"("&amp;ROUND(C25,3)&amp;")",ROUND(C25,3)&amp;"")</f>
        <v>(q·k) ÷ √d_k: 2×1 + 0×2 then ÷ √2  =  1.414</v>
      </c>
      <c r="D29" s="29"/>
      <c r="E29" s="29"/>
      <c r="F29" s="29"/>
      <c r="G29" s="29"/>
      <c r="H29" s="29"/>
      <c r="I29" s="29"/>
      <c r="J29" s="29"/>
      <c r="K29" s="29"/>
      <c r="L29" s="29"/>
      <c r="M29" s="29"/>
      <c r="N29" s="29"/>
    </row>
    <row r="30" customFormat="false" ht="17.25" hidden="false" customHeight="true" outlineLevel="0" collapsed="false">
      <c r="B30" s="20" t="s">
        <v>872</v>
      </c>
      <c r="C30" s="20"/>
      <c r="D30" s="20"/>
    </row>
    <row r="31" customFormat="false" ht="15" hidden="false" customHeight="false" outlineLevel="0" collapsed="false">
      <c r="B31" s="16"/>
      <c r="C31" s="21" t="s">
        <v>863</v>
      </c>
      <c r="D31" s="21" t="s">
        <v>864</v>
      </c>
    </row>
    <row r="32" customFormat="false" ht="15" hidden="false" customHeight="false" outlineLevel="0" collapsed="false">
      <c r="B32" s="22"/>
      <c r="C32" s="41" t="n">
        <f aca="false">I23*C16+I24*C17+I25*C18</f>
        <v>1.72252957322491</v>
      </c>
      <c r="D32" s="41" t="n">
        <f aca="false">I23*D16+I24*D17+I25*D18</f>
        <v>0.4187757648088</v>
      </c>
    </row>
    <row r="34" customFormat="false" ht="31.5" hidden="false" customHeight="true" outlineLevel="0" collapsed="false">
      <c r="B34" s="5" t="s">
        <v>873</v>
      </c>
      <c r="C34" s="5"/>
      <c r="D34" s="5"/>
      <c r="E34" s="5"/>
      <c r="F34" s="5"/>
      <c r="G34" s="5"/>
      <c r="H34" s="5"/>
      <c r="I34" s="5"/>
      <c r="J34" s="5"/>
      <c r="K34" s="5"/>
      <c r="L34" s="5"/>
      <c r="M34" s="5"/>
      <c r="N34" s="5"/>
    </row>
    <row r="36" customFormat="false" ht="21.75" hidden="false" customHeight="true" outlineLevel="0" collapsed="false">
      <c r="B36" s="4" t="s">
        <v>874</v>
      </c>
      <c r="C36" s="4"/>
      <c r="D36" s="4"/>
      <c r="E36" s="4"/>
      <c r="F36" s="4"/>
      <c r="G36" s="4"/>
      <c r="H36" s="4"/>
      <c r="I36" s="4"/>
      <c r="J36" s="4"/>
      <c r="K36" s="4"/>
      <c r="L36" s="4"/>
      <c r="M36" s="4"/>
      <c r="N36" s="4"/>
    </row>
    <row r="37" customFormat="false" ht="15.75" hidden="false" customHeight="true" outlineLevel="0" collapsed="false">
      <c r="B37" s="22" t="s">
        <v>875</v>
      </c>
      <c r="C37" s="23" t="n">
        <v>5</v>
      </c>
    </row>
    <row r="38" customFormat="false" ht="15.75" hidden="false" customHeight="true" outlineLevel="0" collapsed="false">
      <c r="B38" s="22" t="s">
        <v>876</v>
      </c>
      <c r="C38" s="23" t="n">
        <v>4</v>
      </c>
    </row>
    <row r="39" customFormat="false" ht="15.75" hidden="false" customHeight="true" outlineLevel="0" collapsed="false">
      <c r="B39" s="22" t="s">
        <v>877</v>
      </c>
      <c r="C39" s="23" t="n">
        <v>6</v>
      </c>
    </row>
    <row r="40" customFormat="false" ht="15.75" hidden="false" customHeight="true" outlineLevel="0" collapsed="false">
      <c r="B40" s="22" t="s">
        <v>878</v>
      </c>
      <c r="C40" s="23" t="n">
        <v>8</v>
      </c>
    </row>
    <row r="41" customFormat="false" ht="17.25" hidden="false" customHeight="true" outlineLevel="0" collapsed="false">
      <c r="B41" s="11" t="s">
        <v>879</v>
      </c>
      <c r="C41" s="11"/>
      <c r="D41" s="11"/>
      <c r="E41" s="11"/>
      <c r="F41" s="11" t="s">
        <v>880</v>
      </c>
      <c r="G41" s="11"/>
      <c r="H41" s="11" t="s">
        <v>881</v>
      </c>
      <c r="I41" s="11"/>
      <c r="J41" s="11" t="s">
        <v>882</v>
      </c>
      <c r="K41" s="11"/>
      <c r="L41" s="11" t="s">
        <v>883</v>
      </c>
      <c r="M41" s="11"/>
      <c r="N41" s="11"/>
    </row>
    <row r="42" customFormat="false" ht="17.25" hidden="false" customHeight="true" outlineLevel="0" collapsed="false">
      <c r="B42" s="13" t="s">
        <v>841</v>
      </c>
      <c r="C42" s="13"/>
      <c r="D42" s="13"/>
      <c r="E42" s="13"/>
      <c r="F42" s="14" t="str">
        <f aca="false">C37&amp;" × "&amp;C37</f>
        <v>5 × 5</v>
      </c>
      <c r="G42" s="14"/>
      <c r="H42" s="14" t="n">
        <f aca="false">C37*C37</f>
        <v>25</v>
      </c>
      <c r="I42" s="14"/>
      <c r="J42" s="57" t="n">
        <f aca="false">C39</f>
        <v>6</v>
      </c>
      <c r="K42" s="57"/>
      <c r="L42" s="14" t="n">
        <f aca="false">C39*C40</f>
        <v>48</v>
      </c>
      <c r="M42" s="14"/>
      <c r="N42" s="14"/>
    </row>
    <row r="43" customFormat="false" ht="17.25" hidden="false" customHeight="true" outlineLevel="0" collapsed="false">
      <c r="B43" s="16" t="s">
        <v>847</v>
      </c>
      <c r="C43" s="16"/>
      <c r="D43" s="16"/>
      <c r="E43" s="16"/>
      <c r="F43" s="17" t="str">
        <f aca="false">C38&amp;" × "&amp;C38</f>
        <v>4 × 4</v>
      </c>
      <c r="G43" s="17"/>
      <c r="H43" s="17" t="n">
        <f aca="false">C38*C38</f>
        <v>16</v>
      </c>
      <c r="I43" s="17"/>
      <c r="J43" s="87" t="n">
        <f aca="false">C39</f>
        <v>6</v>
      </c>
      <c r="K43" s="87"/>
      <c r="L43" s="17" t="n">
        <f aca="false">C39*C40</f>
        <v>48</v>
      </c>
      <c r="M43" s="17"/>
      <c r="N43" s="17"/>
    </row>
    <row r="44" customFormat="false" ht="17.25" hidden="false" customHeight="true" outlineLevel="0" collapsed="false">
      <c r="B44" s="13" t="s">
        <v>884</v>
      </c>
      <c r="C44" s="13"/>
      <c r="D44" s="13"/>
      <c r="E44" s="13"/>
      <c r="F44" s="14" t="str">
        <f aca="false">C38&amp;" × "&amp;C37</f>
        <v>4 × 5</v>
      </c>
      <c r="G44" s="14"/>
      <c r="H44" s="14" t="n">
        <f aca="false">C38*C37</f>
        <v>20</v>
      </c>
      <c r="I44" s="14"/>
      <c r="J44" s="57" t="n">
        <f aca="false">C39</f>
        <v>6</v>
      </c>
      <c r="K44" s="57"/>
      <c r="L44" s="14" t="n">
        <f aca="false">C39*C40</f>
        <v>48</v>
      </c>
      <c r="M44" s="14"/>
      <c r="N44" s="14"/>
    </row>
    <row r="45" customFormat="false" ht="17.25" hidden="false" customHeight="true" outlineLevel="0" collapsed="false">
      <c r="B45" s="16" t="s">
        <v>885</v>
      </c>
      <c r="C45" s="16"/>
      <c r="D45" s="16"/>
      <c r="E45" s="16"/>
      <c r="F45" s="17"/>
      <c r="G45" s="17"/>
      <c r="H45" s="17"/>
      <c r="I45" s="17"/>
      <c r="J45" s="17" t="n">
        <f aca="false">3*C39</f>
        <v>18</v>
      </c>
      <c r="K45" s="17"/>
      <c r="L45" s="17" t="n">
        <f aca="false">3*C39*C40</f>
        <v>144</v>
      </c>
      <c r="M45" s="17"/>
      <c r="N45" s="17"/>
    </row>
    <row r="46" customFormat="false" ht="31.5" hidden="false" customHeight="true" outlineLevel="0" collapsed="false">
      <c r="B46" s="5" t="s">
        <v>886</v>
      </c>
      <c r="C46" s="5"/>
      <c r="D46" s="5"/>
      <c r="E46" s="5"/>
      <c r="F46" s="5"/>
      <c r="G46" s="5"/>
      <c r="H46" s="5"/>
      <c r="I46" s="5"/>
      <c r="J46" s="5"/>
      <c r="K46" s="5"/>
      <c r="L46" s="5"/>
      <c r="M46" s="5"/>
      <c r="N46" s="5"/>
    </row>
    <row r="47" customFormat="false" ht="18.75" hidden="false" customHeight="true" outlineLevel="0" collapsed="false">
      <c r="B47" s="25" t="s">
        <v>279</v>
      </c>
      <c r="C47" s="25"/>
      <c r="D47" s="25"/>
      <c r="E47" s="25"/>
      <c r="F47" s="25"/>
      <c r="G47" s="25"/>
      <c r="H47" s="25"/>
      <c r="I47" s="25"/>
      <c r="J47" s="25"/>
      <c r="K47" s="25"/>
      <c r="L47" s="25"/>
      <c r="M47" s="25"/>
      <c r="N47" s="25"/>
    </row>
    <row r="48" customFormat="false" ht="17.25" hidden="false" customHeight="true" outlineLevel="0" collapsed="false">
      <c r="B48" s="43" t="s">
        <v>887</v>
      </c>
      <c r="C48" s="43"/>
      <c r="D48" s="43"/>
      <c r="E48" s="43"/>
      <c r="F48" s="43"/>
      <c r="G48" s="43"/>
      <c r="H48" s="43"/>
      <c r="I48" s="43"/>
      <c r="J48" s="43"/>
      <c r="K48" s="43"/>
      <c r="L48" s="43"/>
      <c r="M48" s="43"/>
      <c r="N48" s="43"/>
    </row>
    <row r="49" customFormat="false" ht="17.25" hidden="false" customHeight="true" outlineLevel="0" collapsed="false">
      <c r="B49" s="44" t="s">
        <v>888</v>
      </c>
      <c r="C49" s="44"/>
      <c r="D49" s="44"/>
      <c r="E49" s="44"/>
      <c r="F49" s="44"/>
      <c r="G49" s="44"/>
      <c r="H49" s="44"/>
      <c r="I49" s="44"/>
      <c r="J49" s="44"/>
      <c r="K49" s="44"/>
      <c r="L49" s="44"/>
      <c r="M49" s="44"/>
      <c r="N49" s="44"/>
    </row>
    <row r="50" customFormat="false" ht="17.25" hidden="false" customHeight="true" outlineLevel="0" collapsed="false">
      <c r="B50" s="43" t="s">
        <v>889</v>
      </c>
      <c r="C50" s="43"/>
      <c r="D50" s="43"/>
      <c r="E50" s="43"/>
      <c r="F50" s="43"/>
      <c r="G50" s="43"/>
      <c r="H50" s="43"/>
      <c r="I50" s="43"/>
      <c r="J50" s="43"/>
      <c r="K50" s="43"/>
      <c r="L50" s="43"/>
      <c r="M50" s="43"/>
      <c r="N50" s="43"/>
    </row>
    <row r="51" customFormat="false" ht="17.25" hidden="false" customHeight="true" outlineLevel="0" collapsed="false">
      <c r="B51" s="44" t="s">
        <v>890</v>
      </c>
      <c r="C51" s="44"/>
      <c r="D51" s="44"/>
      <c r="E51" s="44"/>
      <c r="F51" s="44"/>
      <c r="G51" s="44"/>
      <c r="H51" s="44"/>
      <c r="I51" s="44"/>
      <c r="J51" s="44"/>
      <c r="K51" s="44"/>
      <c r="L51" s="44"/>
      <c r="M51" s="44"/>
      <c r="N51" s="44"/>
    </row>
  </sheetData>
  <mergeCells count="69">
    <mergeCell ref="B1:N1"/>
    <mergeCell ref="B2:N2"/>
    <mergeCell ref="B4:N4"/>
    <mergeCell ref="B5:C5"/>
    <mergeCell ref="D5:E5"/>
    <mergeCell ref="F5:G5"/>
    <mergeCell ref="H5:I5"/>
    <mergeCell ref="K5:N5"/>
    <mergeCell ref="B6:C6"/>
    <mergeCell ref="D6:E6"/>
    <mergeCell ref="F6:G6"/>
    <mergeCell ref="H6:I6"/>
    <mergeCell ref="K6:N6"/>
    <mergeCell ref="B7:C7"/>
    <mergeCell ref="D7:E7"/>
    <mergeCell ref="F7:G7"/>
    <mergeCell ref="H7:I7"/>
    <mergeCell ref="K7:N7"/>
    <mergeCell ref="B8:C8"/>
    <mergeCell ref="D8:E8"/>
    <mergeCell ref="F8:G8"/>
    <mergeCell ref="H8:I8"/>
    <mergeCell ref="K8:N8"/>
    <mergeCell ref="B9:N9"/>
    <mergeCell ref="B10:N10"/>
    <mergeCell ref="B12:N12"/>
    <mergeCell ref="B13:N13"/>
    <mergeCell ref="B14:D14"/>
    <mergeCell ref="F14:J14"/>
    <mergeCell ref="B21:C21"/>
    <mergeCell ref="E21:F21"/>
    <mergeCell ref="H21:I21"/>
    <mergeCell ref="C27:N27"/>
    <mergeCell ref="C28:N28"/>
    <mergeCell ref="C29:N29"/>
    <mergeCell ref="B30:D30"/>
    <mergeCell ref="B34:N34"/>
    <mergeCell ref="B36:N36"/>
    <mergeCell ref="B41:E41"/>
    <mergeCell ref="F41:G41"/>
    <mergeCell ref="H41:I41"/>
    <mergeCell ref="J41:K41"/>
    <mergeCell ref="L41:N41"/>
    <mergeCell ref="B42:E42"/>
    <mergeCell ref="F42:G42"/>
    <mergeCell ref="H42:I42"/>
    <mergeCell ref="J42:K42"/>
    <mergeCell ref="L42:N42"/>
    <mergeCell ref="B43:E43"/>
    <mergeCell ref="F43:G43"/>
    <mergeCell ref="H43:I43"/>
    <mergeCell ref="J43:K43"/>
    <mergeCell ref="L43:N43"/>
    <mergeCell ref="B44:E44"/>
    <mergeCell ref="F44:G44"/>
    <mergeCell ref="H44:I44"/>
    <mergeCell ref="J44:K44"/>
    <mergeCell ref="L44:N44"/>
    <mergeCell ref="B45:E45"/>
    <mergeCell ref="F45:G45"/>
    <mergeCell ref="H45:I45"/>
    <mergeCell ref="J45:K45"/>
    <mergeCell ref="L45:N45"/>
    <mergeCell ref="B46:N46"/>
    <mergeCell ref="B47:N47"/>
    <mergeCell ref="B48:N48"/>
    <mergeCell ref="B49:N49"/>
    <mergeCell ref="B50:N50"/>
    <mergeCell ref="B51:N51"/>
  </mergeCells>
  <conditionalFormatting sqref="I23:I25">
    <cfRule type="colorScale" priority="2">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C9C9"/>
    <pageSetUpPr fitToPage="true"/>
  </sheetPr>
  <dimension ref="B1:N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891</v>
      </c>
      <c r="C1" s="1"/>
      <c r="D1" s="1"/>
      <c r="E1" s="1"/>
      <c r="F1" s="1"/>
      <c r="G1" s="1"/>
      <c r="H1" s="1"/>
      <c r="I1" s="1"/>
      <c r="J1" s="1"/>
      <c r="K1" s="1"/>
      <c r="L1" s="1"/>
      <c r="M1" s="1"/>
      <c r="N1" s="1"/>
    </row>
    <row r="2" customFormat="false" ht="17.25" hidden="false" customHeight="true" outlineLevel="0" collapsed="false">
      <c r="B2" s="2" t="s">
        <v>892</v>
      </c>
      <c r="C2" s="2"/>
      <c r="D2" s="2"/>
      <c r="E2" s="2"/>
      <c r="F2" s="2"/>
      <c r="G2" s="2"/>
      <c r="H2" s="2"/>
      <c r="I2" s="2"/>
      <c r="J2" s="2"/>
      <c r="K2" s="2"/>
      <c r="L2" s="2"/>
      <c r="M2" s="2"/>
      <c r="N2" s="2"/>
    </row>
    <row r="4" customFormat="false" ht="20.25" hidden="false" customHeight="true" outlineLevel="0" collapsed="false">
      <c r="B4" s="24" t="s">
        <v>893</v>
      </c>
      <c r="C4" s="24"/>
      <c r="D4" s="24"/>
      <c r="E4" s="24"/>
      <c r="F4" s="24"/>
      <c r="G4" s="24"/>
      <c r="H4" s="24"/>
      <c r="I4" s="24"/>
      <c r="J4" s="24"/>
      <c r="K4" s="24"/>
      <c r="L4" s="24"/>
      <c r="M4" s="24"/>
      <c r="N4" s="24"/>
    </row>
    <row r="5" customFormat="false" ht="34.5" hidden="false" customHeight="true" outlineLevel="0" collapsed="false">
      <c r="B5" s="3" t="s">
        <v>894</v>
      </c>
      <c r="C5" s="3"/>
      <c r="D5" s="3"/>
      <c r="E5" s="3"/>
      <c r="F5" s="3"/>
      <c r="G5" s="3"/>
      <c r="H5" s="3"/>
      <c r="I5" s="3"/>
      <c r="J5" s="3"/>
      <c r="K5" s="3"/>
      <c r="L5" s="3"/>
      <c r="M5" s="3"/>
      <c r="N5" s="3"/>
    </row>
    <row r="6" customFormat="false" ht="31.5" hidden="false" customHeight="true" outlineLevel="0" collapsed="false">
      <c r="B6" s="45" t="s">
        <v>895</v>
      </c>
      <c r="C6" s="45"/>
      <c r="D6" s="45"/>
      <c r="E6" s="45"/>
      <c r="F6" s="45"/>
      <c r="G6" s="45"/>
      <c r="H6" s="45"/>
      <c r="I6" s="45"/>
      <c r="J6" s="45"/>
      <c r="K6" s="45"/>
      <c r="L6" s="45"/>
      <c r="M6" s="45"/>
      <c r="N6" s="45"/>
    </row>
    <row r="7" customFormat="false" ht="21.75" hidden="false" customHeight="true" outlineLevel="0" collapsed="false">
      <c r="B7" s="4" t="s">
        <v>896</v>
      </c>
      <c r="C7" s="4"/>
      <c r="D7" s="4"/>
      <c r="E7" s="4"/>
      <c r="F7" s="4"/>
      <c r="G7" s="4"/>
      <c r="H7" s="4"/>
      <c r="I7" s="4"/>
      <c r="J7" s="4"/>
      <c r="K7" s="4"/>
      <c r="L7" s="4"/>
      <c r="M7" s="4"/>
      <c r="N7" s="4"/>
    </row>
    <row r="8" customFormat="false" ht="20.25" hidden="false" customHeight="true" outlineLevel="0" collapsed="false">
      <c r="B8" s="24" t="s">
        <v>897</v>
      </c>
      <c r="C8" s="24"/>
      <c r="D8" s="24"/>
      <c r="E8" s="24"/>
      <c r="F8" s="24"/>
      <c r="G8" s="24"/>
      <c r="H8" s="24"/>
      <c r="I8" s="24"/>
      <c r="J8" s="24"/>
      <c r="K8" s="24"/>
      <c r="L8" s="24"/>
      <c r="M8" s="24"/>
      <c r="N8" s="24"/>
    </row>
    <row r="9" customFormat="false" ht="17.25" hidden="false" customHeight="true" outlineLevel="0" collapsed="false">
      <c r="B9" s="11" t="s">
        <v>374</v>
      </c>
      <c r="C9" s="11" t="s">
        <v>375</v>
      </c>
      <c r="D9" s="11"/>
      <c r="E9" s="11"/>
      <c r="F9" s="11"/>
      <c r="G9" s="11"/>
      <c r="H9" s="11"/>
      <c r="I9" s="11"/>
      <c r="J9" s="11"/>
      <c r="K9" s="11"/>
      <c r="L9" s="11" t="s">
        <v>376</v>
      </c>
      <c r="M9" s="11"/>
      <c r="N9" s="11"/>
    </row>
    <row r="10" customFormat="false" ht="17.25" hidden="false" customHeight="true" outlineLevel="0" collapsed="false">
      <c r="B10" s="55" t="s">
        <v>898</v>
      </c>
      <c r="C10" s="13" t="s">
        <v>899</v>
      </c>
      <c r="D10" s="13"/>
      <c r="E10" s="13"/>
      <c r="F10" s="13"/>
      <c r="G10" s="13"/>
      <c r="H10" s="13"/>
      <c r="I10" s="13"/>
      <c r="J10" s="13"/>
      <c r="K10" s="13"/>
      <c r="L10" s="13" t="s">
        <v>900</v>
      </c>
      <c r="M10" s="13"/>
      <c r="N10" s="13"/>
    </row>
    <row r="11" customFormat="false" ht="17.25" hidden="false" customHeight="true" outlineLevel="0" collapsed="false">
      <c r="B11" s="10" t="s">
        <v>901</v>
      </c>
      <c r="C11" s="16" t="s">
        <v>902</v>
      </c>
      <c r="D11" s="16"/>
      <c r="E11" s="16"/>
      <c r="F11" s="16"/>
      <c r="G11" s="16"/>
      <c r="H11" s="16"/>
      <c r="I11" s="16"/>
      <c r="J11" s="16"/>
      <c r="K11" s="16"/>
      <c r="L11" s="16" t="s">
        <v>903</v>
      </c>
      <c r="M11" s="16"/>
      <c r="N11" s="16"/>
    </row>
    <row r="12" customFormat="false" ht="17.25" hidden="false" customHeight="true" outlineLevel="0" collapsed="false">
      <c r="B12" s="55" t="s">
        <v>904</v>
      </c>
      <c r="C12" s="13" t="s">
        <v>905</v>
      </c>
      <c r="D12" s="13"/>
      <c r="E12" s="13"/>
      <c r="F12" s="13"/>
      <c r="G12" s="13"/>
      <c r="H12" s="13"/>
      <c r="I12" s="13"/>
      <c r="J12" s="13"/>
      <c r="K12" s="13"/>
      <c r="L12" s="13" t="s">
        <v>906</v>
      </c>
      <c r="M12" s="13"/>
      <c r="N12" s="13"/>
    </row>
    <row r="13" customFormat="false" ht="17.25" hidden="false" customHeight="true" outlineLevel="0" collapsed="false">
      <c r="B13" s="10" t="s">
        <v>907</v>
      </c>
      <c r="C13" s="16" t="s">
        <v>908</v>
      </c>
      <c r="D13" s="16"/>
      <c r="E13" s="16"/>
      <c r="F13" s="16"/>
      <c r="G13" s="16"/>
      <c r="H13" s="16"/>
      <c r="I13" s="16"/>
      <c r="J13" s="16"/>
      <c r="K13" s="16"/>
      <c r="L13" s="16" t="s">
        <v>909</v>
      </c>
      <c r="M13" s="16"/>
      <c r="N13" s="16"/>
    </row>
    <row r="14" customFormat="false" ht="21.75" hidden="false" customHeight="true" outlineLevel="0" collapsed="false">
      <c r="B14" s="4" t="s">
        <v>910</v>
      </c>
      <c r="C14" s="4"/>
      <c r="D14" s="4"/>
      <c r="E14" s="4"/>
      <c r="F14" s="4"/>
      <c r="G14" s="4"/>
      <c r="H14" s="4"/>
      <c r="I14" s="4"/>
      <c r="J14" s="4"/>
      <c r="K14" s="4"/>
      <c r="L14" s="4"/>
      <c r="M14" s="4"/>
      <c r="N14" s="4"/>
    </row>
    <row r="15" customFormat="false" ht="17.25" hidden="false" customHeight="true" outlineLevel="0" collapsed="false">
      <c r="B15" s="20" t="s">
        <v>911</v>
      </c>
      <c r="C15" s="20"/>
      <c r="D15" s="20"/>
      <c r="E15" s="20"/>
      <c r="F15" s="20"/>
    </row>
    <row r="16" customFormat="false" ht="15" hidden="false" customHeight="false" outlineLevel="0" collapsed="false">
      <c r="B16" s="16"/>
      <c r="C16" s="21" t="s">
        <v>389</v>
      </c>
      <c r="D16" s="21" t="s">
        <v>390</v>
      </c>
      <c r="E16" s="21" t="s">
        <v>391</v>
      </c>
      <c r="F16" s="21" t="s">
        <v>392</v>
      </c>
    </row>
    <row r="17" customFormat="false" ht="15" hidden="false" customHeight="false" outlineLevel="0" collapsed="false">
      <c r="B17" s="22"/>
      <c r="C17" s="35" t="n">
        <v>1</v>
      </c>
      <c r="D17" s="35" t="n">
        <v>2</v>
      </c>
      <c r="E17" s="35" t="n">
        <v>3</v>
      </c>
      <c r="F17" s="35" t="n">
        <v>4</v>
      </c>
    </row>
    <row r="18" customFormat="false" ht="17.25" hidden="false" customHeight="true" outlineLevel="0" collapsed="false">
      <c r="B18" s="20" t="s">
        <v>912</v>
      </c>
      <c r="C18" s="20"/>
      <c r="D18" s="20"/>
      <c r="E18" s="20"/>
      <c r="F18" s="20"/>
    </row>
    <row r="19" customFormat="false" ht="15" hidden="false" customHeight="false" outlineLevel="0" collapsed="false">
      <c r="B19" s="16"/>
      <c r="C19" s="21" t="s">
        <v>389</v>
      </c>
      <c r="D19" s="21" t="s">
        <v>390</v>
      </c>
      <c r="E19" s="21" t="s">
        <v>391</v>
      </c>
      <c r="F19" s="21" t="s">
        <v>392</v>
      </c>
    </row>
    <row r="20" customFormat="false" ht="15" hidden="false" customHeight="false" outlineLevel="0" collapsed="false">
      <c r="B20" s="22"/>
      <c r="C20" s="35" t="n">
        <v>0.5</v>
      </c>
      <c r="D20" s="35" t="n">
        <v>-1</v>
      </c>
      <c r="E20" s="35" t="n">
        <v>0</v>
      </c>
      <c r="F20" s="35" t="n">
        <v>2.5</v>
      </c>
    </row>
    <row r="21" customFormat="false" ht="17.25" hidden="false" customHeight="true" outlineLevel="0" collapsed="false">
      <c r="B21" s="76" t="s">
        <v>913</v>
      </c>
      <c r="C21" s="5" t="s">
        <v>914</v>
      </c>
      <c r="D21" s="5"/>
      <c r="E21" s="5"/>
      <c r="F21" s="5"/>
      <c r="G21" s="5"/>
      <c r="H21" s="5"/>
      <c r="I21" s="5"/>
      <c r="J21" s="5"/>
      <c r="K21" s="5"/>
      <c r="L21" s="5"/>
      <c r="M21" s="5"/>
      <c r="N21" s="5"/>
    </row>
    <row r="22" customFormat="false" ht="17.25" hidden="false" customHeight="true" outlineLevel="0" collapsed="false">
      <c r="B22" s="20" t="s">
        <v>915</v>
      </c>
      <c r="C22" s="20"/>
      <c r="D22" s="20"/>
      <c r="E22" s="20"/>
      <c r="F22" s="20"/>
    </row>
    <row r="23" customFormat="false" ht="15" hidden="false" customHeight="false" outlineLevel="0" collapsed="false">
      <c r="B23" s="16"/>
      <c r="C23" s="21" t="s">
        <v>389</v>
      </c>
      <c r="D23" s="21" t="s">
        <v>390</v>
      </c>
      <c r="E23" s="21" t="s">
        <v>391</v>
      </c>
      <c r="F23" s="21" t="s">
        <v>392</v>
      </c>
    </row>
    <row r="24" customFormat="false" ht="15" hidden="false" customHeight="false" outlineLevel="0" collapsed="false">
      <c r="B24" s="22"/>
      <c r="C24" s="39" t="n">
        <f aca="false">C17+C20</f>
        <v>1.5</v>
      </c>
      <c r="D24" s="39" t="n">
        <f aca="false">D17+D20</f>
        <v>1</v>
      </c>
      <c r="E24" s="39" t="n">
        <f aca="false">E17+E20</f>
        <v>3</v>
      </c>
      <c r="F24" s="39" t="n">
        <f aca="false">F17+F20</f>
        <v>6.5</v>
      </c>
    </row>
    <row r="25" customFormat="false" ht="17.25" hidden="false" customHeight="true" outlineLevel="0" collapsed="false">
      <c r="B25" s="76" t="s">
        <v>916</v>
      </c>
      <c r="C25" s="5" t="s">
        <v>917</v>
      </c>
      <c r="D25" s="5"/>
      <c r="E25" s="5"/>
      <c r="F25" s="5"/>
      <c r="G25" s="5"/>
      <c r="H25" s="5"/>
      <c r="I25" s="5"/>
      <c r="J25" s="5"/>
      <c r="K25" s="5"/>
      <c r="L25" s="5"/>
      <c r="M25" s="5"/>
      <c r="N25" s="5"/>
    </row>
    <row r="26" customFormat="false" ht="15.75" hidden="false" customHeight="true" outlineLevel="0" collapsed="false">
      <c r="B26" s="22" t="s">
        <v>918</v>
      </c>
      <c r="C26" s="40" t="n">
        <f aca="false">AVERAGE(C24:F24)</f>
        <v>3</v>
      </c>
    </row>
    <row r="27" customFormat="false" ht="17.25" hidden="false" customHeight="true" outlineLevel="0" collapsed="false">
      <c r="B27" s="22" t="s">
        <v>919</v>
      </c>
      <c r="C27" s="40" t="n">
        <f aca="false">SUMPRODUCT((C24:F24-C26)^2)/4</f>
        <v>4.625</v>
      </c>
      <c r="D27" s="27" t="s">
        <v>920</v>
      </c>
      <c r="E27" s="27"/>
      <c r="F27" s="27"/>
      <c r="G27" s="27"/>
      <c r="H27" s="27"/>
      <c r="I27" s="27"/>
      <c r="J27" s="27"/>
      <c r="K27" s="27"/>
      <c r="L27" s="27"/>
      <c r="M27" s="27"/>
      <c r="N27" s="27"/>
    </row>
    <row r="28" customFormat="false" ht="17.25" hidden="false" customHeight="true" outlineLevel="0" collapsed="false">
      <c r="B28" s="22" t="s">
        <v>904</v>
      </c>
      <c r="C28" s="88" t="n">
        <v>1E-006</v>
      </c>
      <c r="D28" s="27" t="s">
        <v>921</v>
      </c>
      <c r="E28" s="27"/>
      <c r="F28" s="27"/>
      <c r="G28" s="27"/>
      <c r="H28" s="27"/>
      <c r="I28" s="27"/>
      <c r="J28" s="27"/>
      <c r="K28" s="27"/>
      <c r="L28" s="27"/>
      <c r="M28" s="27"/>
      <c r="N28" s="27"/>
    </row>
    <row r="29" customFormat="false" ht="15.75" hidden="false" customHeight="true" outlineLevel="0" collapsed="false">
      <c r="B29" s="22" t="s">
        <v>922</v>
      </c>
      <c r="C29" s="40" t="n">
        <f aca="false">SQRT(C27+C28)</f>
        <v>2.15058154925592</v>
      </c>
    </row>
    <row r="30" customFormat="false" ht="15.75" hidden="false" customHeight="true" outlineLevel="0" collapsed="false">
      <c r="B30" s="10" t="s">
        <v>15</v>
      </c>
      <c r="C30" s="29" t="str">
        <f aca="false">"μ = ("&amp;IF(ROUND(C24,3)&lt;0,"("&amp;ROUND(C24,3)&amp;")",ROUND(C24,3)&amp;"")&amp;" + "&amp;IF(ROUND(D24,3)&lt;0,"("&amp;ROUND(D24,3)&amp;")",ROUND(D24,3)&amp;"")&amp;" + "&amp;IF(ROUND(E24,3)&lt;0,"("&amp;ROUND(E24,3)&amp;")",ROUND(E24,3)&amp;"")&amp;" + "&amp;IF(ROUND(F24,3)&lt;0,"("&amp;ROUND(F24,3)&amp;")",ROUND(F24,3)&amp;"")&amp;") ÷ 4 = "&amp;IF(ROUND(C26,3)&lt;0,"("&amp;ROUND(C26,3)&amp;")",ROUND(C26,3)&amp;"")&amp;";  σ² = "&amp;IF(ROUND(C27,3)&lt;0,"("&amp;ROUND(C27,3)&amp;")",ROUND(C27,3)&amp;"")&amp;";  √(σ²+ε) = "&amp;IF(ROUND(C29,3)&lt;0,"("&amp;ROUND(C29,3)&amp;")",ROUND(C29,3)&amp;"")</f>
        <v>μ = (1.5 + 1 + 3 + 6.5) ÷ 4 = 3;  σ² = 4.625;  √(σ²+ε) = 2.151</v>
      </c>
      <c r="D30" s="29"/>
      <c r="E30" s="29"/>
      <c r="F30" s="29"/>
      <c r="G30" s="29"/>
      <c r="H30" s="29"/>
      <c r="I30" s="29"/>
      <c r="J30" s="29"/>
      <c r="K30" s="29"/>
      <c r="L30" s="29"/>
      <c r="M30" s="29"/>
      <c r="N30" s="29"/>
    </row>
    <row r="31" customFormat="false" ht="17.25" hidden="false" customHeight="true" outlineLevel="0" collapsed="false">
      <c r="B31" s="20" t="s">
        <v>923</v>
      </c>
      <c r="C31" s="20"/>
      <c r="D31" s="20"/>
      <c r="E31" s="20"/>
      <c r="F31" s="20"/>
    </row>
    <row r="32" customFormat="false" ht="15" hidden="false" customHeight="false" outlineLevel="0" collapsed="false">
      <c r="B32" s="16"/>
      <c r="C32" s="21" t="s">
        <v>389</v>
      </c>
      <c r="D32" s="21" t="s">
        <v>390</v>
      </c>
      <c r="E32" s="21" t="s">
        <v>391</v>
      </c>
      <c r="F32" s="21" t="s">
        <v>392</v>
      </c>
    </row>
    <row r="33" customFormat="false" ht="15" hidden="false" customHeight="false" outlineLevel="0" collapsed="false">
      <c r="B33" s="22"/>
      <c r="C33" s="39" t="n">
        <f aca="false">(C24-C26)/C29</f>
        <v>-0.697485757059054</v>
      </c>
      <c r="D33" s="39" t="n">
        <f aca="false">(D24-C26)/C29</f>
        <v>-0.929981009412072</v>
      </c>
      <c r="E33" s="39" t="n">
        <f aca="false">(E24-C26)/C29</f>
        <v>0</v>
      </c>
      <c r="F33" s="39" t="n">
        <f aca="false">(F24-C26)/C29</f>
        <v>1.62746676647113</v>
      </c>
    </row>
    <row r="34" customFormat="false" ht="17.25" hidden="false" customHeight="true" outlineLevel="0" collapsed="false">
      <c r="B34" s="20" t="s">
        <v>924</v>
      </c>
      <c r="C34" s="20"/>
      <c r="D34" s="20"/>
      <c r="E34" s="20"/>
      <c r="F34" s="20"/>
    </row>
    <row r="35" customFormat="false" ht="15" hidden="false" customHeight="false" outlineLevel="0" collapsed="false">
      <c r="B35" s="16"/>
      <c r="C35" s="21" t="s">
        <v>389</v>
      </c>
      <c r="D35" s="21" t="s">
        <v>390</v>
      </c>
      <c r="E35" s="21" t="s">
        <v>391</v>
      </c>
      <c r="F35" s="21" t="s">
        <v>392</v>
      </c>
    </row>
    <row r="36" customFormat="false" ht="15" hidden="false" customHeight="false" outlineLevel="0" collapsed="false">
      <c r="B36" s="22"/>
      <c r="C36" s="35" t="n">
        <v>1</v>
      </c>
      <c r="D36" s="35" t="n">
        <v>1</v>
      </c>
      <c r="E36" s="35" t="n">
        <v>1</v>
      </c>
      <c r="F36" s="35" t="n">
        <v>1</v>
      </c>
    </row>
    <row r="37" customFormat="false" ht="17.25" hidden="false" customHeight="true" outlineLevel="0" collapsed="false">
      <c r="B37" s="20" t="s">
        <v>925</v>
      </c>
      <c r="C37" s="20"/>
      <c r="D37" s="20"/>
      <c r="E37" s="20"/>
      <c r="F37" s="20"/>
    </row>
    <row r="38" customFormat="false" ht="15" hidden="false" customHeight="false" outlineLevel="0" collapsed="false">
      <c r="B38" s="16"/>
      <c r="C38" s="21" t="s">
        <v>389</v>
      </c>
      <c r="D38" s="21" t="s">
        <v>390</v>
      </c>
      <c r="E38" s="21" t="s">
        <v>391</v>
      </c>
      <c r="F38" s="21" t="s">
        <v>392</v>
      </c>
    </row>
    <row r="39" customFormat="false" ht="15" hidden="false" customHeight="false" outlineLevel="0" collapsed="false">
      <c r="B39" s="22"/>
      <c r="C39" s="35" t="n">
        <v>0</v>
      </c>
      <c r="D39" s="35" t="n">
        <v>0</v>
      </c>
      <c r="E39" s="35" t="n">
        <v>0</v>
      </c>
      <c r="F39" s="35" t="n">
        <v>0</v>
      </c>
    </row>
    <row r="40" customFormat="false" ht="17.25" hidden="false" customHeight="true" outlineLevel="0" collapsed="false">
      <c r="B40" s="20" t="s">
        <v>926</v>
      </c>
      <c r="C40" s="20"/>
      <c r="D40" s="20"/>
      <c r="E40" s="20"/>
      <c r="F40" s="20"/>
    </row>
    <row r="41" customFormat="false" ht="15" hidden="false" customHeight="false" outlineLevel="0" collapsed="false">
      <c r="B41" s="16"/>
      <c r="C41" s="21" t="s">
        <v>389</v>
      </c>
      <c r="D41" s="21" t="s">
        <v>390</v>
      </c>
      <c r="E41" s="21" t="s">
        <v>391</v>
      </c>
      <c r="F41" s="21" t="s">
        <v>392</v>
      </c>
    </row>
    <row r="42" customFormat="false" ht="15" hidden="false" customHeight="false" outlineLevel="0" collapsed="false">
      <c r="B42" s="22"/>
      <c r="C42" s="41" t="n">
        <f aca="false">C36*C33+C39</f>
        <v>-0.697485757059054</v>
      </c>
      <c r="D42" s="41" t="n">
        <f aca="false">D36*D33+D39</f>
        <v>-0.929981009412072</v>
      </c>
      <c r="E42" s="41" t="n">
        <f aca="false">E36*E33+E39</f>
        <v>0</v>
      </c>
      <c r="F42" s="41" t="n">
        <f aca="false">F36*F33+F39</f>
        <v>1.62746676647113</v>
      </c>
    </row>
    <row r="43" customFormat="false" ht="15.75" hidden="false" customHeight="true" outlineLevel="0" collapsed="false">
      <c r="B43" s="10" t="s">
        <v>392</v>
      </c>
      <c r="C43" s="29" t="str">
        <f aca="false">"("&amp;IF(ROUND(F24,3)&lt;0,"("&amp;ROUND(F24,3)&amp;")",ROUND(F24,3)&amp;"")&amp;" − "&amp;IF(ROUND(C26,3)&lt;0,"("&amp;ROUND(C26,3)&amp;")",ROUND(C26,3)&amp;"")&amp;") ÷ "&amp;IF(ROUND(C29,3)&lt;0,"("&amp;ROUND(C29,3)&amp;")",ROUND(C29,3)&amp;"")&amp;" = "&amp;IF(ROUND(F33,3)&lt;0,"("&amp;ROUND(F33,3)&amp;")",ROUND(F33,3)&amp;"")&amp;";  × γ "&amp;IF(ROUND(F36,3)&lt;0,"("&amp;ROUND(F36,3)&amp;")",ROUND(F36,3)&amp;"")&amp;" + β "&amp;IF(ROUND(F39,3)&lt;0,"("&amp;ROUND(F39,3)&amp;")",ROUND(F39,3)&amp;"")&amp;" = "&amp;IF(ROUND(F42,3)&lt;0,"("&amp;ROUND(F42,3)&amp;")",ROUND(F42,3)&amp;"")</f>
        <v>(6.5 − 3) ÷ 2.151 = 1.627;  × γ 1 + β 0 = 1.627</v>
      </c>
      <c r="D43" s="29"/>
      <c r="E43" s="29"/>
      <c r="F43" s="29"/>
      <c r="G43" s="29"/>
      <c r="H43" s="29"/>
      <c r="I43" s="29"/>
      <c r="J43" s="29"/>
      <c r="K43" s="29"/>
      <c r="L43" s="29"/>
      <c r="M43" s="29"/>
      <c r="N43" s="29"/>
    </row>
    <row r="44" customFormat="false" ht="17.25" hidden="false" customHeight="true" outlineLevel="0" collapsed="false">
      <c r="B44" s="22" t="s">
        <v>927</v>
      </c>
      <c r="C44" s="40" t="n">
        <f aca="false">AVERAGE(C42:F42)</f>
        <v>0</v>
      </c>
      <c r="D44" s="27" t="s">
        <v>928</v>
      </c>
      <c r="E44" s="27"/>
      <c r="F44" s="27"/>
      <c r="G44" s="27"/>
      <c r="H44" s="27"/>
      <c r="I44" s="27"/>
      <c r="J44" s="27"/>
      <c r="K44" s="27"/>
      <c r="L44" s="27"/>
      <c r="M44" s="27"/>
      <c r="N44" s="27"/>
    </row>
    <row r="45" customFormat="false" ht="17.25" hidden="false" customHeight="true" outlineLevel="0" collapsed="false">
      <c r="B45" s="22" t="s">
        <v>929</v>
      </c>
      <c r="C45" s="40" t="n">
        <f aca="false">SUMPRODUCT((C42:F42-AVERAGE(C42:F42))^2)/4</f>
        <v>0.999999783783831</v>
      </c>
      <c r="D45" s="27" t="s">
        <v>930</v>
      </c>
      <c r="E45" s="27"/>
      <c r="F45" s="27"/>
      <c r="G45" s="27"/>
      <c r="H45" s="27"/>
      <c r="I45" s="27"/>
      <c r="J45" s="27"/>
      <c r="K45" s="27"/>
      <c r="L45" s="27"/>
      <c r="M45" s="27"/>
      <c r="N45" s="27"/>
    </row>
    <row r="47" customFormat="false" ht="21.75" hidden="false" customHeight="true" outlineLevel="0" collapsed="false">
      <c r="B47" s="4" t="s">
        <v>931</v>
      </c>
      <c r="C47" s="4"/>
      <c r="D47" s="4"/>
      <c r="E47" s="4"/>
      <c r="F47" s="4"/>
      <c r="G47" s="4"/>
      <c r="H47" s="4"/>
      <c r="I47" s="4"/>
      <c r="J47" s="4"/>
      <c r="K47" s="4"/>
      <c r="L47" s="4"/>
      <c r="M47" s="4"/>
      <c r="N47" s="4"/>
    </row>
    <row r="48" customFormat="false" ht="31.5" hidden="false" customHeight="true" outlineLevel="0" collapsed="false">
      <c r="B48" s="5" t="s">
        <v>932</v>
      </c>
      <c r="C48" s="5"/>
      <c r="D48" s="5"/>
      <c r="E48" s="5"/>
      <c r="F48" s="5"/>
      <c r="G48" s="5"/>
      <c r="H48" s="5"/>
      <c r="I48" s="5"/>
      <c r="J48" s="5"/>
      <c r="K48" s="5"/>
      <c r="L48" s="5"/>
      <c r="M48" s="5"/>
      <c r="N48" s="5"/>
    </row>
    <row r="49" customFormat="false" ht="17.25" hidden="false" customHeight="true" outlineLevel="0" collapsed="false">
      <c r="B49" s="20" t="s">
        <v>933</v>
      </c>
      <c r="C49" s="20"/>
      <c r="D49" s="20"/>
      <c r="E49" s="20"/>
      <c r="F49" s="20"/>
      <c r="H49" s="20" t="s">
        <v>934</v>
      </c>
      <c r="I49" s="20"/>
      <c r="J49" s="20"/>
      <c r="K49" s="20"/>
      <c r="L49" s="20"/>
      <c r="M49" s="20"/>
    </row>
    <row r="50" customFormat="false" ht="15" hidden="false" customHeight="false" outlineLevel="0" collapsed="false">
      <c r="B50" s="16"/>
      <c r="C50" s="21" t="s">
        <v>389</v>
      </c>
      <c r="D50" s="21" t="s">
        <v>390</v>
      </c>
      <c r="E50" s="21" t="s">
        <v>391</v>
      </c>
      <c r="F50" s="21" t="s">
        <v>392</v>
      </c>
      <c r="H50" s="16"/>
      <c r="I50" s="21" t="s">
        <v>389</v>
      </c>
      <c r="J50" s="21" t="s">
        <v>390</v>
      </c>
      <c r="K50" s="21" t="s">
        <v>391</v>
      </c>
      <c r="L50" s="21" t="s">
        <v>392</v>
      </c>
    </row>
    <row r="51" customFormat="false" ht="15" hidden="false" customHeight="false" outlineLevel="0" collapsed="false">
      <c r="B51" s="22" t="str">
        <f aca="false">'03 Embeddings'!$B$36</f>
        <v>the</v>
      </c>
      <c r="C51" s="68" t="n">
        <f aca="false">'04 Positional Enc'!$C$45</f>
        <v>1</v>
      </c>
      <c r="D51" s="68" t="n">
        <f aca="false">'04 Positional Enc'!$D$45</f>
        <v>0.6</v>
      </c>
      <c r="E51" s="68" t="n">
        <f aca="false">'04 Positional Enc'!$E$45</f>
        <v>0.2</v>
      </c>
      <c r="F51" s="68" t="n">
        <f aca="false">'04 Positional Enc'!$F$45</f>
        <v>1</v>
      </c>
      <c r="H51" s="22" t="str">
        <f aca="false">'03 Embeddings'!$B$36</f>
        <v>the</v>
      </c>
      <c r="I51" s="68" t="n">
        <f aca="false">'08 Multi-Head'!$C$102</f>
        <v>1.82876461768038</v>
      </c>
      <c r="J51" s="68" t="n">
        <f aca="false">'08 Multi-Head'!$D$102</f>
        <v>-0.015245547266494</v>
      </c>
      <c r="K51" s="68" t="n">
        <f aca="false">'08 Multi-Head'!$E$102</f>
        <v>0.397940118806063</v>
      </c>
      <c r="L51" s="68" t="n">
        <f aca="false">'08 Multi-Head'!$F$102</f>
        <v>1.37768625476489</v>
      </c>
    </row>
    <row r="52" customFormat="false" ht="15" hidden="false" customHeight="false" outlineLevel="0" collapsed="false">
      <c r="B52" s="22" t="str">
        <f aca="false">'03 Embeddings'!$B$37</f>
        <v>cat</v>
      </c>
      <c r="C52" s="68" t="n">
        <f aca="false">'04 Positional Enc'!$C$46</f>
        <v>0.241470984807897</v>
      </c>
      <c r="D52" s="68" t="n">
        <f aca="false">'04 Positional Enc'!$D$46</f>
        <v>2.14030230586814</v>
      </c>
      <c r="E52" s="68" t="n">
        <f aca="false">'04 Positional Enc'!$E$46</f>
        <v>0.809999833334167</v>
      </c>
      <c r="F52" s="68" t="n">
        <f aca="false">'04 Positional Enc'!$F$46</f>
        <v>0.799950000416665</v>
      </c>
      <c r="H52" s="22" t="str">
        <f aca="false">'03 Embeddings'!$B$37</f>
        <v>cat</v>
      </c>
      <c r="I52" s="68" t="n">
        <f aca="false">'08 Multi-Head'!$C$103</f>
        <v>1.02609271973804</v>
      </c>
      <c r="J52" s="68" t="n">
        <f aca="false">'08 Multi-Head'!$D$103</f>
        <v>1.68514105964817</v>
      </c>
      <c r="K52" s="68" t="n">
        <f aca="false">'08 Multi-Head'!$E$103</f>
        <v>1.10766184778131</v>
      </c>
      <c r="L52" s="68" t="n">
        <f aca="false">'08 Multi-Head'!$F$103</f>
        <v>1.01972213579152</v>
      </c>
    </row>
    <row r="53" customFormat="false" ht="15" hidden="false" customHeight="false" outlineLevel="0" collapsed="false">
      <c r="B53" s="22" t="str">
        <f aca="false">'03 Embeddings'!$B$38</f>
        <v>sat</v>
      </c>
      <c r="C53" s="68" t="n">
        <f aca="false">'04 Positional Enc'!$C$47</f>
        <v>1.30929742682568</v>
      </c>
      <c r="D53" s="68" t="n">
        <f aca="false">'04 Positional Enc'!$D$47</f>
        <v>-0.216146836547142</v>
      </c>
      <c r="E53" s="68" t="n">
        <f aca="false">'04 Positional Enc'!$E$47</f>
        <v>-1.18000133330667</v>
      </c>
      <c r="F53" s="68" t="n">
        <f aca="false">'04 Positional Enc'!$F$47</f>
        <v>1.99980000666658</v>
      </c>
      <c r="H53" s="22" t="str">
        <f aca="false">'03 Embeddings'!$B$38</f>
        <v>sat</v>
      </c>
      <c r="I53" s="68" t="n">
        <f aca="false">'08 Multi-Head'!$C$104</f>
        <v>1.91539987202156</v>
      </c>
      <c r="J53" s="68" t="n">
        <f aca="false">'08 Multi-Head'!$D$104</f>
        <v>-0.19156603756545</v>
      </c>
      <c r="K53" s="68" t="n">
        <f aca="false">'08 Multi-Head'!$E$104</f>
        <v>0.449970828639138</v>
      </c>
      <c r="L53" s="68" t="n">
        <f aca="false">'08 Multi-Head'!$F$104</f>
        <v>1.37756040393618</v>
      </c>
    </row>
    <row r="55" customFormat="false" ht="17.25" hidden="false" customHeight="true" outlineLevel="0" collapsed="false">
      <c r="B55" s="20" t="s">
        <v>915</v>
      </c>
      <c r="C55" s="20"/>
      <c r="D55" s="20"/>
      <c r="E55" s="20"/>
      <c r="F55" s="20"/>
    </row>
    <row r="56" customFormat="false" ht="15" hidden="false" customHeight="false" outlineLevel="0" collapsed="false">
      <c r="B56" s="16"/>
      <c r="C56" s="21" t="s">
        <v>389</v>
      </c>
      <c r="D56" s="21" t="s">
        <v>390</v>
      </c>
      <c r="E56" s="21" t="s">
        <v>391</v>
      </c>
      <c r="F56" s="21" t="s">
        <v>392</v>
      </c>
      <c r="G56" s="21" t="s">
        <v>918</v>
      </c>
      <c r="H56" s="21" t="s">
        <v>935</v>
      </c>
    </row>
    <row r="57" customFormat="false" ht="15" hidden="false" customHeight="false" outlineLevel="0" collapsed="false">
      <c r="B57" s="22" t="str">
        <f aca="false">'03 Embeddings'!$B$36</f>
        <v>the</v>
      </c>
      <c r="C57" s="39" t="n">
        <f aca="false">C51+I51</f>
        <v>2.82876461768038</v>
      </c>
      <c r="D57" s="39" t="n">
        <f aca="false">D51+J51</f>
        <v>0.584754452733506</v>
      </c>
      <c r="E57" s="39" t="n">
        <f aca="false">E51+K51</f>
        <v>0.597940118806063</v>
      </c>
      <c r="F57" s="39" t="n">
        <f aca="false">F51+L51</f>
        <v>2.37768625476489</v>
      </c>
      <c r="G57" s="31" t="n">
        <f aca="false">AVERAGE(C57:F57)</f>
        <v>1.59728636099621</v>
      </c>
      <c r="H57" s="31" t="n">
        <f aca="false">SQRT(SUMPRODUCT((C57:F57-G57)^2)/4+C28)</f>
        <v>1.01851368030942</v>
      </c>
    </row>
    <row r="58" customFormat="false" ht="15" hidden="false" customHeight="false" outlineLevel="0" collapsed="false">
      <c r="B58" s="22" t="str">
        <f aca="false">'03 Embeddings'!$B$37</f>
        <v>cat</v>
      </c>
      <c r="C58" s="39" t="n">
        <f aca="false">C52+I52</f>
        <v>1.26756370454593</v>
      </c>
      <c r="D58" s="39" t="n">
        <f aca="false">D52+J52</f>
        <v>3.82544336551631</v>
      </c>
      <c r="E58" s="39" t="n">
        <f aca="false">E52+K52</f>
        <v>1.91766168111548</v>
      </c>
      <c r="F58" s="39" t="n">
        <f aca="false">F52+L52</f>
        <v>1.81967213620818</v>
      </c>
      <c r="G58" s="31" t="n">
        <f aca="false">AVERAGE(C58:F58)</f>
        <v>2.20758522184648</v>
      </c>
      <c r="H58" s="31" t="n">
        <f aca="false">SQRT(SUMPRODUCT((C58:F58-G58)^2)/4+C28)</f>
        <v>0.96639040344809</v>
      </c>
    </row>
    <row r="59" customFormat="false" ht="15" hidden="false" customHeight="false" outlineLevel="0" collapsed="false">
      <c r="B59" s="22" t="str">
        <f aca="false">'03 Embeddings'!$B$38</f>
        <v>sat</v>
      </c>
      <c r="C59" s="39" t="n">
        <f aca="false">C53+I53</f>
        <v>3.22469729884724</v>
      </c>
      <c r="D59" s="39" t="n">
        <f aca="false">D53+J53</f>
        <v>-0.407712874112593</v>
      </c>
      <c r="E59" s="39" t="n">
        <f aca="false">E53+K53</f>
        <v>-0.730030504667529</v>
      </c>
      <c r="F59" s="39" t="n">
        <f aca="false">F53+L53</f>
        <v>3.37736041060276</v>
      </c>
      <c r="G59" s="31" t="n">
        <f aca="false">AVERAGE(C59:F59)</f>
        <v>1.36607858266747</v>
      </c>
      <c r="H59" s="31" t="n">
        <f aca="false">SQRT(SUMPRODUCT((C59:F59-G59)^2)/4+C28)</f>
        <v>1.93905463832706</v>
      </c>
    </row>
    <row r="61" customFormat="false" ht="17.25" hidden="false" customHeight="true" outlineLevel="0" collapsed="false">
      <c r="B61" s="20" t="s">
        <v>936</v>
      </c>
      <c r="C61" s="20"/>
      <c r="D61" s="20"/>
      <c r="E61" s="20"/>
      <c r="F61" s="20"/>
      <c r="G61" s="20"/>
      <c r="H61" s="20"/>
    </row>
    <row r="62" customFormat="false" ht="15" hidden="false" customHeight="false" outlineLevel="0" collapsed="false">
      <c r="B62" s="16"/>
      <c r="C62" s="21" t="s">
        <v>389</v>
      </c>
      <c r="D62" s="21" t="s">
        <v>390</v>
      </c>
      <c r="E62" s="21" t="s">
        <v>391</v>
      </c>
      <c r="F62" s="21" t="s">
        <v>392</v>
      </c>
    </row>
    <row r="63" customFormat="false" ht="15" hidden="false" customHeight="false" outlineLevel="0" collapsed="false">
      <c r="B63" s="22" t="str">
        <f aca="false">'03 Embeddings'!$B$36</f>
        <v>the</v>
      </c>
      <c r="C63" s="41" t="n">
        <f aca="false">(C57-G57)/H57</f>
        <v>1.20909348641253</v>
      </c>
      <c r="D63" s="41" t="n">
        <f aca="false">(D57-G57)/H57</f>
        <v>-0.994126959546684</v>
      </c>
      <c r="E63" s="41" t="n">
        <f aca="false">(E57-G57)/H57</f>
        <v>-0.981180971360692</v>
      </c>
      <c r="F63" s="41" t="n">
        <f aca="false">(F57-G57)/H57</f>
        <v>0.766214444494845</v>
      </c>
    </row>
    <row r="64" customFormat="false" ht="15" hidden="false" customHeight="false" outlineLevel="0" collapsed="false">
      <c r="B64" s="22" t="str">
        <f aca="false">'03 Embeddings'!$B$37</f>
        <v>cat</v>
      </c>
      <c r="C64" s="41" t="n">
        <f aca="false">(C58-G58)/H58</f>
        <v>-0.972714043875578</v>
      </c>
      <c r="D64" s="41" t="n">
        <f aca="false">(D58-G58)/H58</f>
        <v>1.67412480287191</v>
      </c>
      <c r="E64" s="41" t="n">
        <f aca="false">(E58-G58)/H58</f>
        <v>-0.300006642963911</v>
      </c>
      <c r="F64" s="41" t="n">
        <f aca="false">(F58-G58)/H58</f>
        <v>-0.401404116032419</v>
      </c>
    </row>
    <row r="65" customFormat="false" ht="15" hidden="false" customHeight="false" outlineLevel="0" collapsed="false">
      <c r="B65" s="22" t="str">
        <f aca="false">'03 Embeddings'!$B$38</f>
        <v>sat</v>
      </c>
      <c r="C65" s="41" t="n">
        <f aca="false">(C59-G59)/H59</f>
        <v>0.958517970274069</v>
      </c>
      <c r="D65" s="41" t="n">
        <f aca="false">(D59-G59)/H59</f>
        <v>-0.914771261066898</v>
      </c>
      <c r="E65" s="41" t="n">
        <f aca="false">(E59-G59)/H59</f>
        <v>-1.08099537058091</v>
      </c>
      <c r="F65" s="41" t="n">
        <f aca="false">(F59-G59)/H59</f>
        <v>1.03724866137374</v>
      </c>
    </row>
    <row r="67" customFormat="false" ht="15.75" hidden="false" customHeight="true" outlineLevel="0" collapsed="false">
      <c r="B67" s="10" t="s">
        <v>937</v>
      </c>
      <c r="C67" s="29" t="str">
        <f aca="false">"("&amp;IF(ROUND(C58,3)&lt;0,"("&amp;ROUND(C58,3)&amp;")",ROUND(C58,3)&amp;"")&amp;" − "&amp;IF(ROUND(G58,3)&lt;0,"("&amp;ROUND(G58,3)&amp;")",ROUND(G58,3)&amp;"")&amp;") ÷ "&amp;IF(ROUND(H58,3)&lt;0,"("&amp;ROUND(H58,3)&amp;")",ROUND(H58,3)&amp;"")&amp;" = "&amp;IF(ROUND(C64,3)&lt;0,"("&amp;ROUND(C64,3)&amp;")",ROUND(C64,3)&amp;"")</f>
        <v>(1.268 − 2.208) ÷ 0.966 = (-0.973)</v>
      </c>
      <c r="D67" s="29"/>
      <c r="E67" s="29"/>
      <c r="F67" s="29"/>
      <c r="G67" s="29"/>
      <c r="H67" s="29"/>
      <c r="I67" s="29"/>
      <c r="J67" s="29"/>
      <c r="K67" s="29"/>
      <c r="L67" s="29"/>
      <c r="M67" s="29"/>
      <c r="N67" s="29"/>
    </row>
    <row r="69" customFormat="false" ht="21.75" hidden="false" customHeight="true" outlineLevel="0" collapsed="false">
      <c r="B69" s="4" t="s">
        <v>938</v>
      </c>
      <c r="C69" s="4"/>
      <c r="D69" s="4"/>
      <c r="E69" s="4"/>
      <c r="F69" s="4"/>
      <c r="G69" s="4"/>
      <c r="H69" s="4"/>
      <c r="I69" s="4"/>
      <c r="J69" s="4"/>
      <c r="K69" s="4"/>
      <c r="L69" s="4"/>
      <c r="M69" s="4"/>
      <c r="N69" s="4"/>
    </row>
    <row r="70" customFormat="false" ht="46.5" hidden="false" customHeight="true" outlineLevel="0" collapsed="false">
      <c r="B70" s="5" t="s">
        <v>939</v>
      </c>
      <c r="C70" s="5"/>
      <c r="D70" s="5"/>
      <c r="E70" s="5"/>
      <c r="F70" s="5"/>
      <c r="G70" s="5"/>
      <c r="H70" s="5"/>
      <c r="I70" s="5"/>
      <c r="J70" s="5"/>
      <c r="K70" s="5"/>
      <c r="L70" s="5"/>
      <c r="M70" s="5"/>
      <c r="N70" s="5"/>
    </row>
    <row r="71" customFormat="false" ht="17.25" hidden="false" customHeight="true" outlineLevel="0" collapsed="false">
      <c r="B71" s="22" t="s">
        <v>940</v>
      </c>
      <c r="C71" s="30" t="n">
        <v>0.5</v>
      </c>
      <c r="D71" s="27" t="s">
        <v>941</v>
      </c>
      <c r="E71" s="27"/>
      <c r="F71" s="27"/>
      <c r="G71" s="27"/>
      <c r="H71" s="27"/>
      <c r="I71" s="27"/>
      <c r="J71" s="27"/>
      <c r="K71" s="27"/>
      <c r="L71" s="27"/>
      <c r="M71" s="27"/>
      <c r="N71" s="27"/>
    </row>
    <row r="72" customFormat="false" ht="17.25" hidden="false" customHeight="true" outlineLevel="0" collapsed="false">
      <c r="B72" s="11" t="s">
        <v>942</v>
      </c>
      <c r="C72" s="11"/>
      <c r="D72" s="11"/>
      <c r="E72" s="11" t="s">
        <v>943</v>
      </c>
      <c r="F72" s="11"/>
      <c r="G72" s="11"/>
      <c r="H72" s="11" t="s">
        <v>944</v>
      </c>
      <c r="I72" s="11"/>
      <c r="J72" s="11"/>
      <c r="K72" s="11" t="s">
        <v>135</v>
      </c>
      <c r="L72" s="11"/>
      <c r="M72" s="11"/>
      <c r="N72" s="11"/>
    </row>
    <row r="73" customFormat="false" ht="17.25" hidden="false" customHeight="true" outlineLevel="0" collapsed="false">
      <c r="B73" s="6" t="n">
        <v>1</v>
      </c>
      <c r="C73" s="6"/>
      <c r="D73" s="6"/>
      <c r="E73" s="73" t="n">
        <f aca="false">C71^B73</f>
        <v>0.5</v>
      </c>
      <c r="F73" s="73"/>
      <c r="G73" s="73"/>
      <c r="H73" s="7" t="n">
        <v>1</v>
      </c>
      <c r="I73" s="7"/>
      <c r="J73" s="7"/>
      <c r="K73" s="13" t="str">
        <f aca="false">IF(E73&lt;0.001,"plain stack: signal effectively gone",IF(E73&lt;0.1,"plain stack: weak","both fine"))</f>
        <v>both fine</v>
      </c>
      <c r="L73" s="13"/>
      <c r="M73" s="13"/>
      <c r="N73" s="13"/>
    </row>
    <row r="74" customFormat="false" ht="17.25" hidden="false" customHeight="true" outlineLevel="0" collapsed="false">
      <c r="B74" s="6" t="n">
        <v>2</v>
      </c>
      <c r="C74" s="6"/>
      <c r="D74" s="6"/>
      <c r="E74" s="75" t="n">
        <f aca="false">C71^B74</f>
        <v>0.25</v>
      </c>
      <c r="F74" s="75"/>
      <c r="G74" s="75"/>
      <c r="H74" s="89" t="n">
        <v>1</v>
      </c>
      <c r="I74" s="89"/>
      <c r="J74" s="89"/>
      <c r="K74" s="16" t="str">
        <f aca="false">IF(E74&lt;0.001,"plain stack: signal effectively gone",IF(E74&lt;0.1,"plain stack: weak","both fine"))</f>
        <v>both fine</v>
      </c>
      <c r="L74" s="16"/>
      <c r="M74" s="16"/>
      <c r="N74" s="16"/>
    </row>
    <row r="75" customFormat="false" ht="17.25" hidden="false" customHeight="true" outlineLevel="0" collapsed="false">
      <c r="B75" s="6" t="n">
        <v>6</v>
      </c>
      <c r="C75" s="6"/>
      <c r="D75" s="6"/>
      <c r="E75" s="73" t="n">
        <f aca="false">C71^B75</f>
        <v>0.015625</v>
      </c>
      <c r="F75" s="73"/>
      <c r="G75" s="73"/>
      <c r="H75" s="7" t="n">
        <v>1</v>
      </c>
      <c r="I75" s="7"/>
      <c r="J75" s="7"/>
      <c r="K75" s="13" t="str">
        <f aca="false">IF(E75&lt;0.001,"plain stack: signal effectively gone",IF(E75&lt;0.1,"plain stack: weak","both fine"))</f>
        <v>plain stack: weak</v>
      </c>
      <c r="L75" s="13"/>
      <c r="M75" s="13"/>
      <c r="N75" s="13"/>
    </row>
    <row r="76" customFormat="false" ht="17.25" hidden="false" customHeight="true" outlineLevel="0" collapsed="false">
      <c r="B76" s="6" t="n">
        <v>12</v>
      </c>
      <c r="C76" s="6"/>
      <c r="D76" s="6"/>
      <c r="E76" s="75" t="n">
        <f aca="false">C71^B76</f>
        <v>0.000244140625</v>
      </c>
      <c r="F76" s="75"/>
      <c r="G76" s="75"/>
      <c r="H76" s="89" t="n">
        <v>1</v>
      </c>
      <c r="I76" s="89"/>
      <c r="J76" s="89"/>
      <c r="K76" s="16" t="str">
        <f aca="false">IF(E76&lt;0.001,"plain stack: signal effectively gone",IF(E76&lt;0.1,"plain stack: weak","both fine"))</f>
        <v>plain stack: signal effectively gone</v>
      </c>
      <c r="L76" s="16"/>
      <c r="M76" s="16"/>
      <c r="N76" s="16"/>
    </row>
    <row r="77" customFormat="false" ht="17.25" hidden="false" customHeight="true" outlineLevel="0" collapsed="false">
      <c r="B77" s="6" t="n">
        <v>24</v>
      </c>
      <c r="C77" s="6"/>
      <c r="D77" s="6"/>
      <c r="E77" s="73" t="n">
        <f aca="false">C71^B77</f>
        <v>5.96046447753906E-008</v>
      </c>
      <c r="F77" s="73"/>
      <c r="G77" s="73"/>
      <c r="H77" s="7" t="n">
        <v>1</v>
      </c>
      <c r="I77" s="7"/>
      <c r="J77" s="7"/>
      <c r="K77" s="13" t="str">
        <f aca="false">IF(E77&lt;0.001,"plain stack: signal effectively gone",IF(E77&lt;0.1,"plain stack: weak","both fine"))</f>
        <v>plain stack: signal effectively gone</v>
      </c>
      <c r="L77" s="13"/>
      <c r="M77" s="13"/>
      <c r="N77" s="13"/>
    </row>
    <row r="78" customFormat="false" ht="31.5" hidden="false" customHeight="true" outlineLevel="0" collapsed="false">
      <c r="B78" s="18" t="s">
        <v>945</v>
      </c>
      <c r="C78" s="18"/>
      <c r="D78" s="18"/>
      <c r="E78" s="18"/>
      <c r="F78" s="18"/>
      <c r="G78" s="18"/>
      <c r="H78" s="18"/>
      <c r="I78" s="18"/>
      <c r="J78" s="18"/>
      <c r="K78" s="18"/>
      <c r="L78" s="18"/>
      <c r="M78" s="18"/>
      <c r="N78" s="18"/>
    </row>
    <row r="79" customFormat="false" ht="18.75" hidden="false" customHeight="true" outlineLevel="0" collapsed="false">
      <c r="B79" s="25" t="s">
        <v>279</v>
      </c>
      <c r="C79" s="25"/>
      <c r="D79" s="25"/>
      <c r="E79" s="25"/>
      <c r="F79" s="25"/>
      <c r="G79" s="25"/>
      <c r="H79" s="25"/>
      <c r="I79" s="25"/>
      <c r="J79" s="25"/>
      <c r="K79" s="25"/>
      <c r="L79" s="25"/>
      <c r="M79" s="25"/>
      <c r="N79" s="25"/>
    </row>
    <row r="80" customFormat="false" ht="17.25" hidden="false" customHeight="true" outlineLevel="0" collapsed="false">
      <c r="B80" s="43" t="s">
        <v>946</v>
      </c>
      <c r="C80" s="43"/>
      <c r="D80" s="43"/>
      <c r="E80" s="43"/>
      <c r="F80" s="43"/>
      <c r="G80" s="43"/>
      <c r="H80" s="43"/>
      <c r="I80" s="43"/>
      <c r="J80" s="43"/>
      <c r="K80" s="43"/>
      <c r="L80" s="43"/>
      <c r="M80" s="43"/>
      <c r="N80" s="43"/>
    </row>
    <row r="81" customFormat="false" ht="17.25" hidden="false" customHeight="true" outlineLevel="0" collapsed="false">
      <c r="B81" s="44" t="s">
        <v>947</v>
      </c>
      <c r="C81" s="44"/>
      <c r="D81" s="44"/>
      <c r="E81" s="44"/>
      <c r="F81" s="44"/>
      <c r="G81" s="44"/>
      <c r="H81" s="44"/>
      <c r="I81" s="44"/>
      <c r="J81" s="44"/>
      <c r="K81" s="44"/>
      <c r="L81" s="44"/>
      <c r="M81" s="44"/>
      <c r="N81" s="44"/>
    </row>
    <row r="82" customFormat="false" ht="17.25" hidden="false" customHeight="true" outlineLevel="0" collapsed="false">
      <c r="B82" s="43" t="s">
        <v>948</v>
      </c>
      <c r="C82" s="43"/>
      <c r="D82" s="43"/>
      <c r="E82" s="43"/>
      <c r="F82" s="43"/>
      <c r="G82" s="43"/>
      <c r="H82" s="43"/>
      <c r="I82" s="43"/>
      <c r="J82" s="43"/>
      <c r="K82" s="43"/>
      <c r="L82" s="43"/>
      <c r="M82" s="43"/>
      <c r="N82" s="43"/>
    </row>
    <row r="83" customFormat="false" ht="17.25" hidden="false" customHeight="true" outlineLevel="0" collapsed="false">
      <c r="B83" s="44" t="s">
        <v>949</v>
      </c>
      <c r="C83" s="44"/>
      <c r="D83" s="44"/>
      <c r="E83" s="44"/>
      <c r="F83" s="44"/>
      <c r="G83" s="44"/>
      <c r="H83" s="44"/>
      <c r="I83" s="44"/>
      <c r="J83" s="44"/>
      <c r="K83" s="44"/>
      <c r="L83" s="44"/>
      <c r="M83" s="44"/>
      <c r="N83" s="44"/>
    </row>
  </sheetData>
  <mergeCells count="73">
    <mergeCell ref="B1:N1"/>
    <mergeCell ref="B2:N2"/>
    <mergeCell ref="B4:N4"/>
    <mergeCell ref="B5:N5"/>
    <mergeCell ref="B6:N6"/>
    <mergeCell ref="B7:N7"/>
    <mergeCell ref="B8:N8"/>
    <mergeCell ref="C9:K9"/>
    <mergeCell ref="L9:N9"/>
    <mergeCell ref="C10:K10"/>
    <mergeCell ref="L10:N10"/>
    <mergeCell ref="C11:K11"/>
    <mergeCell ref="L11:N11"/>
    <mergeCell ref="C12:K12"/>
    <mergeCell ref="L12:N12"/>
    <mergeCell ref="C13:K13"/>
    <mergeCell ref="L13:N13"/>
    <mergeCell ref="B14:N14"/>
    <mergeCell ref="B15:F15"/>
    <mergeCell ref="B18:F18"/>
    <mergeCell ref="C21:N21"/>
    <mergeCell ref="B22:F22"/>
    <mergeCell ref="C25:N25"/>
    <mergeCell ref="D27:N27"/>
    <mergeCell ref="D28:N28"/>
    <mergeCell ref="C30:N30"/>
    <mergeCell ref="B31:F31"/>
    <mergeCell ref="B34:F34"/>
    <mergeCell ref="B37:F37"/>
    <mergeCell ref="B40:F40"/>
    <mergeCell ref="C43:N43"/>
    <mergeCell ref="D44:N44"/>
    <mergeCell ref="D45:N45"/>
    <mergeCell ref="B47:N47"/>
    <mergeCell ref="B48:N48"/>
    <mergeCell ref="B49:F49"/>
    <mergeCell ref="H49:M49"/>
    <mergeCell ref="B55:F55"/>
    <mergeCell ref="B61:H61"/>
    <mergeCell ref="C67:N67"/>
    <mergeCell ref="B69:N69"/>
    <mergeCell ref="B70:N70"/>
    <mergeCell ref="D71:N71"/>
    <mergeCell ref="B72:D72"/>
    <mergeCell ref="E72:G72"/>
    <mergeCell ref="H72:J72"/>
    <mergeCell ref="K72:N72"/>
    <mergeCell ref="B73:D73"/>
    <mergeCell ref="E73:G73"/>
    <mergeCell ref="H73:J73"/>
    <mergeCell ref="K73:N73"/>
    <mergeCell ref="B74:D74"/>
    <mergeCell ref="E74:G74"/>
    <mergeCell ref="H74:J74"/>
    <mergeCell ref="K74:N74"/>
    <mergeCell ref="B75:D75"/>
    <mergeCell ref="E75:G75"/>
    <mergeCell ref="H75:J75"/>
    <mergeCell ref="K75:N75"/>
    <mergeCell ref="B76:D76"/>
    <mergeCell ref="E76:G76"/>
    <mergeCell ref="H76:J76"/>
    <mergeCell ref="K76:N76"/>
    <mergeCell ref="B77:D77"/>
    <mergeCell ref="E77:G77"/>
    <mergeCell ref="H77:J77"/>
    <mergeCell ref="K77:N77"/>
    <mergeCell ref="B78:N78"/>
    <mergeCell ref="B79:N79"/>
    <mergeCell ref="B80:N80"/>
    <mergeCell ref="B81:N81"/>
    <mergeCell ref="B82:N82"/>
    <mergeCell ref="B83:N8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C9C9"/>
    <pageSetUpPr fitToPage="true"/>
  </sheetPr>
  <dimension ref="B1:N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950</v>
      </c>
      <c r="C1" s="1"/>
      <c r="D1" s="1"/>
      <c r="E1" s="1"/>
      <c r="F1" s="1"/>
      <c r="G1" s="1"/>
      <c r="H1" s="1"/>
      <c r="I1" s="1"/>
      <c r="J1" s="1"/>
      <c r="K1" s="1"/>
      <c r="L1" s="1"/>
      <c r="M1" s="1"/>
      <c r="N1" s="1"/>
    </row>
    <row r="2" customFormat="false" ht="17.25" hidden="false" customHeight="true" outlineLevel="0" collapsed="false">
      <c r="B2" s="2" t="s">
        <v>951</v>
      </c>
      <c r="C2" s="2"/>
      <c r="D2" s="2"/>
      <c r="E2" s="2"/>
      <c r="F2" s="2"/>
      <c r="G2" s="2"/>
      <c r="H2" s="2"/>
      <c r="I2" s="2"/>
      <c r="J2" s="2"/>
      <c r="K2" s="2"/>
      <c r="L2" s="2"/>
      <c r="M2" s="2"/>
      <c r="N2" s="2"/>
    </row>
    <row r="4" customFormat="false" ht="20.25" hidden="false" customHeight="true" outlineLevel="0" collapsed="false">
      <c r="B4" s="24" t="s">
        <v>952</v>
      </c>
      <c r="C4" s="24"/>
      <c r="D4" s="24"/>
      <c r="E4" s="24"/>
      <c r="F4" s="24"/>
      <c r="G4" s="24"/>
      <c r="H4" s="24"/>
      <c r="I4" s="24"/>
      <c r="J4" s="24"/>
      <c r="K4" s="24"/>
      <c r="L4" s="24"/>
      <c r="M4" s="24"/>
      <c r="N4" s="24"/>
    </row>
    <row r="5" customFormat="false" ht="34.5" hidden="false" customHeight="true" outlineLevel="0" collapsed="false">
      <c r="B5" s="3" t="s">
        <v>953</v>
      </c>
      <c r="C5" s="3"/>
      <c r="D5" s="3"/>
      <c r="E5" s="3"/>
      <c r="F5" s="3"/>
      <c r="G5" s="3"/>
      <c r="H5" s="3"/>
      <c r="I5" s="3"/>
      <c r="J5" s="3"/>
      <c r="K5" s="3"/>
      <c r="L5" s="3"/>
      <c r="M5" s="3"/>
      <c r="N5" s="3"/>
    </row>
    <row r="6" customFormat="false" ht="17.25" hidden="false" customHeight="true" outlineLevel="0" collapsed="false">
      <c r="B6" s="45" t="s">
        <v>954</v>
      </c>
      <c r="C6" s="45"/>
      <c r="D6" s="45"/>
      <c r="E6" s="45"/>
      <c r="F6" s="45"/>
      <c r="G6" s="45"/>
      <c r="H6" s="45"/>
      <c r="I6" s="45"/>
      <c r="J6" s="45"/>
      <c r="K6" s="45"/>
      <c r="L6" s="45"/>
      <c r="M6" s="45"/>
      <c r="N6" s="45"/>
    </row>
    <row r="7" customFormat="false" ht="17.25" hidden="false" customHeight="true" outlineLevel="0" collapsed="false">
      <c r="B7" s="11" t="s">
        <v>374</v>
      </c>
      <c r="C7" s="11" t="s">
        <v>375</v>
      </c>
      <c r="D7" s="11"/>
      <c r="E7" s="11"/>
      <c r="F7" s="11"/>
      <c r="G7" s="11"/>
      <c r="H7" s="11"/>
      <c r="I7" s="11"/>
      <c r="J7" s="11"/>
      <c r="K7" s="11"/>
      <c r="L7" s="11" t="s">
        <v>376</v>
      </c>
      <c r="M7" s="11"/>
      <c r="N7" s="11"/>
    </row>
    <row r="8" customFormat="false" ht="17.25" hidden="false" customHeight="true" outlineLevel="0" collapsed="false">
      <c r="B8" s="55" t="s">
        <v>190</v>
      </c>
      <c r="C8" s="13" t="s">
        <v>955</v>
      </c>
      <c r="D8" s="13"/>
      <c r="E8" s="13"/>
      <c r="F8" s="13"/>
      <c r="G8" s="13"/>
      <c r="H8" s="13"/>
      <c r="I8" s="13"/>
      <c r="J8" s="13"/>
      <c r="K8" s="13"/>
      <c r="L8" s="13" t="s">
        <v>956</v>
      </c>
      <c r="M8" s="13"/>
      <c r="N8" s="13"/>
    </row>
    <row r="9" customFormat="false" ht="17.25" hidden="false" customHeight="true" outlineLevel="0" collapsed="false">
      <c r="B9" s="10" t="s">
        <v>957</v>
      </c>
      <c r="C9" s="16" t="s">
        <v>958</v>
      </c>
      <c r="D9" s="16"/>
      <c r="E9" s="16"/>
      <c r="F9" s="16"/>
      <c r="G9" s="16"/>
      <c r="H9" s="16"/>
      <c r="I9" s="16"/>
      <c r="J9" s="16"/>
      <c r="K9" s="16"/>
      <c r="L9" s="16" t="s">
        <v>959</v>
      </c>
      <c r="M9" s="16"/>
      <c r="N9" s="16"/>
    </row>
    <row r="10" customFormat="false" ht="17.25" hidden="false" customHeight="true" outlineLevel="0" collapsed="false">
      <c r="B10" s="55" t="s">
        <v>960</v>
      </c>
      <c r="C10" s="13" t="s">
        <v>961</v>
      </c>
      <c r="D10" s="13"/>
      <c r="E10" s="13"/>
      <c r="F10" s="13"/>
      <c r="G10" s="13"/>
      <c r="H10" s="13"/>
      <c r="I10" s="13"/>
      <c r="J10" s="13"/>
      <c r="K10" s="13"/>
      <c r="L10" s="13" t="s">
        <v>86</v>
      </c>
      <c r="M10" s="13"/>
      <c r="N10" s="13"/>
    </row>
    <row r="11" customFormat="false" ht="17.25" hidden="false" customHeight="true" outlineLevel="0" collapsed="false">
      <c r="B11" s="10" t="s">
        <v>962</v>
      </c>
      <c r="C11" s="16" t="s">
        <v>963</v>
      </c>
      <c r="D11" s="16"/>
      <c r="E11" s="16"/>
      <c r="F11" s="16"/>
      <c r="G11" s="16"/>
      <c r="H11" s="16"/>
      <c r="I11" s="16"/>
      <c r="J11" s="16"/>
      <c r="K11" s="16"/>
      <c r="L11" s="16" t="s">
        <v>964</v>
      </c>
      <c r="M11" s="16"/>
      <c r="N11" s="16"/>
    </row>
    <row r="12" customFormat="false" ht="17.25" hidden="false" customHeight="true" outlineLevel="0" collapsed="false">
      <c r="B12" s="55" t="s">
        <v>965</v>
      </c>
      <c r="C12" s="13" t="s">
        <v>966</v>
      </c>
      <c r="D12" s="13"/>
      <c r="E12" s="13"/>
      <c r="F12" s="13"/>
      <c r="G12" s="13"/>
      <c r="H12" s="13"/>
      <c r="I12" s="13"/>
      <c r="J12" s="13"/>
      <c r="K12" s="13"/>
      <c r="L12" s="13" t="s">
        <v>86</v>
      </c>
      <c r="M12" s="13"/>
      <c r="N12" s="13"/>
    </row>
    <row r="13" customFormat="false" ht="21.75" hidden="false" customHeight="true" outlineLevel="0" collapsed="false">
      <c r="B13" s="4" t="s">
        <v>967</v>
      </c>
      <c r="C13" s="4"/>
      <c r="D13" s="4"/>
      <c r="E13" s="4"/>
      <c r="F13" s="4"/>
      <c r="G13" s="4"/>
      <c r="H13" s="4"/>
      <c r="I13" s="4"/>
      <c r="J13" s="4"/>
      <c r="K13" s="4"/>
      <c r="L13" s="4"/>
      <c r="M13" s="4"/>
      <c r="N13" s="4"/>
    </row>
    <row r="14" customFormat="false" ht="17.25" hidden="false" customHeight="true" outlineLevel="0" collapsed="false">
      <c r="B14" s="20" t="s">
        <v>190</v>
      </c>
      <c r="C14" s="20"/>
      <c r="D14" s="20"/>
    </row>
    <row r="15" customFormat="false" ht="15" hidden="false" customHeight="false" outlineLevel="0" collapsed="false">
      <c r="B15" s="16"/>
      <c r="C15" s="21" t="s">
        <v>234</v>
      </c>
      <c r="D15" s="21" t="s">
        <v>235</v>
      </c>
    </row>
    <row r="16" customFormat="false" ht="15" hidden="false" customHeight="false" outlineLevel="0" collapsed="false">
      <c r="B16" s="22"/>
      <c r="C16" s="35" t="n">
        <v>1</v>
      </c>
      <c r="D16" s="35" t="n">
        <v>2</v>
      </c>
    </row>
    <row r="18" customFormat="false" ht="17.25" hidden="false" customHeight="true" outlineLevel="0" collapsed="false">
      <c r="B18" s="20" t="s">
        <v>968</v>
      </c>
      <c r="C18" s="20"/>
      <c r="D18" s="20"/>
      <c r="E18" s="20"/>
      <c r="F18" s="20"/>
    </row>
    <row r="19" customFormat="false" ht="15" hidden="false" customHeight="false" outlineLevel="0" collapsed="false">
      <c r="B19" s="16"/>
      <c r="C19" s="21" t="s">
        <v>969</v>
      </c>
      <c r="D19" s="21" t="s">
        <v>970</v>
      </c>
      <c r="E19" s="21" t="s">
        <v>971</v>
      </c>
      <c r="F19" s="21" t="s">
        <v>972</v>
      </c>
    </row>
    <row r="20" customFormat="false" ht="15" hidden="false" customHeight="false" outlineLevel="0" collapsed="false">
      <c r="B20" s="22" t="s">
        <v>234</v>
      </c>
      <c r="C20" s="35" t="n">
        <v>1</v>
      </c>
      <c r="D20" s="35" t="n">
        <v>-1</v>
      </c>
      <c r="E20" s="35" t="n">
        <v>0.5</v>
      </c>
      <c r="F20" s="35" t="n">
        <v>2</v>
      </c>
    </row>
    <row r="21" customFormat="false" ht="15" hidden="false" customHeight="false" outlineLevel="0" collapsed="false">
      <c r="B21" s="22" t="s">
        <v>235</v>
      </c>
      <c r="C21" s="35" t="n">
        <v>0</v>
      </c>
      <c r="D21" s="35" t="n">
        <v>1</v>
      </c>
      <c r="E21" s="35" t="n">
        <v>-1</v>
      </c>
      <c r="F21" s="35" t="n">
        <v>-0.5</v>
      </c>
    </row>
    <row r="23" customFormat="false" ht="17.25" hidden="false" customHeight="true" outlineLevel="0" collapsed="false">
      <c r="B23" s="20" t="s">
        <v>973</v>
      </c>
      <c r="C23" s="20"/>
      <c r="D23" s="20"/>
      <c r="E23" s="20"/>
      <c r="F23" s="20"/>
    </row>
    <row r="24" customFormat="false" ht="15" hidden="false" customHeight="false" outlineLevel="0" collapsed="false">
      <c r="B24" s="16"/>
      <c r="C24" s="21" t="s">
        <v>969</v>
      </c>
      <c r="D24" s="21" t="s">
        <v>970</v>
      </c>
      <c r="E24" s="21" t="s">
        <v>971</v>
      </c>
      <c r="F24" s="21" t="s">
        <v>972</v>
      </c>
    </row>
    <row r="25" customFormat="false" ht="15" hidden="false" customHeight="false" outlineLevel="0" collapsed="false">
      <c r="B25" s="22"/>
      <c r="C25" s="35" t="n">
        <v>0</v>
      </c>
      <c r="D25" s="35" t="n">
        <v>0.5</v>
      </c>
      <c r="E25" s="35" t="n">
        <v>0</v>
      </c>
      <c r="F25" s="35" t="n">
        <v>-1</v>
      </c>
    </row>
    <row r="27" customFormat="false" ht="17.25" hidden="false" customHeight="true" outlineLevel="0" collapsed="false">
      <c r="B27" s="76" t="s">
        <v>540</v>
      </c>
      <c r="C27" s="5" t="s">
        <v>974</v>
      </c>
      <c r="D27" s="5"/>
      <c r="E27" s="5"/>
      <c r="F27" s="5"/>
      <c r="G27" s="5"/>
      <c r="H27" s="5"/>
      <c r="I27" s="5"/>
      <c r="J27" s="5"/>
      <c r="K27" s="5"/>
      <c r="L27" s="5"/>
      <c r="M27" s="5"/>
      <c r="N27" s="5"/>
    </row>
    <row r="28" customFormat="false" ht="17.25" hidden="false" customHeight="true" outlineLevel="0" collapsed="false">
      <c r="B28" s="20" t="s">
        <v>975</v>
      </c>
      <c r="C28" s="20"/>
      <c r="D28" s="20"/>
      <c r="E28" s="20"/>
      <c r="F28" s="20"/>
    </row>
    <row r="29" customFormat="false" ht="15" hidden="false" customHeight="false" outlineLevel="0" collapsed="false">
      <c r="B29" s="16"/>
      <c r="C29" s="21" t="s">
        <v>969</v>
      </c>
      <c r="D29" s="21" t="s">
        <v>970</v>
      </c>
      <c r="E29" s="21" t="s">
        <v>971</v>
      </c>
      <c r="F29" s="21" t="s">
        <v>972</v>
      </c>
    </row>
    <row r="30" customFormat="false" ht="15" hidden="false" customHeight="false" outlineLevel="0" collapsed="false">
      <c r="B30" s="22"/>
      <c r="C30" s="39" t="n">
        <f aca="false">C16*C20+D16*C21+C25</f>
        <v>1</v>
      </c>
      <c r="D30" s="39" t="n">
        <f aca="false">C16*D20+D16*D21+D25</f>
        <v>1.5</v>
      </c>
      <c r="E30" s="39" t="n">
        <f aca="false">C16*E20+D16*E21+E25</f>
        <v>-1.5</v>
      </c>
      <c r="F30" s="39" t="n">
        <f aca="false">C16*F20+D16*F21+F25</f>
        <v>0</v>
      </c>
    </row>
    <row r="31" customFormat="false" ht="15.75" hidden="false" customHeight="true" outlineLevel="0" collapsed="false">
      <c r="B31" s="10" t="s">
        <v>969</v>
      </c>
      <c r="C31" s="29" t="str">
        <f aca="false">IF(ROUND(C16,3)&lt;0,"("&amp;ROUND(C16,3)&amp;")",ROUND(C16,3)&amp;"")&amp;"×"&amp;IF(ROUND(C20,3)&lt;0,"("&amp;ROUND(C20,3)&amp;")",ROUND(C20,3)&amp;"")&amp;" + "&amp;IF(ROUND(D16,3)&lt;0,"("&amp;ROUND(D16,3)&amp;")",ROUND(D16,3)&amp;"")&amp;"×"&amp;IF(ROUND(C21,3)&lt;0,"("&amp;ROUND(C21,3)&amp;")",ROUND(C21,3)&amp;"")&amp;" + b₁ "&amp;IF(ROUND(C25,3)&lt;0,"("&amp;ROUND(C25,3)&amp;")",ROUND(C25,3)&amp;"")&amp;"  =  "&amp;IF(ROUND(C30,3)&lt;0,"("&amp;ROUND(C30,3)&amp;")",ROUND(C30,3)&amp;"")</f>
        <v>1×1 + 2×0 + b₁ 0  =  1</v>
      </c>
      <c r="D31" s="29"/>
      <c r="E31" s="29"/>
      <c r="F31" s="29"/>
      <c r="G31" s="29"/>
      <c r="H31" s="29"/>
      <c r="I31" s="29"/>
      <c r="J31" s="29"/>
      <c r="K31" s="29"/>
      <c r="L31" s="29"/>
      <c r="M31" s="29"/>
      <c r="N31" s="29"/>
    </row>
    <row r="32" customFormat="false" ht="15.75" hidden="false" customHeight="true" outlineLevel="0" collapsed="false">
      <c r="B32" s="10" t="s">
        <v>970</v>
      </c>
      <c r="C32" s="29" t="str">
        <f aca="false">IF(ROUND(C16,3)&lt;0,"("&amp;ROUND(C16,3)&amp;")",ROUND(C16,3)&amp;"")&amp;"×"&amp;IF(ROUND(D20,3)&lt;0,"("&amp;ROUND(D20,3)&amp;")",ROUND(D20,3)&amp;"")&amp;" + "&amp;IF(ROUND(D16,3)&lt;0,"("&amp;ROUND(D16,3)&amp;")",ROUND(D16,3)&amp;"")&amp;"×"&amp;IF(ROUND(D21,3)&lt;0,"("&amp;ROUND(D21,3)&amp;")",ROUND(D21,3)&amp;"")&amp;" + b₁ "&amp;IF(ROUND(D25,3)&lt;0,"("&amp;ROUND(D25,3)&amp;")",ROUND(D25,3)&amp;"")&amp;"  =  "&amp;IF(ROUND(D30,3)&lt;0,"("&amp;ROUND(D30,3)&amp;")",ROUND(D30,3)&amp;"")</f>
        <v>1×(-1) + 2×1 + b₁ 0.5  =  1.5</v>
      </c>
      <c r="D32" s="29"/>
      <c r="E32" s="29"/>
      <c r="F32" s="29"/>
      <c r="G32" s="29"/>
      <c r="H32" s="29"/>
      <c r="I32" s="29"/>
      <c r="J32" s="29"/>
      <c r="K32" s="29"/>
      <c r="L32" s="29"/>
      <c r="M32" s="29"/>
      <c r="N32" s="29"/>
    </row>
    <row r="33" customFormat="false" ht="15.75" hidden="false" customHeight="true" outlineLevel="0" collapsed="false">
      <c r="B33" s="10" t="s">
        <v>971</v>
      </c>
      <c r="C33" s="29" t="str">
        <f aca="false">IF(ROUND(C16,3)&lt;0,"("&amp;ROUND(C16,3)&amp;")",ROUND(C16,3)&amp;"")&amp;"×"&amp;IF(ROUND(E20,3)&lt;0,"("&amp;ROUND(E20,3)&amp;")",ROUND(E20,3)&amp;"")&amp;" + "&amp;IF(ROUND(D16,3)&lt;0,"("&amp;ROUND(D16,3)&amp;")",ROUND(D16,3)&amp;"")&amp;"×"&amp;IF(ROUND(E21,3)&lt;0,"("&amp;ROUND(E21,3)&amp;")",ROUND(E21,3)&amp;"")&amp;" + b₁ "&amp;IF(ROUND(E25,3)&lt;0,"("&amp;ROUND(E25,3)&amp;")",ROUND(E25,3)&amp;"")&amp;"  =  "&amp;IF(ROUND(E30,3)&lt;0,"("&amp;ROUND(E30,3)&amp;")",ROUND(E30,3)&amp;"")</f>
        <v>1×0.5 + 2×(-1) + b₁ 0  =  (-1.5)</v>
      </c>
      <c r="D33" s="29"/>
      <c r="E33" s="29"/>
      <c r="F33" s="29"/>
      <c r="G33" s="29"/>
      <c r="H33" s="29"/>
      <c r="I33" s="29"/>
      <c r="J33" s="29"/>
      <c r="K33" s="29"/>
      <c r="L33" s="29"/>
      <c r="M33" s="29"/>
      <c r="N33" s="29"/>
    </row>
    <row r="34" customFormat="false" ht="15.75" hidden="false" customHeight="true" outlineLevel="0" collapsed="false">
      <c r="B34" s="10" t="s">
        <v>972</v>
      </c>
      <c r="C34" s="29" t="str">
        <f aca="false">IF(ROUND(C16,3)&lt;0,"("&amp;ROUND(C16,3)&amp;")",ROUND(C16,3)&amp;"")&amp;"×"&amp;IF(ROUND(F20,3)&lt;0,"("&amp;ROUND(F20,3)&amp;")",ROUND(F20,3)&amp;"")&amp;" + "&amp;IF(ROUND(D16,3)&lt;0,"("&amp;ROUND(D16,3)&amp;")",ROUND(D16,3)&amp;"")&amp;"×"&amp;IF(ROUND(F21,3)&lt;0,"("&amp;ROUND(F21,3)&amp;")",ROUND(F21,3)&amp;"")&amp;" + b₁ "&amp;IF(ROUND(F25,3)&lt;0,"("&amp;ROUND(F25,3)&amp;")",ROUND(F25,3)&amp;"")&amp;"  =  "&amp;IF(ROUND(F30,3)&lt;0,"("&amp;ROUND(F30,3)&amp;")",ROUND(F30,3)&amp;"")</f>
        <v>1×2 + 2×(-0.5) + b₁ (-1)  =  0</v>
      </c>
      <c r="D34" s="29"/>
      <c r="E34" s="29"/>
      <c r="F34" s="29"/>
      <c r="G34" s="29"/>
      <c r="H34" s="29"/>
      <c r="I34" s="29"/>
      <c r="J34" s="29"/>
      <c r="K34" s="29"/>
      <c r="L34" s="29"/>
      <c r="M34" s="29"/>
      <c r="N34" s="29"/>
    </row>
    <row r="35" customFormat="false" ht="17.25" hidden="false" customHeight="true" outlineLevel="0" collapsed="false">
      <c r="B35" s="76" t="s">
        <v>543</v>
      </c>
      <c r="C35" s="5" t="s">
        <v>976</v>
      </c>
      <c r="D35" s="5"/>
      <c r="E35" s="5"/>
      <c r="F35" s="5"/>
      <c r="G35" s="5"/>
      <c r="H35" s="5"/>
      <c r="I35" s="5"/>
      <c r="J35" s="5"/>
      <c r="K35" s="5"/>
      <c r="L35" s="5"/>
      <c r="M35" s="5"/>
      <c r="N35" s="5"/>
    </row>
    <row r="36" customFormat="false" ht="17.25" hidden="false" customHeight="true" outlineLevel="0" collapsed="false">
      <c r="B36" s="20" t="s">
        <v>977</v>
      </c>
      <c r="C36" s="20"/>
      <c r="D36" s="20"/>
      <c r="E36" s="20"/>
      <c r="F36" s="20"/>
    </row>
    <row r="37" customFormat="false" ht="15" hidden="false" customHeight="false" outlineLevel="0" collapsed="false">
      <c r="B37" s="16"/>
      <c r="C37" s="21" t="s">
        <v>969</v>
      </c>
      <c r="D37" s="21" t="s">
        <v>970</v>
      </c>
      <c r="E37" s="21" t="s">
        <v>971</v>
      </c>
      <c r="F37" s="21" t="s">
        <v>972</v>
      </c>
    </row>
    <row r="38" customFormat="false" ht="15" hidden="false" customHeight="false" outlineLevel="0" collapsed="false">
      <c r="B38" s="22"/>
      <c r="C38" s="39" t="n">
        <f aca="false">MAX(0,C30)</f>
        <v>1</v>
      </c>
      <c r="D38" s="39" t="n">
        <f aca="false">MAX(0,D30)</f>
        <v>1.5</v>
      </c>
      <c r="E38" s="39" t="n">
        <f aca="false">MAX(0,E30)</f>
        <v>0</v>
      </c>
      <c r="F38" s="39" t="n">
        <f aca="false">MAX(0,F30)</f>
        <v>0</v>
      </c>
    </row>
    <row r="39" customFormat="false" ht="17.25" hidden="false" customHeight="true" outlineLevel="0" collapsed="false">
      <c r="B39" s="76" t="s">
        <v>550</v>
      </c>
      <c r="C39" s="5" t="s">
        <v>978</v>
      </c>
      <c r="D39" s="5"/>
      <c r="E39" s="5"/>
      <c r="F39" s="5"/>
      <c r="G39" s="5"/>
      <c r="H39" s="5"/>
      <c r="I39" s="5"/>
      <c r="J39" s="5"/>
      <c r="K39" s="5"/>
      <c r="L39" s="5"/>
      <c r="M39" s="5"/>
      <c r="N39" s="5"/>
    </row>
    <row r="40" customFormat="false" ht="17.25" hidden="false" customHeight="true" outlineLevel="0" collapsed="false">
      <c r="B40" s="20" t="s">
        <v>979</v>
      </c>
      <c r="C40" s="20"/>
      <c r="D40" s="20"/>
      <c r="F40" s="20" t="s">
        <v>980</v>
      </c>
      <c r="G40" s="20"/>
      <c r="H40" s="20"/>
    </row>
    <row r="41" customFormat="false" ht="15" hidden="false" customHeight="false" outlineLevel="0" collapsed="false">
      <c r="B41" s="16"/>
      <c r="C41" s="21" t="s">
        <v>981</v>
      </c>
      <c r="D41" s="21" t="s">
        <v>982</v>
      </c>
      <c r="F41" s="16"/>
      <c r="G41" s="21" t="s">
        <v>981</v>
      </c>
      <c r="H41" s="21" t="s">
        <v>982</v>
      </c>
    </row>
    <row r="42" customFormat="false" ht="15" hidden="false" customHeight="false" outlineLevel="0" collapsed="false">
      <c r="B42" s="22" t="s">
        <v>969</v>
      </c>
      <c r="C42" s="35" t="n">
        <v>1</v>
      </c>
      <c r="D42" s="35" t="n">
        <v>0</v>
      </c>
      <c r="F42" s="22"/>
      <c r="G42" s="35" t="n">
        <v>0.1</v>
      </c>
      <c r="H42" s="35" t="n">
        <v>-0.1</v>
      </c>
    </row>
    <row r="43" customFormat="false" ht="15" hidden="false" customHeight="false" outlineLevel="0" collapsed="false">
      <c r="B43" s="22" t="s">
        <v>970</v>
      </c>
      <c r="C43" s="35" t="n">
        <v>0</v>
      </c>
      <c r="D43" s="35" t="n">
        <v>1</v>
      </c>
    </row>
    <row r="44" customFormat="false" ht="15" hidden="false" customHeight="false" outlineLevel="0" collapsed="false">
      <c r="B44" s="22" t="s">
        <v>971</v>
      </c>
      <c r="C44" s="35" t="n">
        <v>3</v>
      </c>
      <c r="D44" s="35" t="n">
        <v>3</v>
      </c>
    </row>
    <row r="45" customFormat="false" ht="15" hidden="false" customHeight="false" outlineLevel="0" collapsed="false">
      <c r="B45" s="22" t="s">
        <v>972</v>
      </c>
      <c r="C45" s="35" t="n">
        <v>-1</v>
      </c>
      <c r="D45" s="35" t="n">
        <v>2</v>
      </c>
    </row>
    <row r="47" customFormat="false" ht="17.25" hidden="false" customHeight="true" outlineLevel="0" collapsed="false">
      <c r="B47" s="20" t="s">
        <v>983</v>
      </c>
      <c r="C47" s="20"/>
      <c r="D47" s="20"/>
    </row>
    <row r="48" customFormat="false" ht="15" hidden="false" customHeight="false" outlineLevel="0" collapsed="false">
      <c r="B48" s="16"/>
      <c r="C48" s="21" t="s">
        <v>981</v>
      </c>
      <c r="D48" s="21" t="s">
        <v>982</v>
      </c>
    </row>
    <row r="49" customFormat="false" ht="15" hidden="false" customHeight="false" outlineLevel="0" collapsed="false">
      <c r="B49" s="22"/>
      <c r="C49" s="41" t="n">
        <f aca="false">C38*C42+D38*C43+E38*C44+F38*C45+G42</f>
        <v>1.1</v>
      </c>
      <c r="D49" s="41" t="n">
        <f aca="false">C38*D42+D38*D43+E38*D44+F38*D45+H42</f>
        <v>1.4</v>
      </c>
    </row>
    <row r="50" customFormat="false" ht="15.75" hidden="false" customHeight="true" outlineLevel="0" collapsed="false">
      <c r="B50" s="10" t="s">
        <v>981</v>
      </c>
      <c r="C50" s="29" t="str">
        <f aca="false">IF(ROUND(C38,3)&lt;0,"("&amp;ROUND(C38,3)&amp;")",ROUND(C38,3)&amp;"")&amp;"×"&amp;IF(ROUND(C42,3)&lt;0,"("&amp;ROUND(C42,3)&amp;")",ROUND(C42,3)&amp;"")&amp;" + "&amp;IF(ROUND(D38,3)&lt;0,"("&amp;ROUND(D38,3)&amp;")",ROUND(D38,3)&amp;"")&amp;"×"&amp;IF(ROUND(C43,3)&lt;0,"("&amp;ROUND(C43,3)&amp;")",ROUND(C43,3)&amp;"")&amp;" + "&amp;IF(ROUND(E38,3)&lt;0,"("&amp;ROUND(E38,3)&amp;")",ROUND(E38,3)&amp;"")&amp;"×"&amp;IF(ROUND(C44,3)&lt;0,"("&amp;ROUND(C44,3)&amp;")",ROUND(C44,3)&amp;"")&amp;" + "&amp;IF(ROUND(F38,3)&lt;0,"("&amp;ROUND(F38,3)&amp;")",ROUND(F38,3)&amp;"")&amp;"×"&amp;IF(ROUND(C45,3)&lt;0,"("&amp;ROUND(C45,3)&amp;")",ROUND(C45,3)&amp;"")&amp;" + b₂ "&amp;IF(ROUND(G42,3)&lt;0,"("&amp;ROUND(G42,3)&amp;")",ROUND(G42,3)&amp;"")&amp;"  =  "&amp;IF(ROUND(C49,3)&lt;0,"("&amp;ROUND(C49,3)&amp;")",ROUND(C49,3)&amp;"")</f>
        <v>1×1 + 1.5×0 + 0×3 + 0×(-1) + b₂ 0.1  =  1.1</v>
      </c>
      <c r="D50" s="29"/>
      <c r="E50" s="29"/>
      <c r="F50" s="29"/>
      <c r="G50" s="29"/>
      <c r="H50" s="29"/>
      <c r="I50" s="29"/>
      <c r="J50" s="29"/>
      <c r="K50" s="29"/>
      <c r="L50" s="29"/>
      <c r="M50" s="29"/>
      <c r="N50" s="29"/>
    </row>
    <row r="51" customFormat="false" ht="15.75" hidden="false" customHeight="true" outlineLevel="0" collapsed="false">
      <c r="B51" s="10" t="s">
        <v>982</v>
      </c>
      <c r="C51" s="29" t="str">
        <f aca="false">IF(ROUND(C38,3)&lt;0,"("&amp;ROUND(C38,3)&amp;")",ROUND(C38,3)&amp;"")&amp;"×"&amp;IF(ROUND(D42,3)&lt;0,"("&amp;ROUND(D42,3)&amp;")",ROUND(D42,3)&amp;"")&amp;" + "&amp;IF(ROUND(D38,3)&lt;0,"("&amp;ROUND(D38,3)&amp;")",ROUND(D38,3)&amp;"")&amp;"×"&amp;IF(ROUND(D43,3)&lt;0,"("&amp;ROUND(D43,3)&amp;")",ROUND(D43,3)&amp;"")&amp;" + "&amp;IF(ROUND(E38,3)&lt;0,"("&amp;ROUND(E38,3)&amp;")",ROUND(E38,3)&amp;"")&amp;"×"&amp;IF(ROUND(D44,3)&lt;0,"("&amp;ROUND(D44,3)&amp;")",ROUND(D44,3)&amp;"")&amp;" + "&amp;IF(ROUND(F38,3)&lt;0,"("&amp;ROUND(F38,3)&amp;")",ROUND(F38,3)&amp;"")&amp;"×"&amp;IF(ROUND(D45,3)&lt;0,"("&amp;ROUND(D45,3)&amp;")",ROUND(D45,3)&amp;"")&amp;" + b₂ "&amp;IF(ROUND(H42,3)&lt;0,"("&amp;ROUND(H42,3)&amp;")",ROUND(H42,3)&amp;"")&amp;"  =  "&amp;IF(ROUND(D49,3)&lt;0,"("&amp;ROUND(D49,3)&amp;")",ROUND(D49,3)&amp;"")</f>
        <v>1×0 + 1.5×1 + 0×3 + 0×2 + b₂ (-0.1)  =  1.4</v>
      </c>
      <c r="D51" s="29"/>
      <c r="E51" s="29"/>
      <c r="F51" s="29"/>
      <c r="G51" s="29"/>
      <c r="H51" s="29"/>
      <c r="I51" s="29"/>
      <c r="J51" s="29"/>
      <c r="K51" s="29"/>
      <c r="L51" s="29"/>
      <c r="M51" s="29"/>
      <c r="N51" s="29"/>
    </row>
    <row r="52" customFormat="false" ht="31.5" hidden="false" customHeight="true" outlineLevel="0" collapsed="false">
      <c r="B52" s="5" t="s">
        <v>984</v>
      </c>
      <c r="C52" s="5"/>
      <c r="D52" s="5"/>
      <c r="E52" s="5"/>
      <c r="F52" s="5"/>
      <c r="G52" s="5"/>
      <c r="H52" s="5"/>
      <c r="I52" s="5"/>
      <c r="J52" s="5"/>
      <c r="K52" s="5"/>
      <c r="L52" s="5"/>
      <c r="M52" s="5"/>
      <c r="N52" s="5"/>
    </row>
    <row r="54" customFormat="false" ht="21.75" hidden="false" customHeight="true" outlineLevel="0" collapsed="false">
      <c r="B54" s="4" t="s">
        <v>985</v>
      </c>
      <c r="C54" s="4"/>
      <c r="D54" s="4"/>
      <c r="E54" s="4"/>
      <c r="F54" s="4"/>
      <c r="G54" s="4"/>
      <c r="H54" s="4"/>
      <c r="I54" s="4"/>
      <c r="J54" s="4"/>
      <c r="K54" s="4"/>
      <c r="L54" s="4"/>
      <c r="M54" s="4"/>
      <c r="N54" s="4"/>
    </row>
    <row r="55" customFormat="false" ht="31.5" hidden="false" customHeight="true" outlineLevel="0" collapsed="false">
      <c r="B55" s="5" t="s">
        <v>986</v>
      </c>
      <c r="C55" s="5"/>
      <c r="D55" s="5"/>
      <c r="E55" s="5"/>
      <c r="F55" s="5"/>
      <c r="G55" s="5"/>
      <c r="H55" s="5"/>
      <c r="I55" s="5"/>
      <c r="J55" s="5"/>
      <c r="K55" s="5"/>
      <c r="L55" s="5"/>
      <c r="M55" s="5"/>
      <c r="N55" s="5"/>
    </row>
    <row r="56" customFormat="false" ht="17.25" hidden="false" customHeight="true" outlineLevel="0" collapsed="false">
      <c r="B56" s="20" t="s">
        <v>987</v>
      </c>
      <c r="C56" s="20"/>
      <c r="D56" s="20"/>
      <c r="E56" s="20"/>
      <c r="F56" s="20"/>
    </row>
    <row r="57" customFormat="false" ht="15" hidden="false" customHeight="false" outlineLevel="0" collapsed="false">
      <c r="B57" s="16"/>
      <c r="C57" s="21" t="s">
        <v>389</v>
      </c>
      <c r="D57" s="21" t="s">
        <v>390</v>
      </c>
      <c r="E57" s="21" t="s">
        <v>391</v>
      </c>
      <c r="F57" s="21" t="s">
        <v>392</v>
      </c>
    </row>
    <row r="58" customFormat="false" ht="15" hidden="false" customHeight="false" outlineLevel="0" collapsed="false">
      <c r="B58" s="22" t="str">
        <f aca="false">'03 Embeddings'!$B$36</f>
        <v>the</v>
      </c>
      <c r="C58" s="68" t="n">
        <f aca="false">'10 Add and Norm'!$C$63</f>
        <v>1.20909348641253</v>
      </c>
      <c r="D58" s="68" t="n">
        <f aca="false">'10 Add and Norm'!$D$63</f>
        <v>-0.994126959546684</v>
      </c>
      <c r="E58" s="68" t="n">
        <f aca="false">'10 Add and Norm'!$E$63</f>
        <v>-0.981180971360692</v>
      </c>
      <c r="F58" s="68" t="n">
        <f aca="false">'10 Add and Norm'!$F$63</f>
        <v>0.766214444494845</v>
      </c>
    </row>
    <row r="59" customFormat="false" ht="15" hidden="false" customHeight="false" outlineLevel="0" collapsed="false">
      <c r="B59" s="22" t="str">
        <f aca="false">'03 Embeddings'!$B$37</f>
        <v>cat</v>
      </c>
      <c r="C59" s="68" t="n">
        <f aca="false">'10 Add and Norm'!$C$64</f>
        <v>-0.972714043875578</v>
      </c>
      <c r="D59" s="68" t="n">
        <f aca="false">'10 Add and Norm'!$D$64</f>
        <v>1.67412480287191</v>
      </c>
      <c r="E59" s="68" t="n">
        <f aca="false">'10 Add and Norm'!$E$64</f>
        <v>-0.300006642963911</v>
      </c>
      <c r="F59" s="68" t="n">
        <f aca="false">'10 Add and Norm'!$F$64</f>
        <v>-0.401404116032419</v>
      </c>
    </row>
    <row r="60" customFormat="false" ht="15" hidden="false" customHeight="false" outlineLevel="0" collapsed="false">
      <c r="B60" s="22" t="str">
        <f aca="false">'03 Embeddings'!$B$38</f>
        <v>sat</v>
      </c>
      <c r="C60" s="68" t="n">
        <f aca="false">'10 Add and Norm'!$C$65</f>
        <v>0.958517970274069</v>
      </c>
      <c r="D60" s="68" t="n">
        <f aca="false">'10 Add and Norm'!$D$65</f>
        <v>-0.914771261066898</v>
      </c>
      <c r="E60" s="68" t="n">
        <f aca="false">'10 Add and Norm'!$E$65</f>
        <v>-1.08099537058091</v>
      </c>
      <c r="F60" s="68" t="n">
        <f aca="false">'10 Add and Norm'!$F$65</f>
        <v>1.03724866137374</v>
      </c>
    </row>
    <row r="62" customFormat="false" ht="17.25" hidden="false" customHeight="true" outlineLevel="0" collapsed="false">
      <c r="B62" s="20" t="s">
        <v>988</v>
      </c>
      <c r="C62" s="20"/>
      <c r="D62" s="20"/>
      <c r="E62" s="20"/>
      <c r="F62" s="20"/>
      <c r="G62" s="20"/>
      <c r="H62" s="20"/>
      <c r="I62" s="20"/>
      <c r="J62" s="20"/>
    </row>
    <row r="63" customFormat="false" ht="15" hidden="false" customHeight="false" outlineLevel="0" collapsed="false">
      <c r="B63" s="16"/>
      <c r="C63" s="21" t="s">
        <v>969</v>
      </c>
      <c r="D63" s="21" t="s">
        <v>970</v>
      </c>
      <c r="E63" s="21" t="s">
        <v>971</v>
      </c>
      <c r="F63" s="21" t="s">
        <v>972</v>
      </c>
      <c r="G63" s="21" t="s">
        <v>989</v>
      </c>
      <c r="H63" s="21" t="s">
        <v>990</v>
      </c>
      <c r="I63" s="21" t="s">
        <v>991</v>
      </c>
      <c r="J63" s="21" t="s">
        <v>992</v>
      </c>
    </row>
    <row r="64" customFormat="false" ht="15" hidden="false" customHeight="false" outlineLevel="0" collapsed="false">
      <c r="B64" s="22" t="s">
        <v>389</v>
      </c>
      <c r="C64" s="35" t="n">
        <v>0.5</v>
      </c>
      <c r="D64" s="35" t="n">
        <v>-0.5</v>
      </c>
      <c r="E64" s="35" t="n">
        <v>1</v>
      </c>
      <c r="F64" s="35" t="n">
        <v>0</v>
      </c>
      <c r="G64" s="35" t="n">
        <v>0.5</v>
      </c>
      <c r="H64" s="35" t="n">
        <v>-1</v>
      </c>
      <c r="I64" s="35" t="n">
        <v>0</v>
      </c>
      <c r="J64" s="35" t="n">
        <v>0.5</v>
      </c>
    </row>
    <row r="65" customFormat="false" ht="15" hidden="false" customHeight="false" outlineLevel="0" collapsed="false">
      <c r="B65" s="22" t="s">
        <v>390</v>
      </c>
      <c r="C65" s="35" t="n">
        <v>1</v>
      </c>
      <c r="D65" s="35" t="n">
        <v>0.5</v>
      </c>
      <c r="E65" s="35" t="n">
        <v>0</v>
      </c>
      <c r="F65" s="35" t="n">
        <v>-0.5</v>
      </c>
      <c r="G65" s="35" t="n">
        <v>0</v>
      </c>
      <c r="H65" s="35" t="n">
        <v>0.5</v>
      </c>
      <c r="I65" s="35" t="n">
        <v>-1</v>
      </c>
      <c r="J65" s="35" t="n">
        <v>0</v>
      </c>
    </row>
    <row r="66" customFormat="false" ht="15" hidden="false" customHeight="false" outlineLevel="0" collapsed="false">
      <c r="B66" s="22" t="s">
        <v>391</v>
      </c>
      <c r="C66" s="35" t="n">
        <v>0</v>
      </c>
      <c r="D66" s="35" t="n">
        <v>1</v>
      </c>
      <c r="E66" s="35" t="n">
        <v>-0.5</v>
      </c>
      <c r="F66" s="35" t="n">
        <v>1</v>
      </c>
      <c r="G66" s="35" t="n">
        <v>-0.5</v>
      </c>
      <c r="H66" s="35" t="n">
        <v>0</v>
      </c>
      <c r="I66" s="35" t="n">
        <v>0.5</v>
      </c>
      <c r="J66" s="35" t="n">
        <v>1</v>
      </c>
    </row>
    <row r="67" customFormat="false" ht="15" hidden="false" customHeight="false" outlineLevel="0" collapsed="false">
      <c r="B67" s="22" t="s">
        <v>392</v>
      </c>
      <c r="C67" s="35" t="n">
        <v>-0.5</v>
      </c>
      <c r="D67" s="35" t="n">
        <v>0</v>
      </c>
      <c r="E67" s="35" t="n">
        <v>0.5</v>
      </c>
      <c r="F67" s="35" t="n">
        <v>0.5</v>
      </c>
      <c r="G67" s="35" t="n">
        <v>1</v>
      </c>
      <c r="H67" s="35" t="n">
        <v>0</v>
      </c>
      <c r="I67" s="35" t="n">
        <v>0.5</v>
      </c>
      <c r="J67" s="35" t="n">
        <v>-0.5</v>
      </c>
    </row>
    <row r="68" customFormat="false" ht="17.25" hidden="false" customHeight="true" outlineLevel="0" collapsed="false">
      <c r="B68" s="20" t="s">
        <v>993</v>
      </c>
      <c r="C68" s="20"/>
      <c r="D68" s="20"/>
      <c r="E68" s="20"/>
      <c r="F68" s="20"/>
      <c r="G68" s="20"/>
      <c r="H68" s="20"/>
      <c r="I68" s="20"/>
      <c r="J68" s="20"/>
    </row>
    <row r="69" customFormat="false" ht="15" hidden="false" customHeight="false" outlineLevel="0" collapsed="false">
      <c r="B69" s="16"/>
      <c r="C69" s="21" t="s">
        <v>969</v>
      </c>
      <c r="D69" s="21" t="s">
        <v>970</v>
      </c>
      <c r="E69" s="21" t="s">
        <v>971</v>
      </c>
      <c r="F69" s="21" t="s">
        <v>972</v>
      </c>
      <c r="G69" s="21" t="s">
        <v>989</v>
      </c>
      <c r="H69" s="21" t="s">
        <v>990</v>
      </c>
      <c r="I69" s="21" t="s">
        <v>991</v>
      </c>
      <c r="J69" s="21" t="s">
        <v>992</v>
      </c>
    </row>
    <row r="70" customFormat="false" ht="15" hidden="false" customHeight="false" outlineLevel="0" collapsed="false">
      <c r="B70" s="22"/>
      <c r="C70" s="35" t="n">
        <v>0</v>
      </c>
      <c r="D70" s="35" t="n">
        <v>0.1</v>
      </c>
      <c r="E70" s="35" t="n">
        <v>0</v>
      </c>
      <c r="F70" s="35" t="n">
        <v>-0.1</v>
      </c>
      <c r="G70" s="35" t="n">
        <v>0</v>
      </c>
      <c r="H70" s="35" t="n">
        <v>0.1</v>
      </c>
      <c r="I70" s="35" t="n">
        <v>0</v>
      </c>
      <c r="J70" s="35" t="n">
        <v>0</v>
      </c>
    </row>
    <row r="71" customFormat="false" ht="17.25" hidden="false" customHeight="true" outlineLevel="0" collapsed="false">
      <c r="B71" s="20" t="s">
        <v>994</v>
      </c>
      <c r="C71" s="20"/>
      <c r="D71" s="20"/>
      <c r="E71" s="20"/>
      <c r="F71" s="20"/>
      <c r="G71" s="20"/>
      <c r="H71" s="20"/>
    </row>
    <row r="72" customFormat="false" ht="15" hidden="false" customHeight="false" outlineLevel="0" collapsed="false">
      <c r="B72" s="16"/>
      <c r="C72" s="21" t="s">
        <v>969</v>
      </c>
      <c r="D72" s="21" t="s">
        <v>970</v>
      </c>
      <c r="E72" s="21" t="s">
        <v>971</v>
      </c>
      <c r="F72" s="21" t="s">
        <v>972</v>
      </c>
      <c r="G72" s="21" t="s">
        <v>989</v>
      </c>
      <c r="H72" s="21" t="s">
        <v>990</v>
      </c>
      <c r="I72" s="21" t="s">
        <v>991</v>
      </c>
      <c r="J72" s="21" t="s">
        <v>992</v>
      </c>
    </row>
    <row r="73" customFormat="false" ht="15" hidden="false" customHeight="false" outlineLevel="0" collapsed="false">
      <c r="B73" s="22" t="str">
        <f aca="false">'03 Embeddings'!$B$36</f>
        <v>the</v>
      </c>
      <c r="C73" s="39" t="n">
        <f aca="false">MAX(0,C58*C64+D58*C65+E58*C66+F58*C67+C70)</f>
        <v>0</v>
      </c>
      <c r="D73" s="39" t="n">
        <f aca="false">MAX(0,C58*D64+D58*D65+E58*D66+F58*D67+D70)</f>
        <v>0</v>
      </c>
      <c r="E73" s="39" t="n">
        <f aca="false">MAX(0,C58*E64+D58*E65+E58*E66+F58*E67+E70)</f>
        <v>2.0827911943403</v>
      </c>
      <c r="F73" s="39" t="n">
        <f aca="false">MAX(0,C58*F64+D58*F65+E58*F66+F58*F67+F70)</f>
        <v>0</v>
      </c>
      <c r="G73" s="39" t="n">
        <f aca="false">MAX(0,C58*G64+D58*G65+E58*G66+F58*G67+G70)</f>
        <v>1.86135167338146</v>
      </c>
      <c r="H73" s="39" t="n">
        <f aca="false">MAX(0,C58*H64+D58*H65+E58*H66+F58*H67+H70)</f>
        <v>0</v>
      </c>
      <c r="I73" s="39" t="n">
        <f aca="false">MAX(0,C58*I64+D58*I65+E58*I66+F58*I67+I70)</f>
        <v>0.886643696113761</v>
      </c>
      <c r="J73" s="39" t="n">
        <f aca="false">MAX(0,C58*J64+D58*J65+E58*J66+F58*J67+J70)</f>
        <v>0</v>
      </c>
    </row>
    <row r="74" customFormat="false" ht="15" hidden="false" customHeight="false" outlineLevel="0" collapsed="false">
      <c r="B74" s="22" t="str">
        <f aca="false">'03 Embeddings'!$B$37</f>
        <v>cat</v>
      </c>
      <c r="C74" s="39" t="n">
        <f aca="false">MAX(0,C59*C64+D59*C65+E59*C66+F59*C67+C70)</f>
        <v>1.38846983895033</v>
      </c>
      <c r="D74" s="39" t="n">
        <f aca="false">MAX(0,C59*D64+D59*D65+E59*D66+F59*D67+D70)</f>
        <v>1.12341278040983</v>
      </c>
      <c r="E74" s="39" t="n">
        <f aca="false">MAX(0,C59*E64+D59*E65+E59*E66+F59*E67+E70)</f>
        <v>0</v>
      </c>
      <c r="F74" s="39" t="n">
        <f aca="false">MAX(0,C59*F64+D59*F65+E59*F66+F59*F67+F70)</f>
        <v>0</v>
      </c>
      <c r="G74" s="39" t="n">
        <f aca="false">MAX(0,C59*G64+D59*G65+E59*G66+F59*G67+G70)</f>
        <v>0</v>
      </c>
      <c r="H74" s="39" t="n">
        <f aca="false">MAX(0,C59*H64+D59*H65+E59*H66+F59*H67+H70)</f>
        <v>1.90977644531153</v>
      </c>
      <c r="I74" s="39" t="n">
        <f aca="false">MAX(0,C59*I64+D59*I65+E59*I66+F59*I67+I70)</f>
        <v>0</v>
      </c>
      <c r="J74" s="39" t="n">
        <f aca="false">MAX(0,C59*J64+D59*J65+E59*J66+F59*J67+J70)</f>
        <v>0</v>
      </c>
    </row>
    <row r="75" customFormat="false" ht="15" hidden="false" customHeight="false" outlineLevel="0" collapsed="false">
      <c r="B75" s="22" t="str">
        <f aca="false">'03 Embeddings'!$B$38</f>
        <v>sat</v>
      </c>
      <c r="C75" s="39" t="n">
        <f aca="false">MAX(0,C60*C64+D60*C65+E60*C66+F60*C67+C70)</f>
        <v>0</v>
      </c>
      <c r="D75" s="39" t="n">
        <f aca="false">MAX(0,C60*D64+D60*D65+E60*D66+F60*D67+D70)</f>
        <v>0</v>
      </c>
      <c r="E75" s="39" t="n">
        <f aca="false">MAX(0,C60*E64+D60*E65+E60*E66+F60*E67+E70)</f>
        <v>2.0176399862514</v>
      </c>
      <c r="F75" s="39" t="n">
        <f aca="false">MAX(0,C60*F64+D60*F65+E60*F66+F60*F67+F70)</f>
        <v>0</v>
      </c>
      <c r="G75" s="39" t="n">
        <f aca="false">MAX(0,C60*G64+D60*G65+E60*G66+F60*G67+G70)</f>
        <v>2.05700533180123</v>
      </c>
      <c r="H75" s="39" t="n">
        <f aca="false">MAX(0,C60*H64+D60*H65+E60*H66+F60*H67+H70)</f>
        <v>0</v>
      </c>
      <c r="I75" s="39" t="n">
        <f aca="false">MAX(0,C60*I64+D60*I65+E60*I66+F60*I67+I70)</f>
        <v>0.892897906463312</v>
      </c>
      <c r="J75" s="39" t="n">
        <f aca="false">MAX(0,C60*J64+D60*J65+E60*J66+F60*J67+J70)</f>
        <v>0</v>
      </c>
    </row>
    <row r="77" customFormat="false" ht="15.75" hidden="false" customHeight="true" outlineLevel="0" collapsed="false">
      <c r="B77" s="10" t="s">
        <v>995</v>
      </c>
      <c r="C77" s="29" t="str">
        <f aca="false">"max(0, "&amp;IF(ROUND(C59,3)&lt;0,"("&amp;ROUND(C59,3)&amp;")",ROUND(C59,3)&amp;"")&amp;"×"&amp;IF(ROUND(C64,3)&lt;0,"("&amp;ROUND(C64,3)&amp;")",ROUND(C64,3)&amp;"")&amp;" + "&amp;IF(ROUND(D59,3)&lt;0,"("&amp;ROUND(D59,3)&amp;")",ROUND(D59,3)&amp;"")&amp;"×"&amp;IF(ROUND(C65,3)&lt;0,"("&amp;ROUND(C65,3)&amp;")",ROUND(C65,3)&amp;"")&amp;" + "&amp;IF(ROUND(E59,3)&lt;0,"("&amp;ROUND(E59,3)&amp;")",ROUND(E59,3)&amp;"")&amp;"×"&amp;IF(ROUND(C66,3)&lt;0,"("&amp;ROUND(C66,3)&amp;")",ROUND(C66,3)&amp;"")&amp;" + "&amp;IF(ROUND(F59,3)&lt;0,"("&amp;ROUND(F59,3)&amp;")",ROUND(F59,3)&amp;"")&amp;"×"&amp;IF(ROUND(C67,3)&lt;0,"("&amp;ROUND(C67,3)&amp;")",ROUND(C67,3)&amp;"")&amp;" + "&amp;IF(ROUND(C70,3)&lt;0,"("&amp;ROUND(C70,3)&amp;")",ROUND(C70,3)&amp;"")&amp;")  =  "&amp;IF(ROUND(C74,3)&lt;0,"("&amp;ROUND(C74,3)&amp;")",ROUND(C74,3)&amp;"")</f>
        <v>max(0, (-0.973)×0.5 + 1.674×1 + (-0.3)×0 + (-0.401)×(-0.5) + 0)  =  1.388</v>
      </c>
      <c r="D77" s="29"/>
      <c r="E77" s="29"/>
      <c r="F77" s="29"/>
      <c r="G77" s="29"/>
      <c r="H77" s="29"/>
      <c r="I77" s="29"/>
      <c r="J77" s="29"/>
      <c r="K77" s="29"/>
      <c r="L77" s="29"/>
      <c r="M77" s="29"/>
      <c r="N77" s="29"/>
    </row>
    <row r="78" customFormat="false" ht="17.25" hidden="false" customHeight="true" outlineLevel="0" collapsed="false">
      <c r="B78" s="20" t="s">
        <v>996</v>
      </c>
      <c r="C78" s="20"/>
      <c r="D78" s="20"/>
      <c r="E78" s="20"/>
      <c r="F78" s="20"/>
      <c r="H78" s="20" t="s">
        <v>997</v>
      </c>
      <c r="I78" s="20"/>
      <c r="J78" s="20"/>
      <c r="K78" s="20"/>
      <c r="L78" s="20"/>
    </row>
    <row r="79" customFormat="false" ht="15" hidden="false" customHeight="false" outlineLevel="0" collapsed="false">
      <c r="B79" s="16"/>
      <c r="C79" s="21" t="s">
        <v>389</v>
      </c>
      <c r="D79" s="21" t="s">
        <v>390</v>
      </c>
      <c r="E79" s="21" t="s">
        <v>391</v>
      </c>
      <c r="F79" s="21" t="s">
        <v>392</v>
      </c>
      <c r="H79" s="16"/>
      <c r="I79" s="21" t="s">
        <v>389</v>
      </c>
      <c r="J79" s="21" t="s">
        <v>390</v>
      </c>
      <c r="K79" s="21" t="s">
        <v>391</v>
      </c>
      <c r="L79" s="21" t="s">
        <v>392</v>
      </c>
    </row>
    <row r="80" customFormat="false" ht="15" hidden="false" customHeight="false" outlineLevel="0" collapsed="false">
      <c r="B80" s="22" t="s">
        <v>969</v>
      </c>
      <c r="C80" s="35" t="n">
        <v>0.5</v>
      </c>
      <c r="D80" s="35" t="n">
        <v>0</v>
      </c>
      <c r="E80" s="35" t="n">
        <v>0</v>
      </c>
      <c r="F80" s="35" t="n">
        <v>0.5</v>
      </c>
      <c r="H80" s="22"/>
      <c r="I80" s="35" t="n">
        <v>0</v>
      </c>
      <c r="J80" s="35" t="n">
        <v>0</v>
      </c>
      <c r="K80" s="35" t="n">
        <v>0</v>
      </c>
      <c r="L80" s="35" t="n">
        <v>0</v>
      </c>
    </row>
    <row r="81" customFormat="false" ht="15" hidden="false" customHeight="false" outlineLevel="0" collapsed="false">
      <c r="B81" s="22" t="s">
        <v>970</v>
      </c>
      <c r="C81" s="35" t="n">
        <v>0</v>
      </c>
      <c r="D81" s="35" t="n">
        <v>0.5</v>
      </c>
      <c r="E81" s="35" t="n">
        <v>0.5</v>
      </c>
      <c r="F81" s="35" t="n">
        <v>0</v>
      </c>
    </row>
    <row r="82" customFormat="false" ht="15" hidden="false" customHeight="false" outlineLevel="0" collapsed="false">
      <c r="B82" s="22" t="s">
        <v>971</v>
      </c>
      <c r="C82" s="35" t="n">
        <v>0.5</v>
      </c>
      <c r="D82" s="35" t="n">
        <v>0.5</v>
      </c>
      <c r="E82" s="35" t="n">
        <v>0</v>
      </c>
      <c r="F82" s="35" t="n">
        <v>0</v>
      </c>
    </row>
    <row r="83" customFormat="false" ht="15" hidden="false" customHeight="false" outlineLevel="0" collapsed="false">
      <c r="B83" s="22" t="s">
        <v>972</v>
      </c>
      <c r="C83" s="35" t="n">
        <v>0</v>
      </c>
      <c r="D83" s="35" t="n">
        <v>0</v>
      </c>
      <c r="E83" s="35" t="n">
        <v>0.5</v>
      </c>
      <c r="F83" s="35" t="n">
        <v>0.5</v>
      </c>
    </row>
    <row r="84" customFormat="false" ht="15" hidden="false" customHeight="false" outlineLevel="0" collapsed="false">
      <c r="B84" s="22" t="s">
        <v>989</v>
      </c>
      <c r="C84" s="35" t="n">
        <v>0.5</v>
      </c>
      <c r="D84" s="35" t="n">
        <v>0</v>
      </c>
      <c r="E84" s="35" t="n">
        <v>0.5</v>
      </c>
      <c r="F84" s="35" t="n">
        <v>0</v>
      </c>
    </row>
    <row r="85" customFormat="false" ht="15" hidden="false" customHeight="false" outlineLevel="0" collapsed="false">
      <c r="B85" s="22" t="s">
        <v>990</v>
      </c>
      <c r="C85" s="35" t="n">
        <v>0</v>
      </c>
      <c r="D85" s="35" t="n">
        <v>0.5</v>
      </c>
      <c r="E85" s="35" t="n">
        <v>0</v>
      </c>
      <c r="F85" s="35" t="n">
        <v>0.5</v>
      </c>
    </row>
    <row r="86" customFormat="false" ht="15" hidden="false" customHeight="false" outlineLevel="0" collapsed="false">
      <c r="B86" s="22" t="s">
        <v>991</v>
      </c>
      <c r="C86" s="35" t="n">
        <v>-0.5</v>
      </c>
      <c r="D86" s="35" t="n">
        <v>0</v>
      </c>
      <c r="E86" s="35" t="n">
        <v>0</v>
      </c>
      <c r="F86" s="35" t="n">
        <v>0.5</v>
      </c>
    </row>
    <row r="87" customFormat="false" ht="15" hidden="false" customHeight="false" outlineLevel="0" collapsed="false">
      <c r="B87" s="22" t="s">
        <v>992</v>
      </c>
      <c r="C87" s="35" t="n">
        <v>0</v>
      </c>
      <c r="D87" s="35" t="n">
        <v>-0.5</v>
      </c>
      <c r="E87" s="35" t="n">
        <v>0.5</v>
      </c>
      <c r="F87" s="35" t="n">
        <v>0</v>
      </c>
    </row>
    <row r="89" customFormat="false" ht="17.25" hidden="false" customHeight="true" outlineLevel="0" collapsed="false">
      <c r="B89" s="20" t="s">
        <v>998</v>
      </c>
      <c r="C89" s="20"/>
      <c r="D89" s="20"/>
      <c r="E89" s="20"/>
      <c r="F89" s="20"/>
    </row>
    <row r="90" customFormat="false" ht="15" hidden="false" customHeight="false" outlineLevel="0" collapsed="false">
      <c r="B90" s="16"/>
      <c r="C90" s="21" t="s">
        <v>389</v>
      </c>
      <c r="D90" s="21" t="s">
        <v>390</v>
      </c>
      <c r="E90" s="21" t="s">
        <v>391</v>
      </c>
      <c r="F90" s="21" t="s">
        <v>392</v>
      </c>
    </row>
    <row r="91" customFormat="false" ht="15" hidden="false" customHeight="false" outlineLevel="0" collapsed="false">
      <c r="B91" s="22" t="str">
        <f aca="false">'03 Embeddings'!$B$36</f>
        <v>the</v>
      </c>
      <c r="C91" s="39" t="n">
        <f aca="false">C73*C80+D73*C81+E73*C82+F73*C83+G73*C84+H73*C85+I73*C86+J73*C87+I80</f>
        <v>1.528749585804</v>
      </c>
      <c r="D91" s="39" t="n">
        <f aca="false">C73*D80+D73*D81+E73*D82+F73*D83+G73*D84+H73*D85+I73*D86+J73*D87+J80</f>
        <v>1.04139559717015</v>
      </c>
      <c r="E91" s="39" t="n">
        <f aca="false">C73*E80+D73*E81+E73*E82+F73*E83+G73*E84+H73*E85+I73*E86+J73*E87+K80</f>
        <v>0.930675836690728</v>
      </c>
      <c r="F91" s="39" t="n">
        <f aca="false">C73*F80+D73*F81+E73*F82+F73*F83+G73*F84+H73*F85+I73*F86+J73*F87+L80</f>
        <v>0.44332184805688</v>
      </c>
    </row>
    <row r="92" customFormat="false" ht="15" hidden="false" customHeight="false" outlineLevel="0" collapsed="false">
      <c r="B92" s="22" t="str">
        <f aca="false">'03 Embeddings'!$B$37</f>
        <v>cat</v>
      </c>
      <c r="C92" s="39" t="n">
        <f aca="false">C74*C80+D74*C81+E74*C82+F74*C83+G74*C84+H74*C85+I74*C86+J74*C87+I80</f>
        <v>0.694234919475164</v>
      </c>
      <c r="D92" s="39" t="n">
        <f aca="false">C74*D80+D74*D81+E74*D82+F74*D83+G74*D84+H74*D85+I74*D86+J74*D87+J80</f>
        <v>1.51659461286068</v>
      </c>
      <c r="E92" s="39" t="n">
        <f aca="false">C74*E80+D74*E81+E74*E82+F74*E83+G74*E84+H74*E85+I74*E86+J74*E87+K80</f>
        <v>0.561706390204916</v>
      </c>
      <c r="F92" s="39" t="n">
        <f aca="false">C74*F80+D74*F81+E74*F82+F74*F83+G74*F84+H74*F85+I74*F86+J74*F87+L80</f>
        <v>1.64912314213093</v>
      </c>
    </row>
    <row r="93" customFormat="false" ht="15" hidden="false" customHeight="false" outlineLevel="0" collapsed="false">
      <c r="B93" s="22" t="str">
        <f aca="false">'03 Embeddings'!$B$38</f>
        <v>sat</v>
      </c>
      <c r="C93" s="39" t="n">
        <f aca="false">C75*C80+D75*C81+E75*C82+F75*C83+G75*C84+H75*C85+I75*C86+J75*C87+I80</f>
        <v>1.59087370579466</v>
      </c>
      <c r="D93" s="39" t="n">
        <f aca="false">C75*D80+D75*D81+E75*D82+F75*D83+G75*D84+H75*D85+I75*D86+J75*D87+J80</f>
        <v>1.0088199931257</v>
      </c>
      <c r="E93" s="39" t="n">
        <f aca="false">C75*E80+D75*E81+E75*E82+F75*E83+G75*E84+H75*E85+I75*E86+J75*E87+K80</f>
        <v>1.02850266590062</v>
      </c>
      <c r="F93" s="39" t="n">
        <f aca="false">C75*F80+D75*F81+E75*F82+F75*F83+G75*F84+H75*F85+I75*F86+J75*F87+L80</f>
        <v>0.446448953231656</v>
      </c>
    </row>
    <row r="95" customFormat="false" ht="18.75" hidden="false" customHeight="true" outlineLevel="0" collapsed="false">
      <c r="B95" s="25" t="s">
        <v>999</v>
      </c>
      <c r="C95" s="25"/>
      <c r="D95" s="25"/>
      <c r="E95" s="25"/>
      <c r="F95" s="25"/>
      <c r="G95" s="25"/>
      <c r="H95" s="25"/>
      <c r="I95" s="25"/>
      <c r="J95" s="25"/>
      <c r="K95" s="25"/>
      <c r="L95" s="25"/>
      <c r="M95" s="25"/>
      <c r="N95" s="25"/>
    </row>
    <row r="96" customFormat="false" ht="17.25" hidden="false" customHeight="true" outlineLevel="0" collapsed="false">
      <c r="B96" s="20" t="s">
        <v>1000</v>
      </c>
      <c r="C96" s="20"/>
      <c r="D96" s="20"/>
      <c r="E96" s="20"/>
      <c r="F96" s="20"/>
    </row>
    <row r="97" customFormat="false" ht="15" hidden="false" customHeight="false" outlineLevel="0" collapsed="false">
      <c r="B97" s="16"/>
      <c r="C97" s="21" t="s">
        <v>389</v>
      </c>
      <c r="D97" s="21" t="s">
        <v>390</v>
      </c>
      <c r="E97" s="21" t="s">
        <v>391</v>
      </c>
      <c r="F97" s="21" t="s">
        <v>392</v>
      </c>
      <c r="G97" s="21" t="s">
        <v>918</v>
      </c>
      <c r="H97" s="21" t="s">
        <v>935</v>
      </c>
    </row>
    <row r="98" customFormat="false" ht="15" hidden="false" customHeight="false" outlineLevel="0" collapsed="false">
      <c r="B98" s="22" t="str">
        <f aca="false">'03 Embeddings'!$B$36</f>
        <v>the</v>
      </c>
      <c r="C98" s="39" t="n">
        <f aca="false">C58+C91</f>
        <v>2.73784307221653</v>
      </c>
      <c r="D98" s="39" t="n">
        <f aca="false">D58+D91</f>
        <v>0.0472686376234655</v>
      </c>
      <c r="E98" s="39" t="n">
        <f aca="false">E58+E91</f>
        <v>-0.0505051346699637</v>
      </c>
      <c r="F98" s="39" t="n">
        <f aca="false">F58+F91</f>
        <v>1.20953629255173</v>
      </c>
      <c r="G98" s="31" t="n">
        <f aca="false">AVERAGE(C98:F98)</f>
        <v>0.986035716930439</v>
      </c>
      <c r="H98" s="31" t="n">
        <f aca="false">SQRT(SUMPRODUCT((C98:F98-G98)^2)/4+'10 Add and Norm'!$C$28)</f>
        <v>1.12633099970263</v>
      </c>
    </row>
    <row r="99" customFormat="false" ht="15" hidden="false" customHeight="false" outlineLevel="0" collapsed="false">
      <c r="B99" s="22" t="str">
        <f aca="false">'03 Embeddings'!$B$37</f>
        <v>cat</v>
      </c>
      <c r="C99" s="39" t="n">
        <f aca="false">C59+C92</f>
        <v>-0.278479124400414</v>
      </c>
      <c r="D99" s="39" t="n">
        <f aca="false">D59+D92</f>
        <v>3.19071941573259</v>
      </c>
      <c r="E99" s="39" t="n">
        <f aca="false">E59+E92</f>
        <v>0.261699747241006</v>
      </c>
      <c r="F99" s="39" t="n">
        <f aca="false">F59+F92</f>
        <v>1.24771902609851</v>
      </c>
      <c r="G99" s="31" t="n">
        <f aca="false">AVERAGE(C99:F99)</f>
        <v>1.10541476616792</v>
      </c>
      <c r="H99" s="31" t="n">
        <f aca="false">SQRT(SUMPRODUCT((C99:F99-G99)^2)/4+'10 Add and Norm'!$C$28)</f>
        <v>1.32247564414299</v>
      </c>
    </row>
    <row r="100" customFormat="false" ht="15" hidden="false" customHeight="false" outlineLevel="0" collapsed="false">
      <c r="B100" s="22" t="str">
        <f aca="false">'03 Embeddings'!$B$38</f>
        <v>sat</v>
      </c>
      <c r="C100" s="39" t="n">
        <f aca="false">C60+C93</f>
        <v>2.54939167606873</v>
      </c>
      <c r="D100" s="39" t="n">
        <f aca="false">D60+D93</f>
        <v>0.0940487320588005</v>
      </c>
      <c r="E100" s="39" t="n">
        <f aca="false">E60+E93</f>
        <v>-0.0524927046802965</v>
      </c>
      <c r="F100" s="39" t="n">
        <f aca="false">F60+F93</f>
        <v>1.4836976146054</v>
      </c>
      <c r="G100" s="31" t="n">
        <f aca="false">AVERAGE(C100:F100)</f>
        <v>1.01866132951316</v>
      </c>
      <c r="H100" s="31" t="n">
        <f aca="false">SQRT(SUMPRODUCT((C100:F100-G100)^2)/4+'10 Add and Norm'!$C$28)</f>
        <v>1.06790420458236</v>
      </c>
    </row>
    <row r="102" customFormat="false" ht="17.25" hidden="false" customHeight="true" outlineLevel="0" collapsed="false">
      <c r="B102" s="20" t="s">
        <v>1001</v>
      </c>
      <c r="C102" s="20"/>
      <c r="D102" s="20"/>
      <c r="E102" s="20"/>
      <c r="F102" s="20"/>
    </row>
    <row r="103" customFormat="false" ht="15" hidden="false" customHeight="false" outlineLevel="0" collapsed="false">
      <c r="B103" s="16"/>
      <c r="C103" s="21" t="s">
        <v>389</v>
      </c>
      <c r="D103" s="21" t="s">
        <v>390</v>
      </c>
      <c r="E103" s="21" t="s">
        <v>391</v>
      </c>
      <c r="F103" s="21" t="s">
        <v>392</v>
      </c>
    </row>
    <row r="104" customFormat="false" ht="15" hidden="false" customHeight="false" outlineLevel="0" collapsed="false">
      <c r="B104" s="22" t="str">
        <f aca="false">'03 Embeddings'!$B$36</f>
        <v>the</v>
      </c>
      <c r="C104" s="41" t="n">
        <f aca="false">(C98-G98)/H98</f>
        <v>1.55532197528843</v>
      </c>
      <c r="D104" s="41" t="n">
        <f aca="false">(D98-G98)/H98</f>
        <v>-0.833473534471502</v>
      </c>
      <c r="E104" s="41" t="n">
        <f aca="false">(E98-G98)/H98</f>
        <v>-0.920280851609398</v>
      </c>
      <c r="F104" s="41" t="n">
        <f aca="false">(F98-G98)/H98</f>
        <v>0.198432410792471</v>
      </c>
    </row>
    <row r="105" customFormat="false" ht="15" hidden="false" customHeight="false" outlineLevel="0" collapsed="false">
      <c r="B105" s="22" t="str">
        <f aca="false">'03 Embeddings'!$B$37</f>
        <v>cat</v>
      </c>
      <c r="C105" s="41" t="n">
        <f aca="false">(C99-G99)/H99</f>
        <v>-1.04644187338902</v>
      </c>
      <c r="D105" s="41" t="n">
        <f aca="false">(D99-G99)/H99</f>
        <v>1.5768189446816</v>
      </c>
      <c r="E105" s="41" t="n">
        <f aca="false">(E99-G99)/H99</f>
        <v>-0.637981517968655</v>
      </c>
      <c r="F105" s="41" t="n">
        <f aca="false">(F99-G99)/H99</f>
        <v>0.107604446676072</v>
      </c>
    </row>
    <row r="106" customFormat="false" ht="15" hidden="false" customHeight="false" outlineLevel="0" collapsed="false">
      <c r="B106" s="22" t="str">
        <f aca="false">'03 Embeddings'!$B$38</f>
        <v>sat</v>
      </c>
      <c r="C106" s="41" t="n">
        <f aca="false">(C100-G100)/H100</f>
        <v>1.43339668482176</v>
      </c>
      <c r="D106" s="41" t="n">
        <f aca="false">(D100-G100)/H100</f>
        <v>-0.865819793092731</v>
      </c>
      <c r="E106" s="41" t="n">
        <f aca="false">(E100-G100)/H100</f>
        <v>-1.00304318458261</v>
      </c>
      <c r="F106" s="41" t="n">
        <f aca="false">(F100-G100)/H100</f>
        <v>0.435466292853588</v>
      </c>
    </row>
    <row r="108" customFormat="false" ht="31.5" hidden="false" customHeight="true" outlineLevel="0" collapsed="false">
      <c r="B108" s="90" t="s">
        <v>1002</v>
      </c>
      <c r="C108" s="90"/>
      <c r="D108" s="90"/>
      <c r="E108" s="90"/>
      <c r="F108" s="90"/>
      <c r="G108" s="90"/>
      <c r="H108" s="90"/>
      <c r="I108" s="90"/>
      <c r="J108" s="90"/>
      <c r="K108" s="90"/>
      <c r="L108" s="90"/>
      <c r="M108" s="90"/>
      <c r="N108" s="90"/>
    </row>
    <row r="110" customFormat="false" ht="21.75" hidden="false" customHeight="true" outlineLevel="0" collapsed="false">
      <c r="B110" s="4" t="s">
        <v>1003</v>
      </c>
      <c r="C110" s="4"/>
      <c r="D110" s="4"/>
      <c r="E110" s="4"/>
      <c r="F110" s="4"/>
      <c r="G110" s="4"/>
      <c r="H110" s="4"/>
      <c r="I110" s="4"/>
      <c r="J110" s="4"/>
      <c r="K110" s="4"/>
      <c r="L110" s="4"/>
      <c r="M110" s="4"/>
      <c r="N110" s="4"/>
    </row>
    <row r="111" customFormat="false" ht="15.75" hidden="false" customHeight="true" outlineLevel="0" collapsed="false">
      <c r="B111" s="22" t="s">
        <v>380</v>
      </c>
      <c r="C111" s="61" t="n">
        <v>512</v>
      </c>
    </row>
    <row r="112" customFormat="false" ht="15.75" hidden="false" customHeight="true" outlineLevel="0" collapsed="false">
      <c r="B112" s="22" t="s">
        <v>1004</v>
      </c>
      <c r="C112" s="61" t="n">
        <v>2048</v>
      </c>
    </row>
    <row r="113" customFormat="false" ht="17.25" hidden="false" customHeight="true" outlineLevel="0" collapsed="false">
      <c r="B113" s="22" t="s">
        <v>1005</v>
      </c>
      <c r="C113" s="64" t="n">
        <f aca="false">2*C111*C112+C112+C111</f>
        <v>2099712</v>
      </c>
      <c r="D113" s="27" t="s">
        <v>1006</v>
      </c>
      <c r="E113" s="27"/>
      <c r="F113" s="27"/>
      <c r="G113" s="27"/>
      <c r="H113" s="27"/>
      <c r="I113" s="27"/>
      <c r="J113" s="27"/>
      <c r="K113" s="27"/>
      <c r="L113" s="27"/>
      <c r="M113" s="27"/>
      <c r="N113" s="27"/>
    </row>
    <row r="114" customFormat="false" ht="17.25" hidden="false" customHeight="true" outlineLevel="0" collapsed="false">
      <c r="B114" s="22" t="s">
        <v>1007</v>
      </c>
      <c r="C114" s="23" t="n">
        <v>12</v>
      </c>
      <c r="D114" s="27" t="s">
        <v>1008</v>
      </c>
      <c r="E114" s="27"/>
      <c r="F114" s="27"/>
      <c r="G114" s="27"/>
      <c r="H114" s="27"/>
      <c r="I114" s="27"/>
      <c r="J114" s="27"/>
      <c r="K114" s="27"/>
      <c r="L114" s="27"/>
      <c r="M114" s="27"/>
      <c r="N114" s="27"/>
    </row>
    <row r="115" customFormat="false" ht="17.25" hidden="false" customHeight="true" outlineLevel="0" collapsed="false">
      <c r="B115" s="22" t="s">
        <v>1009</v>
      </c>
      <c r="C115" s="62" t="n">
        <f aca="false">C113*12</f>
        <v>25196544</v>
      </c>
      <c r="D115" s="27" t="s">
        <v>1010</v>
      </c>
      <c r="E115" s="27"/>
      <c r="F115" s="27"/>
      <c r="G115" s="27"/>
      <c r="H115" s="27"/>
      <c r="I115" s="27"/>
      <c r="J115" s="27"/>
      <c r="K115" s="27"/>
      <c r="L115" s="27"/>
      <c r="M115" s="27"/>
      <c r="N115" s="27"/>
    </row>
    <row r="116" customFormat="false" ht="18.75" hidden="false" customHeight="true" outlineLevel="0" collapsed="false">
      <c r="B116" s="25" t="s">
        <v>279</v>
      </c>
      <c r="C116" s="25"/>
      <c r="D116" s="25"/>
      <c r="E116" s="25"/>
      <c r="F116" s="25"/>
      <c r="G116" s="25"/>
      <c r="H116" s="25"/>
      <c r="I116" s="25"/>
      <c r="J116" s="25"/>
      <c r="K116" s="25"/>
      <c r="L116" s="25"/>
      <c r="M116" s="25"/>
      <c r="N116" s="25"/>
    </row>
    <row r="117" customFormat="false" ht="17.25" hidden="false" customHeight="true" outlineLevel="0" collapsed="false">
      <c r="B117" s="43" t="s">
        <v>1011</v>
      </c>
      <c r="C117" s="43"/>
      <c r="D117" s="43"/>
      <c r="E117" s="43"/>
      <c r="F117" s="43"/>
      <c r="G117" s="43"/>
      <c r="H117" s="43"/>
      <c r="I117" s="43"/>
      <c r="J117" s="43"/>
      <c r="K117" s="43"/>
      <c r="L117" s="43"/>
      <c r="M117" s="43"/>
      <c r="N117" s="43"/>
    </row>
    <row r="118" customFormat="false" ht="17.25" hidden="false" customHeight="true" outlineLevel="0" collapsed="false">
      <c r="B118" s="44" t="s">
        <v>1012</v>
      </c>
      <c r="C118" s="44"/>
      <c r="D118" s="44"/>
      <c r="E118" s="44"/>
      <c r="F118" s="44"/>
      <c r="G118" s="44"/>
      <c r="H118" s="44"/>
      <c r="I118" s="44"/>
      <c r="J118" s="44"/>
      <c r="K118" s="44"/>
      <c r="L118" s="44"/>
      <c r="M118" s="44"/>
      <c r="N118" s="44"/>
    </row>
    <row r="119" customFormat="false" ht="17.25" hidden="false" customHeight="true" outlineLevel="0" collapsed="false">
      <c r="B119" s="43" t="s">
        <v>1013</v>
      </c>
      <c r="C119" s="43"/>
      <c r="D119" s="43"/>
      <c r="E119" s="43"/>
      <c r="F119" s="43"/>
      <c r="G119" s="43"/>
      <c r="H119" s="43"/>
      <c r="I119" s="43"/>
      <c r="J119" s="43"/>
      <c r="K119" s="43"/>
      <c r="L119" s="43"/>
      <c r="M119" s="43"/>
      <c r="N119" s="43"/>
    </row>
    <row r="120" customFormat="false" ht="17.25" hidden="false" customHeight="true" outlineLevel="0" collapsed="false">
      <c r="B120" s="44" t="s">
        <v>1014</v>
      </c>
      <c r="C120" s="44"/>
      <c r="D120" s="44"/>
      <c r="E120" s="44"/>
      <c r="F120" s="44"/>
      <c r="G120" s="44"/>
      <c r="H120" s="44"/>
      <c r="I120" s="44"/>
      <c r="J120" s="44"/>
      <c r="K120" s="44"/>
      <c r="L120" s="44"/>
      <c r="M120" s="44"/>
      <c r="N120" s="44"/>
    </row>
  </sheetData>
  <mergeCells count="59">
    <mergeCell ref="B1:N1"/>
    <mergeCell ref="B2:N2"/>
    <mergeCell ref="B4:N4"/>
    <mergeCell ref="B5:N5"/>
    <mergeCell ref="B6:N6"/>
    <mergeCell ref="C7:K7"/>
    <mergeCell ref="L7:N7"/>
    <mergeCell ref="C8:K8"/>
    <mergeCell ref="L8:N8"/>
    <mergeCell ref="C9:K9"/>
    <mergeCell ref="L9:N9"/>
    <mergeCell ref="C10:K10"/>
    <mergeCell ref="L10:N10"/>
    <mergeCell ref="C11:K11"/>
    <mergeCell ref="L11:N11"/>
    <mergeCell ref="C12:K12"/>
    <mergeCell ref="L12:N12"/>
    <mergeCell ref="B13:N13"/>
    <mergeCell ref="B14:D14"/>
    <mergeCell ref="B18:F18"/>
    <mergeCell ref="B23:F23"/>
    <mergeCell ref="C27:N27"/>
    <mergeCell ref="B28:F28"/>
    <mergeCell ref="C31:N31"/>
    <mergeCell ref="C32:N32"/>
    <mergeCell ref="C33:N33"/>
    <mergeCell ref="C34:N34"/>
    <mergeCell ref="C35:N35"/>
    <mergeCell ref="B36:F36"/>
    <mergeCell ref="C39:N39"/>
    <mergeCell ref="B40:D40"/>
    <mergeCell ref="F40:H40"/>
    <mergeCell ref="B47:D47"/>
    <mergeCell ref="C50:N50"/>
    <mergeCell ref="C51:N51"/>
    <mergeCell ref="B52:N52"/>
    <mergeCell ref="B54:N54"/>
    <mergeCell ref="B55:N55"/>
    <mergeCell ref="B56:F56"/>
    <mergeCell ref="B62:J62"/>
    <mergeCell ref="B68:J68"/>
    <mergeCell ref="B71:H71"/>
    <mergeCell ref="C77:N77"/>
    <mergeCell ref="B78:F78"/>
    <mergeCell ref="H78:L78"/>
    <mergeCell ref="B89:F89"/>
    <mergeCell ref="B95:N95"/>
    <mergeCell ref="B96:F96"/>
    <mergeCell ref="B102:F102"/>
    <mergeCell ref="B108:N108"/>
    <mergeCell ref="B110:N110"/>
    <mergeCell ref="D113:N113"/>
    <mergeCell ref="D114:N114"/>
    <mergeCell ref="D115:N115"/>
    <mergeCell ref="B116:N116"/>
    <mergeCell ref="B117:N117"/>
    <mergeCell ref="B118:N118"/>
    <mergeCell ref="B119:N119"/>
    <mergeCell ref="B120:N1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Q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1015</v>
      </c>
      <c r="C1" s="1"/>
      <c r="D1" s="1"/>
      <c r="E1" s="1"/>
      <c r="F1" s="1"/>
      <c r="G1" s="1"/>
      <c r="H1" s="1"/>
      <c r="I1" s="1"/>
      <c r="J1" s="1"/>
      <c r="K1" s="1"/>
      <c r="L1" s="1"/>
      <c r="M1" s="1"/>
      <c r="N1" s="1"/>
    </row>
    <row r="2" customFormat="false" ht="17.25" hidden="false" customHeight="true" outlineLevel="0" collapsed="false">
      <c r="B2" s="2" t="s">
        <v>1016</v>
      </c>
      <c r="C2" s="2"/>
      <c r="D2" s="2"/>
      <c r="E2" s="2"/>
      <c r="F2" s="2"/>
      <c r="G2" s="2"/>
      <c r="H2" s="2"/>
      <c r="I2" s="2"/>
      <c r="J2" s="2"/>
      <c r="K2" s="2"/>
      <c r="L2" s="2"/>
      <c r="M2" s="2"/>
      <c r="N2" s="2"/>
    </row>
    <row r="4" customFormat="false" ht="34.5" hidden="false" customHeight="true" outlineLevel="0" collapsed="false">
      <c r="B4" s="3" t="s">
        <v>1017</v>
      </c>
      <c r="C4" s="3"/>
      <c r="D4" s="3"/>
      <c r="E4" s="3"/>
      <c r="F4" s="3"/>
      <c r="G4" s="3"/>
      <c r="H4" s="3"/>
      <c r="I4" s="3"/>
      <c r="J4" s="3"/>
      <c r="K4" s="3"/>
      <c r="L4" s="3"/>
      <c r="M4" s="3"/>
      <c r="N4" s="3"/>
    </row>
    <row r="5" customFormat="false" ht="20.25" hidden="false" customHeight="true" outlineLevel="0" collapsed="false">
      <c r="B5" s="24" t="s">
        <v>1018</v>
      </c>
      <c r="C5" s="24"/>
      <c r="D5" s="24"/>
      <c r="E5" s="24"/>
      <c r="F5" s="24"/>
      <c r="G5" s="24"/>
      <c r="H5" s="24"/>
      <c r="I5" s="24"/>
      <c r="J5" s="24"/>
      <c r="K5" s="24"/>
      <c r="L5" s="24"/>
      <c r="M5" s="24"/>
      <c r="N5" s="24"/>
    </row>
    <row r="6" customFormat="false" ht="31.5" hidden="false" customHeight="true" outlineLevel="0" collapsed="false">
      <c r="B6" s="5" t="s">
        <v>1019</v>
      </c>
      <c r="C6" s="5"/>
      <c r="D6" s="5"/>
      <c r="E6" s="5"/>
      <c r="F6" s="5"/>
      <c r="G6" s="5"/>
      <c r="H6" s="5"/>
      <c r="I6" s="5"/>
      <c r="J6" s="5"/>
      <c r="K6" s="5"/>
      <c r="L6" s="5"/>
      <c r="M6" s="5"/>
      <c r="N6" s="5"/>
    </row>
    <row r="7" customFormat="false" ht="21.75" hidden="false" customHeight="true" outlineLevel="0" collapsed="false">
      <c r="B7" s="4" t="s">
        <v>1020</v>
      </c>
      <c r="C7" s="4"/>
      <c r="D7" s="4"/>
      <c r="E7" s="4"/>
      <c r="F7" s="4"/>
      <c r="G7" s="4"/>
      <c r="H7" s="4"/>
      <c r="I7" s="4"/>
      <c r="J7" s="4"/>
      <c r="K7" s="4"/>
      <c r="L7" s="4"/>
      <c r="M7" s="4"/>
      <c r="N7" s="4"/>
    </row>
    <row r="8" customFormat="false" ht="17.25" hidden="false" customHeight="true" outlineLevel="0" collapsed="false">
      <c r="B8" s="5" t="s">
        <v>1021</v>
      </c>
      <c r="C8" s="5"/>
      <c r="D8" s="5"/>
      <c r="E8" s="5"/>
      <c r="F8" s="5"/>
      <c r="G8" s="5"/>
      <c r="H8" s="5"/>
      <c r="I8" s="5"/>
      <c r="J8" s="5"/>
      <c r="K8" s="5"/>
      <c r="L8" s="5"/>
      <c r="M8" s="5"/>
      <c r="N8" s="5"/>
    </row>
    <row r="9" customFormat="false" ht="17.25" hidden="false" customHeight="true" outlineLevel="0" collapsed="false">
      <c r="B9" s="20" t="s">
        <v>1022</v>
      </c>
      <c r="C9" s="20"/>
      <c r="D9" s="20"/>
      <c r="E9" s="20"/>
      <c r="F9" s="20"/>
    </row>
    <row r="10" customFormat="false" ht="15" hidden="false" customHeight="false" outlineLevel="0" collapsed="false">
      <c r="B10" s="16"/>
      <c r="C10" s="21" t="s">
        <v>389</v>
      </c>
      <c r="D10" s="21" t="s">
        <v>390</v>
      </c>
      <c r="E10" s="21" t="s">
        <v>391</v>
      </c>
      <c r="F10" s="21" t="s">
        <v>392</v>
      </c>
    </row>
    <row r="11" customFormat="false" ht="15" hidden="false" customHeight="false" outlineLevel="0" collapsed="false">
      <c r="B11" s="22"/>
      <c r="C11" s="35" t="n">
        <v>1</v>
      </c>
      <c r="D11" s="35" t="n">
        <v>2.4</v>
      </c>
      <c r="E11" s="35" t="n">
        <v>3</v>
      </c>
      <c r="F11" s="35" t="n">
        <v>-2</v>
      </c>
    </row>
    <row r="13" customFormat="false" ht="17.25" hidden="false" customHeight="true" outlineLevel="0" collapsed="false">
      <c r="B13" s="20" t="s">
        <v>1023</v>
      </c>
      <c r="C13" s="20"/>
      <c r="D13" s="20"/>
      <c r="E13" s="20"/>
      <c r="F13" s="20"/>
    </row>
    <row r="14" customFormat="false" ht="30" hidden="false" customHeight="true" outlineLevel="0" collapsed="false">
      <c r="B14" s="16"/>
      <c r="C14" s="21" t="s">
        <v>389</v>
      </c>
      <c r="D14" s="21" t="s">
        <v>390</v>
      </c>
      <c r="E14" s="21" t="s">
        <v>391</v>
      </c>
      <c r="F14" s="21" t="s">
        <v>392</v>
      </c>
      <c r="G14" s="21" t="s">
        <v>1024</v>
      </c>
      <c r="H14" s="21" t="s">
        <v>1025</v>
      </c>
      <c r="I14" s="21" t="s">
        <v>1026</v>
      </c>
    </row>
    <row r="15" customFormat="false" ht="15" hidden="false" customHeight="false" outlineLevel="0" collapsed="false">
      <c r="B15" s="22" t="s">
        <v>393</v>
      </c>
      <c r="C15" s="91" t="n">
        <f aca="false">'03 Embeddings'!$C$24</f>
        <v>0.1</v>
      </c>
      <c r="D15" s="91" t="n">
        <f aca="false">'03 Embeddings'!$D$24</f>
        <v>-0.1</v>
      </c>
      <c r="E15" s="91" t="n">
        <f aca="false">'03 Embeddings'!$E$24</f>
        <v>0</v>
      </c>
      <c r="F15" s="91" t="n">
        <f aca="false">'03 Embeddings'!$F$24</f>
        <v>0.2</v>
      </c>
      <c r="G15" s="31" t="n">
        <f aca="false">C11*C15+D11*D15+E11*E15+F11*F15</f>
        <v>-0.54</v>
      </c>
      <c r="H15" s="31" t="n">
        <f aca="false">EXP(G15)</f>
        <v>0.58274825237399</v>
      </c>
      <c r="I15" s="92" t="n">
        <f aca="false">H15/SUM($H$15:$H$22)</f>
        <v>0.0105596544230103</v>
      </c>
    </row>
    <row r="16" customFormat="false" ht="15" hidden="false" customHeight="false" outlineLevel="0" collapsed="false">
      <c r="B16" s="22" t="s">
        <v>394</v>
      </c>
      <c r="C16" s="91" t="n">
        <f aca="false">'03 Embeddings'!$C$25</f>
        <v>-0.1</v>
      </c>
      <c r="D16" s="91" t="n">
        <f aca="false">'03 Embeddings'!$D$25</f>
        <v>0.1</v>
      </c>
      <c r="E16" s="91" t="n">
        <f aca="false">'03 Embeddings'!$E$25</f>
        <v>0.2</v>
      </c>
      <c r="F16" s="91" t="n">
        <f aca="false">'03 Embeddings'!$F$25</f>
        <v>0</v>
      </c>
      <c r="G16" s="31" t="n">
        <f aca="false">C11*C16+D11*D16+E11*E16+F11*F16</f>
        <v>0.74</v>
      </c>
      <c r="H16" s="31" t="n">
        <f aca="false">EXP(G16)</f>
        <v>2.09593551449436</v>
      </c>
      <c r="I16" s="92" t="n">
        <f aca="false">H16/SUM($H$15:$H$22)</f>
        <v>0.0379792725860823</v>
      </c>
    </row>
    <row r="17" customFormat="false" ht="15" hidden="false" customHeight="false" outlineLevel="0" collapsed="false">
      <c r="B17" s="22" t="s">
        <v>360</v>
      </c>
      <c r="C17" s="91" t="n">
        <f aca="false">'03 Embeddings'!$C$26</f>
        <v>0.5</v>
      </c>
      <c r="D17" s="91" t="n">
        <f aca="false">'03 Embeddings'!$D$26</f>
        <v>-0.2</v>
      </c>
      <c r="E17" s="91" t="n">
        <f aca="false">'03 Embeddings'!$E$26</f>
        <v>0.1</v>
      </c>
      <c r="F17" s="91" t="n">
        <f aca="false">'03 Embeddings'!$F$26</f>
        <v>0</v>
      </c>
      <c r="G17" s="31" t="n">
        <f aca="false">C11*C17+D11*D17+E11*E17+F11*F17</f>
        <v>0.32</v>
      </c>
      <c r="H17" s="31" t="n">
        <f aca="false">EXP(G17)</f>
        <v>1.37712776433596</v>
      </c>
      <c r="I17" s="92" t="n">
        <f aca="false">H17/SUM($H$15:$H$22)</f>
        <v>0.0249541602715745</v>
      </c>
    </row>
    <row r="18" customFormat="false" ht="15" hidden="false" customHeight="false" outlineLevel="0" collapsed="false">
      <c r="B18" s="22" t="s">
        <v>395</v>
      </c>
      <c r="C18" s="91" t="n">
        <f aca="false">'03 Embeddings'!$C$27</f>
        <v>-0.3</v>
      </c>
      <c r="D18" s="91" t="n">
        <f aca="false">'03 Embeddings'!$D$27</f>
        <v>0.8</v>
      </c>
      <c r="E18" s="91" t="n">
        <f aca="false">'03 Embeddings'!$E$27</f>
        <v>0.4</v>
      </c>
      <c r="F18" s="91" t="n">
        <f aca="false">'03 Embeddings'!$F$27</f>
        <v>-0.1</v>
      </c>
      <c r="G18" s="31" t="n">
        <f aca="false">C11*C18+D11*D18+E11*E18+F11*F18</f>
        <v>3.02</v>
      </c>
      <c r="H18" s="31" t="n">
        <f aca="false">EXP(G18)</f>
        <v>20.491291684193</v>
      </c>
      <c r="I18" s="92" t="n">
        <f aca="false">H18/SUM($H$15:$H$22)</f>
        <v>0.371311210260509</v>
      </c>
    </row>
    <row r="19" customFormat="false" ht="15" hidden="false" customHeight="false" outlineLevel="0" collapsed="false">
      <c r="B19" s="22" t="s">
        <v>396</v>
      </c>
      <c r="C19" s="91" t="n">
        <f aca="false">'03 Embeddings'!$C$28</f>
        <v>0.2</v>
      </c>
      <c r="D19" s="91" t="n">
        <f aca="false">'03 Embeddings'!$D$28</f>
        <v>0.1</v>
      </c>
      <c r="E19" s="91" t="n">
        <f aca="false">'03 Embeddings'!$E$28</f>
        <v>-0.6</v>
      </c>
      <c r="F19" s="91" t="n">
        <f aca="false">'03 Embeddings'!$F$28</f>
        <v>0.5</v>
      </c>
      <c r="G19" s="31" t="n">
        <f aca="false">C11*C19+D11*D19+E11*E19+F11*F19</f>
        <v>-2.36</v>
      </c>
      <c r="H19" s="31" t="n">
        <f aca="false">EXP(G19)</f>
        <v>0.0944202231963024</v>
      </c>
      <c r="I19" s="92" t="n">
        <f aca="false">H19/SUM($H$15:$H$22)</f>
        <v>0.00171093593749052</v>
      </c>
    </row>
    <row r="20" customFormat="false" ht="15" hidden="false" customHeight="false" outlineLevel="0" collapsed="false">
      <c r="B20" s="22" t="s">
        <v>397</v>
      </c>
      <c r="C20" s="91" t="n">
        <f aca="false">'03 Embeddings'!$C$29</f>
        <v>0.4</v>
      </c>
      <c r="D20" s="91" t="n">
        <f aca="false">'03 Embeddings'!$D$29</f>
        <v>-0.3</v>
      </c>
      <c r="E20" s="91" t="n">
        <f aca="false">'03 Embeddings'!$E$29</f>
        <v>0.2</v>
      </c>
      <c r="F20" s="91" t="n">
        <f aca="false">'03 Embeddings'!$F$29</f>
        <v>0.1</v>
      </c>
      <c r="G20" s="31" t="n">
        <f aca="false">C11*C20+D11*D20+E11*E20+F11*F20</f>
        <v>0.0800000000000001</v>
      </c>
      <c r="H20" s="31" t="n">
        <f aca="false">EXP(G20)</f>
        <v>1.08328706767496</v>
      </c>
      <c r="I20" s="92" t="n">
        <f aca="false">H20/SUM($H$15:$H$22)</f>
        <v>0.0196296377191406</v>
      </c>
    </row>
    <row r="21" customFormat="false" ht="15" hidden="false" customHeight="false" outlineLevel="0" collapsed="false">
      <c r="B21" s="22" t="s">
        <v>369</v>
      </c>
      <c r="C21" s="91" t="n">
        <f aca="false">'03 Embeddings'!$C$30</f>
        <v>-0.2</v>
      </c>
      <c r="D21" s="91" t="n">
        <f aca="false">'03 Embeddings'!$D$30</f>
        <v>0.7</v>
      </c>
      <c r="E21" s="91" t="n">
        <f aca="false">'03 Embeddings'!$E$30</f>
        <v>0.5</v>
      </c>
      <c r="F21" s="91" t="n">
        <f aca="false">'03 Embeddings'!$F$30</f>
        <v>-0.2</v>
      </c>
      <c r="G21" s="31" t="n">
        <f aca="false">C11*C21+D11*D21+E11*E21+F11*F21</f>
        <v>3.38</v>
      </c>
      <c r="H21" s="31" t="n">
        <f aca="false">EXP(G21)</f>
        <v>29.3707711132894</v>
      </c>
      <c r="I21" s="92" t="n">
        <f aca="false">H21/SUM($H$15:$H$22)</f>
        <v>0.532211279622386</v>
      </c>
    </row>
    <row r="22" customFormat="false" ht="15" hidden="false" customHeight="false" outlineLevel="0" collapsed="false">
      <c r="B22" s="22" t="s">
        <v>398</v>
      </c>
      <c r="C22" s="91" t="n">
        <f aca="false">'03 Embeddings'!$C$31</f>
        <v>0.3</v>
      </c>
      <c r="D22" s="91" t="n">
        <f aca="false">'03 Embeddings'!$D$31</f>
        <v>0</v>
      </c>
      <c r="E22" s="91" t="n">
        <f aca="false">'03 Embeddings'!$E$31</f>
        <v>-0.5</v>
      </c>
      <c r="F22" s="91" t="n">
        <f aca="false">'03 Embeddings'!$F$31</f>
        <v>0.6</v>
      </c>
      <c r="G22" s="31" t="n">
        <f aca="false">C11*C22+D11*D22+E11*E22+F11*F22</f>
        <v>-2.4</v>
      </c>
      <c r="H22" s="31" t="n">
        <f aca="false">EXP(G22)</f>
        <v>0.0907179532894125</v>
      </c>
      <c r="I22" s="92" t="n">
        <f aca="false">H22/SUM($H$15:$H$22)</f>
        <v>0.00164384917980707</v>
      </c>
    </row>
    <row r="24" customFormat="false" ht="15.75" hidden="false" customHeight="true" outlineLevel="0" collapsed="false">
      <c r="B24" s="10" t="s">
        <v>1027</v>
      </c>
      <c r="C24" s="29" t="str">
        <f aca="false">"h·E[Katze] = "&amp;IF(ROUND(C11,3)&lt;0,"("&amp;ROUND(C11,3)&amp;")",ROUND(C11,3)&amp;"")&amp;"×"&amp;IF(ROUND(C21,3)&lt;0,"("&amp;ROUND(C21,3)&amp;")",ROUND(C21,3)&amp;"")&amp;" + "&amp;IF(ROUND(D11,3)&lt;0,"("&amp;ROUND(D11,3)&amp;")",ROUND(D11,3)&amp;"")&amp;"×"&amp;IF(ROUND(D21,3)&lt;0,"("&amp;ROUND(D21,3)&amp;")",ROUND(D21,3)&amp;"")&amp;" + "&amp;IF(ROUND(E11,3)&lt;0,"("&amp;ROUND(E11,3)&amp;")",ROUND(E11,3)&amp;"")&amp;"×"&amp;IF(ROUND(E21,3)&lt;0,"("&amp;ROUND(E21,3)&amp;")",ROUND(E21,3)&amp;"")&amp;" + "&amp;IF(ROUND(F11,3)&lt;0,"("&amp;ROUND(F11,3)&amp;")",ROUND(F11,3)&amp;"")&amp;"×"&amp;IF(ROUND(F21,3)&lt;0,"("&amp;ROUND(F21,3)&amp;")",ROUND(F21,3)&amp;"")&amp;"  =  "&amp;IF(ROUND(G21,3)&lt;0,"("&amp;ROUND(G21,3)&amp;")",ROUND(G21,3)&amp;"")</f>
        <v>h·E[Katze] = 1×(-0.2) + 2.4×0.7 + 3×0.5 + (-2)×(-0.2)  =  3.38</v>
      </c>
      <c r="D24" s="29"/>
      <c r="E24" s="29"/>
      <c r="F24" s="29"/>
      <c r="G24" s="29"/>
      <c r="H24" s="29"/>
      <c r="I24" s="29"/>
      <c r="J24" s="29"/>
      <c r="K24" s="29"/>
      <c r="L24" s="29"/>
      <c r="M24" s="29"/>
      <c r="N24" s="29"/>
    </row>
    <row r="25" customFormat="false" ht="15.75" hidden="false" customHeight="true" outlineLevel="0" collapsed="false">
      <c r="B25" s="10" t="s">
        <v>1028</v>
      </c>
      <c r="C25" s="29" t="str">
        <f aca="false">"h·E[cat] = "&amp;IF(ROUND(C11,3)&lt;0,"("&amp;ROUND(C11,3)&amp;")",ROUND(C11,3)&amp;"")&amp;"×"&amp;IF(ROUND(C18,3)&lt;0,"("&amp;ROUND(C18,3)&amp;")",ROUND(C18,3)&amp;"")&amp;" + "&amp;IF(ROUND(D11,3)&lt;0,"("&amp;ROUND(D11,3)&amp;")",ROUND(D11,3)&amp;"")&amp;"×"&amp;IF(ROUND(D18,3)&lt;0,"("&amp;ROUND(D18,3)&amp;")",ROUND(D18,3)&amp;"")&amp;" + "&amp;IF(ROUND(E11,3)&lt;0,"("&amp;ROUND(E11,3)&amp;")",ROUND(E11,3)&amp;"")&amp;"×"&amp;IF(ROUND(E18,3)&lt;0,"("&amp;ROUND(E18,3)&amp;")",ROUND(E18,3)&amp;"")&amp;" + "&amp;IF(ROUND(F11,3)&lt;0,"("&amp;ROUND(F11,3)&amp;")",ROUND(F11,3)&amp;"")&amp;"×"&amp;IF(ROUND(F18,3)&lt;0,"("&amp;ROUND(F18,3)&amp;")",ROUND(F18,3)&amp;"")&amp;"  =  "&amp;IF(ROUND(G18,3)&lt;0,"("&amp;ROUND(G18,3)&amp;")",ROUND(G18,3)&amp;"")</f>
        <v>h·E[cat] = 1×(-0.3) + 2.4×0.8 + 3×0.4 + (-2)×(-0.1)  =  3.02</v>
      </c>
      <c r="D25" s="29"/>
      <c r="E25" s="29"/>
      <c r="F25" s="29"/>
      <c r="G25" s="29"/>
      <c r="H25" s="29"/>
      <c r="I25" s="29"/>
      <c r="J25" s="29"/>
      <c r="K25" s="29"/>
      <c r="L25" s="29"/>
      <c r="M25" s="29"/>
      <c r="N25" s="29"/>
    </row>
    <row r="26" customFormat="false" ht="17.25" hidden="false" customHeight="true" outlineLevel="0" collapsed="false">
      <c r="B26" s="22" t="s">
        <v>1029</v>
      </c>
      <c r="C26" s="93" t="str">
        <f aca="false">INDEX(B15:B22,MATCH(MAX(I15:I22),I15:I22,0))</f>
        <v>Katze</v>
      </c>
      <c r="D26" s="27" t="s">
        <v>1030</v>
      </c>
      <c r="E26" s="27"/>
      <c r="F26" s="27"/>
      <c r="G26" s="27"/>
      <c r="H26" s="27"/>
      <c r="I26" s="27"/>
      <c r="J26" s="27"/>
      <c r="K26" s="27"/>
      <c r="L26" s="27"/>
      <c r="M26" s="27"/>
      <c r="N26" s="27"/>
    </row>
    <row r="27" customFormat="false" ht="31.5" hidden="false" customHeight="true" outlineLevel="0" collapsed="false">
      <c r="B27" s="5" t="s">
        <v>1031</v>
      </c>
      <c r="C27" s="5"/>
      <c r="D27" s="5"/>
      <c r="E27" s="5"/>
      <c r="F27" s="5"/>
      <c r="G27" s="5"/>
      <c r="H27" s="5"/>
      <c r="I27" s="5"/>
      <c r="J27" s="5"/>
      <c r="K27" s="5"/>
      <c r="L27" s="5"/>
      <c r="M27" s="5"/>
      <c r="N27" s="5"/>
    </row>
    <row r="29" customFormat="false" ht="21.75" hidden="false" customHeight="true" outlineLevel="0" collapsed="false">
      <c r="B29" s="4" t="s">
        <v>1032</v>
      </c>
      <c r="C29" s="4"/>
      <c r="D29" s="4"/>
      <c r="E29" s="4"/>
      <c r="F29" s="4"/>
      <c r="G29" s="4"/>
      <c r="H29" s="4"/>
      <c r="I29" s="4"/>
      <c r="J29" s="4"/>
      <c r="K29" s="4"/>
      <c r="L29" s="4"/>
      <c r="M29" s="4"/>
      <c r="N29" s="4"/>
    </row>
    <row r="30" customFormat="false" ht="31.5" hidden="false" customHeight="true" outlineLevel="0" collapsed="false">
      <c r="B30" s="5" t="s">
        <v>1033</v>
      </c>
      <c r="C30" s="5"/>
      <c r="D30" s="5"/>
      <c r="E30" s="5"/>
      <c r="F30" s="5"/>
      <c r="G30" s="5"/>
      <c r="H30" s="5"/>
      <c r="I30" s="5"/>
      <c r="J30" s="5"/>
      <c r="K30" s="5"/>
      <c r="L30" s="5"/>
      <c r="M30" s="5"/>
      <c r="N30" s="5"/>
    </row>
    <row r="31" customFormat="false" ht="17.25" hidden="false" customHeight="true" outlineLevel="0" collapsed="false">
      <c r="B31" s="22" t="s">
        <v>1034</v>
      </c>
      <c r="C31" s="23" t="n">
        <v>2</v>
      </c>
      <c r="D31" s="27" t="s">
        <v>1035</v>
      </c>
      <c r="E31" s="27"/>
      <c r="F31" s="27"/>
      <c r="G31" s="27"/>
      <c r="H31" s="27"/>
      <c r="I31" s="27"/>
      <c r="J31" s="27"/>
      <c r="K31" s="27"/>
      <c r="L31" s="27"/>
      <c r="M31" s="27"/>
      <c r="N31" s="27"/>
    </row>
    <row r="32" customFormat="false" ht="17.25" hidden="false" customHeight="true" outlineLevel="0" collapsed="false">
      <c r="B32" s="43" t="s">
        <v>1036</v>
      </c>
      <c r="C32" s="43"/>
      <c r="D32" s="43"/>
      <c r="E32" s="43"/>
      <c r="F32" s="43"/>
      <c r="G32" s="43"/>
      <c r="H32" s="43"/>
      <c r="I32" s="43"/>
      <c r="J32" s="43"/>
      <c r="K32" s="43"/>
      <c r="L32" s="43"/>
      <c r="M32" s="43"/>
      <c r="N32" s="43"/>
    </row>
    <row r="33" customFormat="false" ht="17.25" hidden="false" customHeight="true" outlineLevel="0" collapsed="false">
      <c r="B33" s="11" t="s">
        <v>1037</v>
      </c>
      <c r="C33" s="11"/>
      <c r="D33" s="11" t="s">
        <v>1038</v>
      </c>
      <c r="E33" s="11"/>
      <c r="F33" s="11" t="s">
        <v>1039</v>
      </c>
      <c r="G33" s="11"/>
      <c r="H33" s="11" t="s">
        <v>1040</v>
      </c>
      <c r="I33" s="11"/>
      <c r="J33" s="11"/>
      <c r="K33" s="11"/>
    </row>
    <row r="34" customFormat="false" ht="17.25" hidden="false" customHeight="true" outlineLevel="0" collapsed="false">
      <c r="B34" s="13" t="s">
        <v>715</v>
      </c>
      <c r="C34" s="13"/>
      <c r="D34" s="94" t="n">
        <v>0.5</v>
      </c>
      <c r="E34" s="94"/>
      <c r="F34" s="14" t="n">
        <f aca="false">RANK(D34,$D$34:$D$36)</f>
        <v>1</v>
      </c>
      <c r="G34" s="14"/>
      <c r="H34" s="13" t="str">
        <f aca="false">IF(F34&lt;=C31,"yes","no — pruned")</f>
        <v>yes</v>
      </c>
      <c r="I34" s="13"/>
      <c r="J34" s="13"/>
      <c r="K34" s="13"/>
    </row>
    <row r="35" customFormat="false" ht="17.25" hidden="false" customHeight="true" outlineLevel="0" collapsed="false">
      <c r="B35" s="16" t="s">
        <v>1041</v>
      </c>
      <c r="C35" s="16"/>
      <c r="D35" s="94" t="n">
        <v>0.4</v>
      </c>
      <c r="E35" s="94"/>
      <c r="F35" s="17" t="n">
        <f aca="false">RANK(D35,$D$34:$D$36)</f>
        <v>2</v>
      </c>
      <c r="G35" s="17"/>
      <c r="H35" s="16" t="str">
        <f aca="false">IF(F35&lt;=C31,"yes","no — pruned")</f>
        <v>yes</v>
      </c>
      <c r="I35" s="16"/>
      <c r="J35" s="16"/>
      <c r="K35" s="16"/>
    </row>
    <row r="36" customFormat="false" ht="17.25" hidden="false" customHeight="true" outlineLevel="0" collapsed="false">
      <c r="B36" s="13" t="s">
        <v>1042</v>
      </c>
      <c r="C36" s="13"/>
      <c r="D36" s="94" t="n">
        <v>0.1</v>
      </c>
      <c r="E36" s="94"/>
      <c r="F36" s="14" t="n">
        <f aca="false">RANK(D36,$D$34:$D$36)</f>
        <v>3</v>
      </c>
      <c r="G36" s="14"/>
      <c r="H36" s="13" t="str">
        <f aca="false">IF(F36&lt;=C31,"yes","no — pruned")</f>
        <v>no — pruned</v>
      </c>
      <c r="I36" s="13"/>
      <c r="J36" s="13"/>
      <c r="K36" s="13"/>
    </row>
    <row r="37" customFormat="false" ht="17.25" hidden="false" customHeight="true" outlineLevel="0" collapsed="false">
      <c r="B37" s="43" t="s">
        <v>1043</v>
      </c>
      <c r="C37" s="43"/>
      <c r="D37" s="43"/>
      <c r="E37" s="43"/>
      <c r="F37" s="43"/>
      <c r="G37" s="43"/>
      <c r="H37" s="43"/>
      <c r="I37" s="43"/>
      <c r="J37" s="43"/>
      <c r="K37" s="43"/>
      <c r="L37" s="43"/>
      <c r="M37" s="43"/>
      <c r="N37" s="43"/>
    </row>
    <row r="38" customFormat="false" ht="17.25" hidden="false" customHeight="true" outlineLevel="0" collapsed="false">
      <c r="B38" s="11" t="s">
        <v>1044</v>
      </c>
      <c r="C38" s="11" t="s">
        <v>1045</v>
      </c>
      <c r="D38" s="11"/>
      <c r="E38" s="11" t="s">
        <v>1046</v>
      </c>
      <c r="F38" s="11"/>
      <c r="G38" s="11" t="s">
        <v>1047</v>
      </c>
      <c r="H38" s="11"/>
      <c r="I38" s="11" t="s">
        <v>1048</v>
      </c>
      <c r="J38" s="11"/>
      <c r="K38" s="11" t="s">
        <v>1049</v>
      </c>
      <c r="L38" s="11"/>
      <c r="M38" s="11" t="s">
        <v>1050</v>
      </c>
      <c r="N38" s="11"/>
      <c r="P38" s="95" t="s">
        <v>1051</v>
      </c>
      <c r="Q38" s="95" t="s">
        <v>1052</v>
      </c>
    </row>
    <row r="39" customFormat="false" ht="17.25" hidden="false" customHeight="true" outlineLevel="0" collapsed="false">
      <c r="B39" s="13" t="s">
        <v>715</v>
      </c>
      <c r="C39" s="13" t="s">
        <v>369</v>
      </c>
      <c r="D39" s="13"/>
      <c r="E39" s="94" t="n">
        <v>0.4</v>
      </c>
      <c r="F39" s="94"/>
      <c r="G39" s="31" t="n">
        <f aca="false">INDEX($D$34:$D$36,MATCH(B39,$B$34:$B$36,0))*E39</f>
        <v>0.2</v>
      </c>
      <c r="H39" s="31"/>
      <c r="I39" s="31" t="n">
        <f aca="false">LN(G39)</f>
        <v>-1.6094379124341</v>
      </c>
      <c r="J39" s="31"/>
      <c r="K39" s="14" t="str">
        <f aca="false">INDEX($H$34:$H$36,MATCH(B39,$B$34:$B$36,0))</f>
        <v>yes</v>
      </c>
      <c r="L39" s="14"/>
      <c r="M39" s="14" t="str">
        <f aca="false">IF(B39=INDEX($B$34:$B$36,MATCH(MAX($D$34:$D$36),$D$34:$D$36,0)),"on greedy path","")</f>
        <v>on greedy path</v>
      </c>
      <c r="N39" s="14"/>
      <c r="P39" s="96" t="n">
        <f aca="false">IF(M39="",0,G39)</f>
        <v>0.2</v>
      </c>
      <c r="Q39" s="96" t="n">
        <f aca="false">IF(K39="yes",G39,0)</f>
        <v>0.2</v>
      </c>
    </row>
    <row r="40" customFormat="false" ht="17.25" hidden="false" customHeight="true" outlineLevel="0" collapsed="false">
      <c r="B40" s="16" t="s">
        <v>715</v>
      </c>
      <c r="C40" s="16" t="s">
        <v>1053</v>
      </c>
      <c r="D40" s="16"/>
      <c r="E40" s="94" t="n">
        <v>0.35</v>
      </c>
      <c r="F40" s="94"/>
      <c r="G40" s="33" t="n">
        <f aca="false">INDEX($D$34:$D$36,MATCH(B40,$B$34:$B$36,0))*E40</f>
        <v>0.175</v>
      </c>
      <c r="H40" s="33"/>
      <c r="I40" s="33" t="n">
        <f aca="false">LN(G40)</f>
        <v>-1.74296930505862</v>
      </c>
      <c r="J40" s="33"/>
      <c r="K40" s="17" t="str">
        <f aca="false">INDEX($H$34:$H$36,MATCH(B40,$B$34:$B$36,0))</f>
        <v>yes</v>
      </c>
      <c r="L40" s="17"/>
      <c r="M40" s="17" t="str">
        <f aca="false">IF(B40=INDEX($B$34:$B$36,MATCH(MAX($D$34:$D$36),$D$34:$D$36,0)),"on greedy path","")</f>
        <v>on greedy path</v>
      </c>
      <c r="N40" s="17"/>
      <c r="P40" s="96" t="n">
        <f aca="false">IF(M40="",0,G40)</f>
        <v>0.175</v>
      </c>
      <c r="Q40" s="96" t="n">
        <f aca="false">IF(K40="yes",G40,0)</f>
        <v>0.175</v>
      </c>
    </row>
    <row r="41" customFormat="false" ht="17.25" hidden="false" customHeight="true" outlineLevel="0" collapsed="false">
      <c r="B41" s="13" t="s">
        <v>715</v>
      </c>
      <c r="C41" s="13" t="s">
        <v>1054</v>
      </c>
      <c r="D41" s="13"/>
      <c r="E41" s="94" t="n">
        <v>0.25</v>
      </c>
      <c r="F41" s="94"/>
      <c r="G41" s="31" t="n">
        <f aca="false">INDEX($D$34:$D$36,MATCH(B41,$B$34:$B$36,0))*E41</f>
        <v>0.125</v>
      </c>
      <c r="H41" s="31"/>
      <c r="I41" s="31" t="n">
        <f aca="false">LN(G41)</f>
        <v>-2.07944154167984</v>
      </c>
      <c r="J41" s="31"/>
      <c r="K41" s="14" t="str">
        <f aca="false">INDEX($H$34:$H$36,MATCH(B41,$B$34:$B$36,0))</f>
        <v>yes</v>
      </c>
      <c r="L41" s="14"/>
      <c r="M41" s="14" t="str">
        <f aca="false">IF(B41=INDEX($B$34:$B$36,MATCH(MAX($D$34:$D$36),$D$34:$D$36,0)),"on greedy path","")</f>
        <v>on greedy path</v>
      </c>
      <c r="N41" s="14"/>
      <c r="P41" s="96" t="n">
        <f aca="false">IF(M41="",0,G41)</f>
        <v>0.125</v>
      </c>
      <c r="Q41" s="96" t="n">
        <f aca="false">IF(K41="yes",G41,0)</f>
        <v>0.125</v>
      </c>
    </row>
    <row r="42" customFormat="false" ht="17.25" hidden="false" customHeight="true" outlineLevel="0" collapsed="false">
      <c r="B42" s="16" t="s">
        <v>1041</v>
      </c>
      <c r="C42" s="16" t="s">
        <v>369</v>
      </c>
      <c r="D42" s="16"/>
      <c r="E42" s="94" t="n">
        <v>0.9</v>
      </c>
      <c r="F42" s="94"/>
      <c r="G42" s="33" t="n">
        <f aca="false">INDEX($D$34:$D$36,MATCH(B42,$B$34:$B$36,0))*E42</f>
        <v>0.36</v>
      </c>
      <c r="H42" s="33"/>
      <c r="I42" s="33" t="n">
        <f aca="false">LN(G42)</f>
        <v>-1.02165124753198</v>
      </c>
      <c r="J42" s="33"/>
      <c r="K42" s="17" t="str">
        <f aca="false">INDEX($H$34:$H$36,MATCH(B42,$B$34:$B$36,0))</f>
        <v>yes</v>
      </c>
      <c r="L42" s="17"/>
      <c r="M42" s="17" t="str">
        <f aca="false">IF(B42=INDEX($B$34:$B$36,MATCH(MAX($D$34:$D$36),$D$34:$D$36,0)),"on greedy path","")</f>
        <v/>
      </c>
      <c r="N42" s="17"/>
      <c r="P42" s="96" t="n">
        <f aca="false">IF(M42="",0,G42)</f>
        <v>0</v>
      </c>
      <c r="Q42" s="96" t="n">
        <f aca="false">IF(K42="yes",G42,0)</f>
        <v>0.36</v>
      </c>
    </row>
    <row r="43" customFormat="false" ht="17.25" hidden="false" customHeight="true" outlineLevel="0" collapsed="false">
      <c r="B43" s="13" t="s">
        <v>1041</v>
      </c>
      <c r="C43" s="13" t="s">
        <v>1053</v>
      </c>
      <c r="D43" s="13"/>
      <c r="E43" s="94" t="n">
        <v>0.05</v>
      </c>
      <c r="F43" s="94"/>
      <c r="G43" s="31" t="n">
        <f aca="false">INDEX($D$34:$D$36,MATCH(B43,$B$34:$B$36,0))*E43</f>
        <v>0.02</v>
      </c>
      <c r="H43" s="31"/>
      <c r="I43" s="31" t="n">
        <f aca="false">LN(G43)</f>
        <v>-3.91202300542815</v>
      </c>
      <c r="J43" s="31"/>
      <c r="K43" s="14" t="str">
        <f aca="false">INDEX($H$34:$H$36,MATCH(B43,$B$34:$B$36,0))</f>
        <v>yes</v>
      </c>
      <c r="L43" s="14"/>
      <c r="M43" s="14" t="str">
        <f aca="false">IF(B43=INDEX($B$34:$B$36,MATCH(MAX($D$34:$D$36),$D$34:$D$36,0)),"on greedy path","")</f>
        <v/>
      </c>
      <c r="N43" s="14"/>
      <c r="P43" s="96" t="n">
        <f aca="false">IF(M43="",0,G43)</f>
        <v>0</v>
      </c>
      <c r="Q43" s="96" t="n">
        <f aca="false">IF(K43="yes",G43,0)</f>
        <v>0.02</v>
      </c>
    </row>
    <row r="44" customFormat="false" ht="17.25" hidden="false" customHeight="true" outlineLevel="0" collapsed="false">
      <c r="B44" s="16" t="s">
        <v>1041</v>
      </c>
      <c r="C44" s="16" t="s">
        <v>1054</v>
      </c>
      <c r="D44" s="16"/>
      <c r="E44" s="94" t="n">
        <v>0.05</v>
      </c>
      <c r="F44" s="94"/>
      <c r="G44" s="33" t="n">
        <f aca="false">INDEX($D$34:$D$36,MATCH(B44,$B$34:$B$36,0))*E44</f>
        <v>0.02</v>
      </c>
      <c r="H44" s="33"/>
      <c r="I44" s="33" t="n">
        <f aca="false">LN(G44)</f>
        <v>-3.91202300542815</v>
      </c>
      <c r="J44" s="33"/>
      <c r="K44" s="17" t="str">
        <f aca="false">INDEX($H$34:$H$36,MATCH(B44,$B$34:$B$36,0))</f>
        <v>yes</v>
      </c>
      <c r="L44" s="17"/>
      <c r="M44" s="17" t="str">
        <f aca="false">IF(B44=INDEX($B$34:$B$36,MATCH(MAX($D$34:$D$36),$D$34:$D$36,0)),"on greedy path","")</f>
        <v/>
      </c>
      <c r="N44" s="17"/>
      <c r="P44" s="96" t="n">
        <f aca="false">IF(M44="",0,G44)</f>
        <v>0</v>
      </c>
      <c r="Q44" s="96" t="n">
        <f aca="false">IF(K44="yes",G44,0)</f>
        <v>0.02</v>
      </c>
    </row>
    <row r="45" customFormat="false" ht="17.25" hidden="false" customHeight="true" outlineLevel="0" collapsed="false">
      <c r="B45" s="13" t="s">
        <v>1042</v>
      </c>
      <c r="C45" s="13" t="s">
        <v>1053</v>
      </c>
      <c r="D45" s="13"/>
      <c r="E45" s="94" t="n">
        <v>0.8</v>
      </c>
      <c r="F45" s="94"/>
      <c r="G45" s="31" t="n">
        <f aca="false">INDEX($D$34:$D$36,MATCH(B45,$B$34:$B$36,0))*E45</f>
        <v>0.08</v>
      </c>
      <c r="H45" s="31"/>
      <c r="I45" s="31" t="n">
        <f aca="false">LN(G45)</f>
        <v>-2.52572864430826</v>
      </c>
      <c r="J45" s="31"/>
      <c r="K45" s="14" t="str">
        <f aca="false">INDEX($H$34:$H$36,MATCH(B45,$B$34:$B$36,0))</f>
        <v>no — pruned</v>
      </c>
      <c r="L45" s="14"/>
      <c r="M45" s="14" t="str">
        <f aca="false">IF(B45=INDEX($B$34:$B$36,MATCH(MAX($D$34:$D$36),$D$34:$D$36,0)),"on greedy path","")</f>
        <v/>
      </c>
      <c r="N45" s="14"/>
      <c r="P45" s="96" t="n">
        <f aca="false">IF(M45="",0,G45)</f>
        <v>0</v>
      </c>
      <c r="Q45" s="96" t="n">
        <f aca="false">IF(K45="yes",G45,0)</f>
        <v>0</v>
      </c>
    </row>
    <row r="46" customFormat="false" ht="17.25" hidden="false" customHeight="true" outlineLevel="0" collapsed="false">
      <c r="B46" s="16" t="s">
        <v>1042</v>
      </c>
      <c r="C46" s="16" t="s">
        <v>1054</v>
      </c>
      <c r="D46" s="16"/>
      <c r="E46" s="94" t="n">
        <v>0.2</v>
      </c>
      <c r="F46" s="94"/>
      <c r="G46" s="33" t="n">
        <f aca="false">INDEX($D$34:$D$36,MATCH(B46,$B$34:$B$36,0))*E46</f>
        <v>0.02</v>
      </c>
      <c r="H46" s="33"/>
      <c r="I46" s="33" t="n">
        <f aca="false">LN(G46)</f>
        <v>-3.91202300542815</v>
      </c>
      <c r="J46" s="33"/>
      <c r="K46" s="17" t="str">
        <f aca="false">INDEX($H$34:$H$36,MATCH(B46,$B$34:$B$36,0))</f>
        <v>no — pruned</v>
      </c>
      <c r="L46" s="17"/>
      <c r="M46" s="17" t="str">
        <f aca="false">IF(B46=INDEX($B$34:$B$36,MATCH(MAX($D$34:$D$36),$D$34:$D$36,0)),"on greedy path","")</f>
        <v/>
      </c>
      <c r="N46" s="17"/>
      <c r="P46" s="96" t="n">
        <f aca="false">IF(M46="",0,G46)</f>
        <v>0</v>
      </c>
      <c r="Q46" s="96" t="n">
        <f aca="false">IF(K46="yes",G46,0)</f>
        <v>0</v>
      </c>
    </row>
    <row r="47" customFormat="false" ht="15.75" hidden="false" customHeight="true" outlineLevel="0" collapsed="false">
      <c r="B47" s="10" t="s">
        <v>15</v>
      </c>
      <c r="C47" s="29" t="str">
        <f aca="false">"P(Eine Katze) = P(Eine) × P(Katze | Eine) = "&amp;IF(ROUND(D35,3)&lt;0,"("&amp;ROUND(D35,3)&amp;")",ROUND(D35,3)&amp;"")&amp;" × "&amp;IF(ROUND(E42,3)&lt;0,"("&amp;ROUND(E42,3)&amp;")",ROUND(E42,3)&amp;"")&amp;" = "&amp;IF(ROUND(G42,3)&lt;0,"("&amp;ROUND(G42,3)&amp;")",ROUND(G42,3)&amp;"")&amp;";  log P = "&amp;IF(ROUND(I42,3)&lt;0,"("&amp;ROUND(I42,3)&amp;")",ROUND(I42,3)&amp;"")</f>
        <v>P(Eine Katze) = P(Eine) × P(Katze | Eine) = 0.4 × 0.9 = 0.36;  log P = (-1.022)</v>
      </c>
      <c r="D47" s="29"/>
      <c r="E47" s="29"/>
      <c r="F47" s="29"/>
      <c r="G47" s="29"/>
      <c r="H47" s="29"/>
      <c r="I47" s="29"/>
      <c r="J47" s="29"/>
      <c r="K47" s="29"/>
      <c r="L47" s="29"/>
      <c r="M47" s="29"/>
      <c r="N47" s="29"/>
    </row>
    <row r="48" customFormat="false" ht="17.25" hidden="false" customHeight="true" outlineLevel="0" collapsed="false">
      <c r="B48" s="22" t="s">
        <v>1055</v>
      </c>
      <c r="C48" s="97" t="str">
        <f aca="false">INDEX($B$39:$B$46,MATCH(MAX($P$39:$P$46),$P$39:$P$46,0))&amp;" "&amp;INDEX($C$39:$C$46,MATCH(MAX($P$39:$P$46),$P$39:$P$46,0))</f>
        <v>Die Katze</v>
      </c>
      <c r="D48" s="27" t="s">
        <v>1056</v>
      </c>
      <c r="E48" s="27"/>
      <c r="F48" s="27"/>
      <c r="G48" s="27"/>
      <c r="H48" s="27"/>
      <c r="I48" s="27"/>
      <c r="J48" s="27"/>
      <c r="K48" s="27"/>
      <c r="L48" s="27"/>
      <c r="M48" s="27"/>
      <c r="N48" s="27"/>
    </row>
    <row r="49" customFormat="false" ht="15.75" hidden="false" customHeight="true" outlineLevel="0" collapsed="false">
      <c r="B49" s="22" t="s">
        <v>1057</v>
      </c>
      <c r="C49" s="40" t="n">
        <f aca="false">MAX($P$39:$P$46)</f>
        <v>0.2</v>
      </c>
    </row>
    <row r="50" customFormat="false" ht="17.25" hidden="false" customHeight="true" outlineLevel="0" collapsed="false">
      <c r="B50" s="22" t="s">
        <v>1058</v>
      </c>
      <c r="C50" s="93" t="str">
        <f aca="false">INDEX($B$39:$B$46,MATCH(MAX($Q$39:$Q$46),$Q$39:$Q$46,0))&amp;" "&amp;INDEX($C$39:$C$46,MATCH(MAX($Q$39:$Q$46),$Q$39:$Q$46,0))</f>
        <v>Eine Katze</v>
      </c>
      <c r="D50" s="27" t="s">
        <v>1059</v>
      </c>
      <c r="E50" s="27"/>
      <c r="F50" s="27"/>
      <c r="G50" s="27"/>
      <c r="H50" s="27"/>
      <c r="I50" s="27"/>
      <c r="J50" s="27"/>
      <c r="K50" s="27"/>
      <c r="L50" s="27"/>
      <c r="M50" s="27"/>
      <c r="N50" s="27"/>
    </row>
    <row r="51" customFormat="false" ht="15.75" hidden="false" customHeight="true" outlineLevel="0" collapsed="false">
      <c r="B51" s="22" t="s">
        <v>1060</v>
      </c>
      <c r="C51" s="41" t="n">
        <f aca="false">MAX($Q$39:$Q$46)</f>
        <v>0.36</v>
      </c>
    </row>
    <row r="52" customFormat="false" ht="17.25" hidden="false" customHeight="true" outlineLevel="0" collapsed="false">
      <c r="B52" s="43" t="s">
        <v>1061</v>
      </c>
      <c r="C52" s="43"/>
      <c r="D52" s="43"/>
      <c r="E52" s="43"/>
      <c r="F52" s="43"/>
      <c r="G52" s="43"/>
      <c r="H52" s="43"/>
      <c r="I52" s="43"/>
      <c r="J52" s="43"/>
      <c r="K52" s="43"/>
      <c r="L52" s="43"/>
      <c r="M52" s="43"/>
      <c r="N52" s="43"/>
    </row>
    <row r="54" customFormat="false" ht="18.75" hidden="false" customHeight="true" outlineLevel="0" collapsed="false">
      <c r="B54" s="25" t="s">
        <v>1062</v>
      </c>
      <c r="C54" s="25"/>
      <c r="D54" s="25"/>
      <c r="E54" s="25"/>
      <c r="F54" s="25"/>
      <c r="G54" s="25"/>
      <c r="H54" s="25"/>
      <c r="I54" s="25"/>
      <c r="J54" s="25"/>
      <c r="K54" s="25"/>
      <c r="L54" s="25"/>
      <c r="M54" s="25"/>
      <c r="N54" s="25"/>
    </row>
    <row r="55" customFormat="false" ht="31.5" hidden="false" customHeight="true" outlineLevel="0" collapsed="false">
      <c r="B55" s="5" t="s">
        <v>1063</v>
      </c>
      <c r="C55" s="5"/>
      <c r="D55" s="5"/>
      <c r="E55" s="5"/>
      <c r="F55" s="5"/>
      <c r="G55" s="5"/>
      <c r="H55" s="5"/>
      <c r="I55" s="5"/>
      <c r="J55" s="5"/>
      <c r="K55" s="5"/>
      <c r="L55" s="5"/>
      <c r="M55" s="5"/>
      <c r="N55" s="5"/>
    </row>
    <row r="56" customFormat="false" ht="20.25" hidden="false" customHeight="true" outlineLevel="0" collapsed="false">
      <c r="B56" s="24" t="s">
        <v>1064</v>
      </c>
      <c r="C56" s="24"/>
      <c r="D56" s="24"/>
      <c r="E56" s="24"/>
      <c r="F56" s="24"/>
      <c r="G56" s="24"/>
      <c r="H56" s="24"/>
      <c r="I56" s="24"/>
      <c r="J56" s="24"/>
      <c r="K56" s="24"/>
      <c r="L56" s="24"/>
      <c r="M56" s="24"/>
      <c r="N56" s="24"/>
    </row>
    <row r="57" customFormat="false" ht="17.25" hidden="false" customHeight="true" outlineLevel="0" collapsed="false">
      <c r="B57" s="22" t="s">
        <v>1065</v>
      </c>
      <c r="C57" s="98" t="n">
        <v>0.6</v>
      </c>
      <c r="D57" s="27" t="s">
        <v>1066</v>
      </c>
      <c r="E57" s="27"/>
      <c r="F57" s="27"/>
      <c r="G57" s="27"/>
      <c r="H57" s="27"/>
      <c r="I57" s="27"/>
      <c r="J57" s="27"/>
      <c r="K57" s="27"/>
      <c r="L57" s="27"/>
      <c r="M57" s="27"/>
      <c r="N57" s="27"/>
    </row>
    <row r="58" customFormat="false" ht="17.25" hidden="false" customHeight="true" outlineLevel="0" collapsed="false">
      <c r="B58" s="11" t="s">
        <v>1067</v>
      </c>
      <c r="C58" s="11"/>
      <c r="D58" s="11"/>
      <c r="E58" s="11" t="s">
        <v>1068</v>
      </c>
      <c r="F58" s="11" t="s">
        <v>1069</v>
      </c>
      <c r="G58" s="11"/>
      <c r="H58" s="11" t="s">
        <v>1070</v>
      </c>
      <c r="I58" s="11"/>
      <c r="J58" s="11" t="s">
        <v>1071</v>
      </c>
      <c r="K58" s="11"/>
      <c r="L58" s="11" t="s">
        <v>1072</v>
      </c>
      <c r="M58" s="11"/>
      <c r="N58" s="11"/>
    </row>
    <row r="59" customFormat="false" ht="17.25" hidden="false" customHeight="true" outlineLevel="0" collapsed="false">
      <c r="B59" s="13" t="s">
        <v>1073</v>
      </c>
      <c r="C59" s="13"/>
      <c r="D59" s="13"/>
      <c r="E59" s="6" t="n">
        <v>2</v>
      </c>
      <c r="F59" s="94" t="n">
        <v>-1.4</v>
      </c>
      <c r="G59" s="94"/>
      <c r="H59" s="49" t="n">
        <f aca="false">((5+E59)/6)^C57</f>
        <v>1.09690261990622</v>
      </c>
      <c r="I59" s="49"/>
      <c r="J59" s="99" t="n">
        <f aca="false">F59/H59</f>
        <v>-1.27632113789617</v>
      </c>
      <c r="K59" s="99"/>
      <c r="L59" s="13" t="str">
        <f aca="false">IF(J59=MAX($J$59:$J$60),"✔ chosen","")</f>
        <v/>
      </c>
      <c r="M59" s="13"/>
      <c r="N59" s="13"/>
    </row>
    <row r="60" customFormat="false" ht="17.25" hidden="false" customHeight="true" outlineLevel="0" collapsed="false">
      <c r="B60" s="16" t="s">
        <v>1074</v>
      </c>
      <c r="C60" s="16"/>
      <c r="D60" s="16"/>
      <c r="E60" s="6" t="n">
        <v>5</v>
      </c>
      <c r="F60" s="94" t="n">
        <v>-1.5</v>
      </c>
      <c r="G60" s="94"/>
      <c r="H60" s="50" t="n">
        <f aca="false">((5+E60)/6)^C57</f>
        <v>1.35865518267654</v>
      </c>
      <c r="I60" s="50"/>
      <c r="J60" s="100" t="n">
        <f aca="false">F60/H60</f>
        <v>-1.10403288422675</v>
      </c>
      <c r="K60" s="100"/>
      <c r="L60" s="16" t="str">
        <f aca="false">IF(J60=MAX($J$59:$J$60),"✔ chosen","")</f>
        <v>✔ chosen</v>
      </c>
      <c r="M60" s="16"/>
      <c r="N60" s="16"/>
    </row>
    <row r="61" customFormat="false" ht="17.25" hidden="false" customHeight="true" outlineLevel="0" collapsed="false">
      <c r="B61" s="5" t="s">
        <v>1075</v>
      </c>
      <c r="C61" s="5"/>
      <c r="D61" s="5"/>
      <c r="E61" s="5"/>
      <c r="F61" s="5"/>
      <c r="G61" s="5"/>
      <c r="H61" s="5"/>
      <c r="I61" s="5"/>
      <c r="J61" s="5"/>
      <c r="K61" s="5"/>
      <c r="L61" s="5"/>
      <c r="M61" s="5"/>
      <c r="N61" s="5"/>
    </row>
    <row r="62" customFormat="false" ht="18.75" hidden="false" customHeight="true" outlineLevel="0" collapsed="false">
      <c r="B62" s="25" t="s">
        <v>279</v>
      </c>
      <c r="C62" s="25"/>
      <c r="D62" s="25"/>
      <c r="E62" s="25"/>
      <c r="F62" s="25"/>
      <c r="G62" s="25"/>
      <c r="H62" s="25"/>
      <c r="I62" s="25"/>
      <c r="J62" s="25"/>
      <c r="K62" s="25"/>
      <c r="L62" s="25"/>
      <c r="M62" s="25"/>
      <c r="N62" s="25"/>
    </row>
    <row r="63" customFormat="false" ht="17.25" hidden="false" customHeight="true" outlineLevel="0" collapsed="false">
      <c r="B63" s="43" t="s">
        <v>1076</v>
      </c>
      <c r="C63" s="43"/>
      <c r="D63" s="43"/>
      <c r="E63" s="43"/>
      <c r="F63" s="43"/>
      <c r="G63" s="43"/>
      <c r="H63" s="43"/>
      <c r="I63" s="43"/>
      <c r="J63" s="43"/>
      <c r="K63" s="43"/>
      <c r="L63" s="43"/>
      <c r="M63" s="43"/>
      <c r="N63" s="43"/>
    </row>
    <row r="64" customFormat="false" ht="17.25" hidden="false" customHeight="true" outlineLevel="0" collapsed="false">
      <c r="B64" s="44" t="s">
        <v>1077</v>
      </c>
      <c r="C64" s="44"/>
      <c r="D64" s="44"/>
      <c r="E64" s="44"/>
      <c r="F64" s="44"/>
      <c r="G64" s="44"/>
      <c r="H64" s="44"/>
      <c r="I64" s="44"/>
      <c r="J64" s="44"/>
      <c r="K64" s="44"/>
      <c r="L64" s="44"/>
      <c r="M64" s="44"/>
      <c r="N64" s="44"/>
    </row>
    <row r="65" customFormat="false" ht="17.25" hidden="false" customHeight="true" outlineLevel="0" collapsed="false">
      <c r="B65" s="43" t="s">
        <v>1078</v>
      </c>
      <c r="C65" s="43"/>
      <c r="D65" s="43"/>
      <c r="E65" s="43"/>
      <c r="F65" s="43"/>
      <c r="G65" s="43"/>
      <c r="H65" s="43"/>
      <c r="I65" s="43"/>
      <c r="J65" s="43"/>
      <c r="K65" s="43"/>
      <c r="L65" s="43"/>
      <c r="M65" s="43"/>
      <c r="N65" s="43"/>
    </row>
    <row r="66" customFormat="false" ht="17.25" hidden="false" customHeight="true" outlineLevel="0" collapsed="false">
      <c r="B66" s="44" t="s">
        <v>1079</v>
      </c>
      <c r="C66" s="44"/>
      <c r="D66" s="44"/>
      <c r="E66" s="44"/>
      <c r="F66" s="44"/>
      <c r="G66" s="44"/>
      <c r="H66" s="44"/>
      <c r="I66" s="44"/>
      <c r="J66" s="44"/>
      <c r="K66" s="44"/>
      <c r="L66" s="44"/>
      <c r="M66" s="44"/>
      <c r="N66" s="44"/>
    </row>
  </sheetData>
  <mergeCells count="117">
    <mergeCell ref="B1:N1"/>
    <mergeCell ref="B2:N2"/>
    <mergeCell ref="B4:N4"/>
    <mergeCell ref="B5:N5"/>
    <mergeCell ref="B6:N6"/>
    <mergeCell ref="B7:N7"/>
    <mergeCell ref="B8:N8"/>
    <mergeCell ref="B9:F9"/>
    <mergeCell ref="B13:F13"/>
    <mergeCell ref="C24:N24"/>
    <mergeCell ref="C25:N25"/>
    <mergeCell ref="D26:N26"/>
    <mergeCell ref="B27:N27"/>
    <mergeCell ref="B29:N29"/>
    <mergeCell ref="B30:N30"/>
    <mergeCell ref="D31:N31"/>
    <mergeCell ref="B32:N32"/>
    <mergeCell ref="B33:C33"/>
    <mergeCell ref="D33:E33"/>
    <mergeCell ref="F33:G33"/>
    <mergeCell ref="H33:K33"/>
    <mergeCell ref="B34:C34"/>
    <mergeCell ref="D34:E34"/>
    <mergeCell ref="F34:G34"/>
    <mergeCell ref="H34:K34"/>
    <mergeCell ref="B35:C35"/>
    <mergeCell ref="D35:E35"/>
    <mergeCell ref="F35:G35"/>
    <mergeCell ref="H35:K35"/>
    <mergeCell ref="B36:C36"/>
    <mergeCell ref="D36:E36"/>
    <mergeCell ref="F36:G36"/>
    <mergeCell ref="H36:K36"/>
    <mergeCell ref="B37:N37"/>
    <mergeCell ref="C38:D38"/>
    <mergeCell ref="E38:F38"/>
    <mergeCell ref="G38:H38"/>
    <mergeCell ref="I38:J38"/>
    <mergeCell ref="K38:L38"/>
    <mergeCell ref="M38:N38"/>
    <mergeCell ref="C39:D39"/>
    <mergeCell ref="E39:F39"/>
    <mergeCell ref="G39:H39"/>
    <mergeCell ref="I39:J39"/>
    <mergeCell ref="K39:L39"/>
    <mergeCell ref="M39:N39"/>
    <mergeCell ref="C40:D40"/>
    <mergeCell ref="E40:F40"/>
    <mergeCell ref="G40:H40"/>
    <mergeCell ref="I40:J40"/>
    <mergeCell ref="K40:L40"/>
    <mergeCell ref="M40:N40"/>
    <mergeCell ref="C41:D41"/>
    <mergeCell ref="E41:F41"/>
    <mergeCell ref="G41:H41"/>
    <mergeCell ref="I41:J41"/>
    <mergeCell ref="K41:L41"/>
    <mergeCell ref="M41:N41"/>
    <mergeCell ref="C42:D42"/>
    <mergeCell ref="E42:F42"/>
    <mergeCell ref="G42:H42"/>
    <mergeCell ref="I42:J42"/>
    <mergeCell ref="K42:L42"/>
    <mergeCell ref="M42:N42"/>
    <mergeCell ref="C43:D43"/>
    <mergeCell ref="E43:F43"/>
    <mergeCell ref="G43:H43"/>
    <mergeCell ref="I43:J43"/>
    <mergeCell ref="K43:L43"/>
    <mergeCell ref="M43:N43"/>
    <mergeCell ref="C44:D44"/>
    <mergeCell ref="E44:F44"/>
    <mergeCell ref="G44:H44"/>
    <mergeCell ref="I44:J44"/>
    <mergeCell ref="K44:L44"/>
    <mergeCell ref="M44:N44"/>
    <mergeCell ref="C45:D45"/>
    <mergeCell ref="E45:F45"/>
    <mergeCell ref="G45:H45"/>
    <mergeCell ref="I45:J45"/>
    <mergeCell ref="K45:L45"/>
    <mergeCell ref="M45:N45"/>
    <mergeCell ref="C46:D46"/>
    <mergeCell ref="E46:F46"/>
    <mergeCell ref="G46:H46"/>
    <mergeCell ref="I46:J46"/>
    <mergeCell ref="K46:L46"/>
    <mergeCell ref="M46:N46"/>
    <mergeCell ref="C47:N47"/>
    <mergeCell ref="D48:N48"/>
    <mergeCell ref="D50:N50"/>
    <mergeCell ref="B52:N52"/>
    <mergeCell ref="B54:N54"/>
    <mergeCell ref="B55:N55"/>
    <mergeCell ref="B56:N56"/>
    <mergeCell ref="D57:N57"/>
    <mergeCell ref="B58:D58"/>
    <mergeCell ref="F58:G58"/>
    <mergeCell ref="H58:I58"/>
    <mergeCell ref="J58:K58"/>
    <mergeCell ref="L58:N58"/>
    <mergeCell ref="B59:D59"/>
    <mergeCell ref="F59:G59"/>
    <mergeCell ref="H59:I59"/>
    <mergeCell ref="J59:K59"/>
    <mergeCell ref="L59:N59"/>
    <mergeCell ref="B60:D60"/>
    <mergeCell ref="F60:G60"/>
    <mergeCell ref="H60:I60"/>
    <mergeCell ref="J60:K60"/>
    <mergeCell ref="L60:N60"/>
    <mergeCell ref="B61:N61"/>
    <mergeCell ref="B62:N62"/>
    <mergeCell ref="B63:N63"/>
    <mergeCell ref="B64:N64"/>
    <mergeCell ref="B65:N65"/>
    <mergeCell ref="B66:N66"/>
  </mergeCells>
  <conditionalFormatting sqref="I15:I22">
    <cfRule type="colorScale" priority="2">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1080</v>
      </c>
      <c r="C1" s="1"/>
      <c r="D1" s="1"/>
      <c r="E1" s="1"/>
      <c r="F1" s="1"/>
      <c r="G1" s="1"/>
      <c r="H1" s="1"/>
      <c r="I1" s="1"/>
      <c r="J1" s="1"/>
      <c r="K1" s="1"/>
      <c r="L1" s="1"/>
      <c r="M1" s="1"/>
      <c r="N1" s="1"/>
    </row>
    <row r="2" customFormat="false" ht="17.25" hidden="false" customHeight="true" outlineLevel="0" collapsed="false">
      <c r="B2" s="2" t="s">
        <v>1081</v>
      </c>
      <c r="C2" s="2"/>
      <c r="D2" s="2"/>
      <c r="E2" s="2"/>
      <c r="F2" s="2"/>
      <c r="G2" s="2"/>
      <c r="H2" s="2"/>
      <c r="I2" s="2"/>
      <c r="J2" s="2"/>
      <c r="K2" s="2"/>
      <c r="L2" s="2"/>
      <c r="M2" s="2"/>
      <c r="N2" s="2"/>
    </row>
    <row r="4" customFormat="false" ht="34.5" hidden="false" customHeight="true" outlineLevel="0" collapsed="false">
      <c r="B4" s="3" t="s">
        <v>1082</v>
      </c>
      <c r="C4" s="3"/>
      <c r="D4" s="3"/>
      <c r="E4" s="3"/>
      <c r="F4" s="3"/>
      <c r="G4" s="3"/>
      <c r="H4" s="3"/>
      <c r="I4" s="3"/>
      <c r="J4" s="3"/>
      <c r="K4" s="3"/>
      <c r="L4" s="3"/>
      <c r="M4" s="3"/>
      <c r="N4" s="3"/>
    </row>
    <row r="5" customFormat="false" ht="20.25" hidden="false" customHeight="true" outlineLevel="0" collapsed="false">
      <c r="B5" s="24" t="s">
        <v>1083</v>
      </c>
      <c r="C5" s="24"/>
      <c r="D5" s="24"/>
      <c r="E5" s="24"/>
      <c r="F5" s="24"/>
      <c r="G5" s="24"/>
      <c r="H5" s="24"/>
      <c r="I5" s="24"/>
      <c r="J5" s="24"/>
      <c r="K5" s="24"/>
      <c r="L5" s="24"/>
      <c r="M5" s="24"/>
      <c r="N5" s="24"/>
    </row>
    <row r="6" customFormat="false" ht="20.25" hidden="false" customHeight="true" outlineLevel="0" collapsed="false">
      <c r="B6" s="24" t="s">
        <v>1084</v>
      </c>
      <c r="C6" s="24"/>
      <c r="D6" s="24"/>
      <c r="E6" s="24"/>
      <c r="F6" s="24"/>
      <c r="G6" s="24"/>
      <c r="H6" s="24"/>
      <c r="I6" s="24"/>
      <c r="J6" s="24"/>
      <c r="K6" s="24"/>
      <c r="L6" s="24"/>
      <c r="M6" s="24"/>
      <c r="N6" s="24"/>
    </row>
    <row r="7" customFormat="false" ht="17.25" hidden="false" customHeight="true" outlineLevel="0" collapsed="false">
      <c r="B7" s="11" t="s">
        <v>374</v>
      </c>
      <c r="C7" s="11" t="s">
        <v>375</v>
      </c>
      <c r="D7" s="11"/>
      <c r="E7" s="11"/>
      <c r="F7" s="11"/>
      <c r="G7" s="11"/>
      <c r="H7" s="11"/>
      <c r="I7" s="11"/>
      <c r="J7" s="11"/>
      <c r="K7" s="11"/>
      <c r="L7" s="11" t="s">
        <v>376</v>
      </c>
      <c r="M7" s="11"/>
      <c r="N7" s="11"/>
    </row>
    <row r="8" customFormat="false" ht="17.25" hidden="false" customHeight="true" outlineLevel="0" collapsed="false">
      <c r="B8" s="55" t="s">
        <v>1085</v>
      </c>
      <c r="C8" s="13" t="s">
        <v>1086</v>
      </c>
      <c r="D8" s="13"/>
      <c r="E8" s="13"/>
      <c r="F8" s="13"/>
      <c r="G8" s="13"/>
      <c r="H8" s="13"/>
      <c r="I8" s="13"/>
      <c r="J8" s="13"/>
      <c r="K8" s="13"/>
      <c r="L8" s="13" t="s">
        <v>86</v>
      </c>
      <c r="M8" s="13"/>
      <c r="N8" s="13"/>
    </row>
    <row r="9" customFormat="false" ht="17.25" hidden="false" customHeight="true" outlineLevel="0" collapsed="false">
      <c r="B9" s="10" t="s">
        <v>1087</v>
      </c>
      <c r="C9" s="16" t="s">
        <v>1088</v>
      </c>
      <c r="D9" s="16"/>
      <c r="E9" s="16"/>
      <c r="F9" s="16"/>
      <c r="G9" s="16"/>
      <c r="H9" s="16"/>
      <c r="I9" s="16"/>
      <c r="J9" s="16"/>
      <c r="K9" s="16"/>
      <c r="L9" s="16" t="s">
        <v>86</v>
      </c>
      <c r="M9" s="16"/>
      <c r="N9" s="16"/>
    </row>
    <row r="10" customFormat="false" ht="17.25" hidden="false" customHeight="true" outlineLevel="0" collapsed="false">
      <c r="B10" s="55" t="s">
        <v>1089</v>
      </c>
      <c r="C10" s="13" t="s">
        <v>1090</v>
      </c>
      <c r="D10" s="13"/>
      <c r="E10" s="13"/>
      <c r="F10" s="13"/>
      <c r="G10" s="13"/>
      <c r="H10" s="13"/>
      <c r="I10" s="13"/>
      <c r="J10" s="13"/>
      <c r="K10" s="13"/>
      <c r="L10" s="13" t="s">
        <v>1091</v>
      </c>
      <c r="M10" s="13"/>
      <c r="N10" s="13"/>
    </row>
    <row r="11" customFormat="false" ht="17.25" hidden="false" customHeight="true" outlineLevel="0" collapsed="false">
      <c r="B11" s="10" t="s">
        <v>612</v>
      </c>
      <c r="C11" s="16" t="s">
        <v>1092</v>
      </c>
      <c r="D11" s="16"/>
      <c r="E11" s="16"/>
      <c r="F11" s="16"/>
      <c r="G11" s="16"/>
      <c r="H11" s="16"/>
      <c r="I11" s="16"/>
      <c r="J11" s="16"/>
      <c r="K11" s="16"/>
      <c r="L11" s="16" t="s">
        <v>1093</v>
      </c>
      <c r="M11" s="16"/>
      <c r="N11" s="16"/>
    </row>
    <row r="12" customFormat="false" ht="17.25" hidden="false" customHeight="true" outlineLevel="0" collapsed="false">
      <c r="B12" s="55" t="s">
        <v>1094</v>
      </c>
      <c r="C12" s="13" t="s">
        <v>1095</v>
      </c>
      <c r="D12" s="13"/>
      <c r="E12" s="13"/>
      <c r="F12" s="13"/>
      <c r="G12" s="13"/>
      <c r="H12" s="13"/>
      <c r="I12" s="13"/>
      <c r="J12" s="13"/>
      <c r="K12" s="13"/>
      <c r="L12" s="13" t="s">
        <v>1096</v>
      </c>
      <c r="M12" s="13"/>
      <c r="N12" s="13"/>
    </row>
    <row r="13" customFormat="false" ht="21.75" hidden="false" customHeight="true" outlineLevel="0" collapsed="false">
      <c r="B13" s="4" t="s">
        <v>1097</v>
      </c>
      <c r="C13" s="4"/>
      <c r="D13" s="4"/>
      <c r="E13" s="4"/>
      <c r="F13" s="4"/>
      <c r="G13" s="4"/>
      <c r="H13" s="4"/>
      <c r="I13" s="4"/>
      <c r="J13" s="4"/>
      <c r="K13" s="4"/>
      <c r="L13" s="4"/>
      <c r="M13" s="4"/>
      <c r="N13" s="4"/>
    </row>
    <row r="14" customFormat="false" ht="17.25" hidden="false" customHeight="true" outlineLevel="0" collapsed="false">
      <c r="B14" s="22" t="s">
        <v>1098</v>
      </c>
      <c r="C14" s="30" t="n">
        <v>0.1</v>
      </c>
      <c r="D14" s="27" t="s">
        <v>1099</v>
      </c>
      <c r="E14" s="27"/>
      <c r="F14" s="27"/>
      <c r="G14" s="27"/>
      <c r="H14" s="27"/>
      <c r="I14" s="27"/>
      <c r="J14" s="27"/>
      <c r="K14" s="27"/>
      <c r="L14" s="27"/>
      <c r="M14" s="27"/>
      <c r="N14" s="27"/>
    </row>
    <row r="15" customFormat="false" ht="15.75" hidden="false" customHeight="true" outlineLevel="0" collapsed="false">
      <c r="B15" s="22" t="s">
        <v>1100</v>
      </c>
      <c r="C15" s="23" t="n">
        <v>4</v>
      </c>
    </row>
    <row r="16" customFormat="false" ht="17.25" hidden="false" customHeight="true" outlineLevel="0" collapsed="false">
      <c r="B16" s="20" t="s">
        <v>1101</v>
      </c>
      <c r="C16" s="20"/>
      <c r="D16" s="20"/>
      <c r="E16" s="20"/>
      <c r="F16" s="20"/>
    </row>
    <row r="17" customFormat="false" ht="15" hidden="false" customHeight="false" outlineLevel="0" collapsed="false">
      <c r="B17" s="16"/>
      <c r="C17" s="21" t="s">
        <v>397</v>
      </c>
      <c r="D17" s="21" t="s">
        <v>369</v>
      </c>
      <c r="E17" s="21" t="s">
        <v>1054</v>
      </c>
      <c r="F17" s="21" t="s">
        <v>398</v>
      </c>
    </row>
    <row r="18" customFormat="false" ht="15" hidden="false" customHeight="false" outlineLevel="0" collapsed="false">
      <c r="B18" s="22" t="s">
        <v>1102</v>
      </c>
      <c r="C18" s="39" t="n">
        <f aca="false">IF(0=1,1,0)</f>
        <v>0</v>
      </c>
      <c r="D18" s="39" t="n">
        <f aca="false">IF(1=1,1,0)</f>
        <v>1</v>
      </c>
      <c r="E18" s="39" t="n">
        <f aca="false">IF(2=1,1,0)</f>
        <v>0</v>
      </c>
      <c r="F18" s="39" t="n">
        <f aca="false">IF(3=1,1,0)</f>
        <v>0</v>
      </c>
    </row>
    <row r="19" customFormat="false" ht="15" hidden="false" customHeight="false" outlineLevel="0" collapsed="false">
      <c r="B19" s="22" t="s">
        <v>1103</v>
      </c>
      <c r="C19" s="39" t="n">
        <f aca="false">IF(0=1,1-C14+C14/C15,C14/C15)</f>
        <v>0.025</v>
      </c>
      <c r="D19" s="39" t="n">
        <f aca="false">IF(1=1,1-C14+C14/C15,C14/C15)</f>
        <v>0.925</v>
      </c>
      <c r="E19" s="39" t="n">
        <f aca="false">IF(2=1,1-C14+C14/C15,C14/C15)</f>
        <v>0.025</v>
      </c>
      <c r="F19" s="39" t="n">
        <f aca="false">IF(3=1,1-C14+C14/C15,C14/C15)</f>
        <v>0.025</v>
      </c>
    </row>
    <row r="21" customFormat="false" ht="17.25" hidden="false" customHeight="true" outlineLevel="0" collapsed="false">
      <c r="B21" s="20" t="s">
        <v>1104</v>
      </c>
      <c r="C21" s="20"/>
      <c r="D21" s="20"/>
      <c r="E21" s="20"/>
      <c r="F21" s="20"/>
    </row>
    <row r="22" customFormat="false" ht="15" hidden="false" customHeight="false" outlineLevel="0" collapsed="false">
      <c r="B22" s="16"/>
      <c r="C22" s="21" t="s">
        <v>397</v>
      </c>
      <c r="D22" s="21" t="s">
        <v>369</v>
      </c>
      <c r="E22" s="21" t="s">
        <v>1054</v>
      </c>
      <c r="F22" s="21" t="s">
        <v>398</v>
      </c>
    </row>
    <row r="23" customFormat="false" ht="15" hidden="false" customHeight="false" outlineLevel="0" collapsed="false">
      <c r="B23" s="22" t="s">
        <v>1105</v>
      </c>
      <c r="C23" s="72" t="n">
        <v>0.001</v>
      </c>
      <c r="D23" s="72" t="n">
        <v>0.997</v>
      </c>
      <c r="E23" s="72" t="n">
        <v>0.001</v>
      </c>
      <c r="F23" s="72" t="n">
        <v>0.001</v>
      </c>
    </row>
    <row r="24" customFormat="false" ht="15" hidden="false" customHeight="false" outlineLevel="0" collapsed="false">
      <c r="B24" s="22" t="s">
        <v>1106</v>
      </c>
      <c r="C24" s="72" t="n">
        <v>0.03</v>
      </c>
      <c r="D24" s="72" t="n">
        <v>0.91</v>
      </c>
      <c r="E24" s="72" t="n">
        <v>0.03</v>
      </c>
      <c r="F24" s="72" t="n">
        <v>0.03</v>
      </c>
    </row>
    <row r="25" customFormat="false" ht="15" hidden="false" customHeight="false" outlineLevel="0" collapsed="false">
      <c r="B25" s="22" t="s">
        <v>1107</v>
      </c>
      <c r="C25" s="72" t="n">
        <v>0.001</v>
      </c>
      <c r="D25" s="72" t="n">
        <v>0.001</v>
      </c>
      <c r="E25" s="72" t="n">
        <v>0.997</v>
      </c>
      <c r="F25" s="72" t="n">
        <v>0.001</v>
      </c>
    </row>
    <row r="27" customFormat="false" ht="17.25" hidden="false" customHeight="true" outlineLevel="0" collapsed="false">
      <c r="B27" s="11" t="s">
        <v>1108</v>
      </c>
      <c r="C27" s="11"/>
      <c r="D27" s="11"/>
      <c r="E27" s="11" t="s">
        <v>1109</v>
      </c>
      <c r="F27" s="11"/>
      <c r="G27" s="11"/>
      <c r="H27" s="11" t="s">
        <v>1110</v>
      </c>
      <c r="I27" s="11"/>
      <c r="J27" s="11"/>
      <c r="K27" s="11" t="s">
        <v>1111</v>
      </c>
      <c r="L27" s="11"/>
      <c r="M27" s="11"/>
      <c r="N27" s="11"/>
    </row>
    <row r="28" customFormat="false" ht="17.25" hidden="false" customHeight="true" outlineLevel="0" collapsed="false">
      <c r="B28" s="13" t="s">
        <v>157</v>
      </c>
      <c r="C28" s="13"/>
      <c r="D28" s="13"/>
      <c r="E28" s="49" t="n">
        <f aca="false">-LN(D23)</f>
        <v>0.00300450902029872</v>
      </c>
      <c r="F28" s="49"/>
      <c r="G28" s="49"/>
      <c r="H28" s="101" t="n">
        <f aca="false">-(C19*LN(C23)+D19*LN(D23)+E19*LN(E23)+F19*LN(F23))</f>
        <v>0.520860816767437</v>
      </c>
      <c r="I28" s="101"/>
      <c r="J28" s="101"/>
      <c r="K28" s="13" t="str">
        <f aca="false">IF(E28=MIN($E$28:$E$30),"hard loss likes this best","")&amp;IF(H28=MIN($H$28:$H$30),"  smoothed loss likes this best","")</f>
        <v>hard loss likes this best</v>
      </c>
      <c r="L28" s="13"/>
      <c r="M28" s="13"/>
      <c r="N28" s="13"/>
    </row>
    <row r="29" customFormat="false" ht="17.25" hidden="false" customHeight="true" outlineLevel="0" collapsed="false">
      <c r="B29" s="16" t="s">
        <v>158</v>
      </c>
      <c r="C29" s="16"/>
      <c r="D29" s="16"/>
      <c r="E29" s="50" t="n">
        <f aca="false">-LN(D24)</f>
        <v>0.0943106794712413</v>
      </c>
      <c r="F29" s="50"/>
      <c r="G29" s="50"/>
      <c r="H29" s="101" t="n">
        <f aca="false">-(C19*LN(C24)+D19*LN(D24)+E19*LN(E24)+F19*LN(F24))</f>
        <v>0.350229220809897</v>
      </c>
      <c r="I29" s="101"/>
      <c r="J29" s="101"/>
      <c r="K29" s="16" t="str">
        <f aca="false">IF(E29=MIN($E$28:$E$30),"hard loss likes this best","")&amp;IF(H29=MIN($H$28:$H$30),"  smoothed loss likes this best","")</f>
        <v>  smoothed loss likes this best</v>
      </c>
      <c r="L29" s="16"/>
      <c r="M29" s="16"/>
      <c r="N29" s="16"/>
    </row>
    <row r="30" customFormat="false" ht="17.25" hidden="false" customHeight="true" outlineLevel="0" collapsed="false">
      <c r="B30" s="13" t="s">
        <v>1112</v>
      </c>
      <c r="C30" s="13"/>
      <c r="D30" s="13"/>
      <c r="E30" s="49" t="n">
        <f aca="false">-LN(D25)</f>
        <v>6.90775527898214</v>
      </c>
      <c r="F30" s="49"/>
      <c r="G30" s="49"/>
      <c r="H30" s="101" t="n">
        <f aca="false">-(C19*LN(C25)+D19*LN(D25)+E19*LN(E25)+F19*LN(F25))</f>
        <v>6.73513650973309</v>
      </c>
      <c r="I30" s="101"/>
      <c r="J30" s="101"/>
      <c r="K30" s="13" t="str">
        <f aca="false">IF(E30=MIN($E$28:$E$30),"hard loss likes this best","")&amp;IF(H30=MIN($H$28:$H$30),"  smoothed loss likes this best","")</f>
        <v/>
      </c>
      <c r="L30" s="13"/>
      <c r="M30" s="13"/>
      <c r="N30" s="13"/>
    </row>
    <row r="31" customFormat="false" ht="15.75" hidden="false" customHeight="true" outlineLevel="0" collapsed="false">
      <c r="B31" s="10" t="s">
        <v>1113</v>
      </c>
      <c r="C31" s="29" t="str">
        <f aca="false">"−"&amp;IF(ROUND(C19,3)&lt;0,"("&amp;ROUND(C19,3)&amp;")",ROUND(C19,3)&amp;"")&amp;"×ln("&amp;IF(ROUND(C24,3)&lt;0,"("&amp;ROUND(C24,3)&amp;")",ROUND(C24,3)&amp;"")&amp;")"&amp;" − "&amp;IF(ROUND(D19,3)&lt;0,"("&amp;ROUND(D19,3)&amp;")",ROUND(D19,3)&amp;"")&amp;"×ln("&amp;IF(ROUND(D24,3)&lt;0,"("&amp;ROUND(D24,3)&amp;")",ROUND(D24,3)&amp;"")&amp;")"&amp;" − "&amp;IF(ROUND(E19,3)&lt;0,"("&amp;ROUND(E19,3)&amp;")",ROUND(E19,3)&amp;"")&amp;"×ln("&amp;IF(ROUND(E24,3)&lt;0,"("&amp;ROUND(E24,3)&amp;")",ROUND(E24,3)&amp;"")&amp;")"&amp;" − "&amp;IF(ROUND(F19,3)&lt;0,"("&amp;ROUND(F19,3)&amp;")",ROUND(F19,3)&amp;"")&amp;"×ln("&amp;IF(ROUND(F24,3)&lt;0,"("&amp;ROUND(F24,3)&amp;")",ROUND(F24,3)&amp;"")&amp;")"&amp;"  =  "&amp;IF(ROUND(H29,3)&lt;0,"("&amp;ROUND(H29,3)&amp;")",ROUND(H29,3)&amp;"")</f>
        <v>−0.025×ln(0.03) − 0.925×ln(0.91) − 0.025×ln(0.03) − 0.025×ln(0.03)  =  0.35</v>
      </c>
      <c r="D31" s="29"/>
      <c r="E31" s="29"/>
      <c r="F31" s="29"/>
      <c r="G31" s="29"/>
      <c r="H31" s="29"/>
      <c r="I31" s="29"/>
      <c r="J31" s="29"/>
      <c r="K31" s="29"/>
      <c r="L31" s="29"/>
      <c r="M31" s="29"/>
      <c r="N31" s="29"/>
    </row>
    <row r="32" customFormat="false" ht="31.5" hidden="false" customHeight="true" outlineLevel="0" collapsed="false">
      <c r="B32" s="5" t="s">
        <v>1114</v>
      </c>
      <c r="C32" s="5"/>
      <c r="D32" s="5"/>
      <c r="E32" s="5"/>
      <c r="F32" s="5"/>
      <c r="G32" s="5"/>
      <c r="H32" s="5"/>
      <c r="I32" s="5"/>
      <c r="J32" s="5"/>
      <c r="K32" s="5"/>
      <c r="L32" s="5"/>
      <c r="M32" s="5"/>
      <c r="N32" s="5"/>
    </row>
    <row r="33" customFormat="false" ht="17.25" hidden="false" customHeight="true" outlineLevel="0" collapsed="false">
      <c r="B33" s="22" t="s">
        <v>1115</v>
      </c>
      <c r="C33" s="102" t="n">
        <f aca="false">-(C19*LN(C19)+D19*LN(D19)+E19*LN(E19)+F19*LN(F19))</f>
        <v>0.348780384918029</v>
      </c>
      <c r="D33" s="27" t="s">
        <v>1116</v>
      </c>
      <c r="E33" s="27"/>
      <c r="F33" s="27"/>
      <c r="G33" s="27"/>
      <c r="H33" s="27"/>
      <c r="I33" s="27"/>
      <c r="J33" s="27"/>
      <c r="K33" s="27"/>
      <c r="L33" s="27"/>
      <c r="M33" s="27"/>
      <c r="N33" s="27"/>
    </row>
    <row r="35" customFormat="false" ht="21.75" hidden="false" customHeight="true" outlineLevel="0" collapsed="false">
      <c r="B35" s="4" t="s">
        <v>1117</v>
      </c>
      <c r="C35" s="4"/>
      <c r="D35" s="4"/>
      <c r="E35" s="4"/>
      <c r="F35" s="4"/>
      <c r="G35" s="4"/>
      <c r="H35" s="4"/>
      <c r="I35" s="4"/>
      <c r="J35" s="4"/>
      <c r="K35" s="4"/>
      <c r="L35" s="4"/>
      <c r="M35" s="4"/>
      <c r="N35" s="4"/>
    </row>
    <row r="36" customFormat="false" ht="17.25" hidden="false" customHeight="true" outlineLevel="0" collapsed="false">
      <c r="B36" s="5" t="s">
        <v>1118</v>
      </c>
      <c r="C36" s="5"/>
      <c r="D36" s="5"/>
      <c r="E36" s="5"/>
      <c r="F36" s="5"/>
      <c r="G36" s="5"/>
      <c r="H36" s="5"/>
      <c r="I36" s="5"/>
      <c r="J36" s="5"/>
      <c r="K36" s="5"/>
      <c r="L36" s="5"/>
      <c r="M36" s="5"/>
      <c r="N36" s="5"/>
    </row>
    <row r="37" customFormat="false" ht="17.25" hidden="false" customHeight="true" outlineLevel="0" collapsed="false">
      <c r="B37" s="20" t="s">
        <v>1119</v>
      </c>
      <c r="C37" s="20"/>
      <c r="D37" s="20"/>
      <c r="E37" s="20"/>
      <c r="F37" s="20"/>
    </row>
    <row r="38" customFormat="false" ht="15" hidden="false" customHeight="false" outlineLevel="0" collapsed="false">
      <c r="B38" s="16"/>
      <c r="C38" s="21" t="s">
        <v>715</v>
      </c>
      <c r="D38" s="21" t="s">
        <v>369</v>
      </c>
      <c r="E38" s="21" t="s">
        <v>398</v>
      </c>
      <c r="F38" s="21" t="s">
        <v>1120</v>
      </c>
    </row>
    <row r="39" customFormat="false" ht="15" hidden="false" customHeight="false" outlineLevel="0" collapsed="false">
      <c r="B39" s="22"/>
      <c r="C39" s="30" t="n">
        <v>0.6</v>
      </c>
      <c r="D39" s="30" t="n">
        <v>0.3</v>
      </c>
      <c r="E39" s="30" t="n">
        <v>0.9</v>
      </c>
      <c r="F39" s="30" t="n">
        <v>0.8</v>
      </c>
    </row>
    <row r="40" customFormat="false" ht="17.25" hidden="false" customHeight="true" outlineLevel="0" collapsed="false">
      <c r="B40" s="20" t="s">
        <v>1121</v>
      </c>
      <c r="C40" s="20"/>
      <c r="D40" s="20"/>
      <c r="E40" s="20"/>
      <c r="F40" s="20"/>
    </row>
    <row r="41" customFormat="false" ht="15" hidden="false" customHeight="false" outlineLevel="0" collapsed="false">
      <c r="B41" s="16"/>
      <c r="C41" s="21" t="s">
        <v>715</v>
      </c>
      <c r="D41" s="21" t="s">
        <v>369</v>
      </c>
      <c r="E41" s="21" t="s">
        <v>398</v>
      </c>
      <c r="F41" s="21" t="s">
        <v>1120</v>
      </c>
    </row>
    <row r="42" customFormat="false" ht="15" hidden="false" customHeight="false" outlineLevel="0" collapsed="false">
      <c r="B42" s="22"/>
      <c r="C42" s="39" t="n">
        <f aca="false">-LN(C39)</f>
        <v>0.510825623765991</v>
      </c>
      <c r="D42" s="39" t="n">
        <f aca="false">-LN(D39)</f>
        <v>1.20397280432594</v>
      </c>
      <c r="E42" s="39" t="n">
        <f aca="false">-LN(E39)</f>
        <v>0.105360515657826</v>
      </c>
      <c r="F42" s="39" t="n">
        <f aca="false">-LN(F39)</f>
        <v>0.22314355131421</v>
      </c>
    </row>
    <row r="43" customFormat="false" ht="15.75" hidden="false" customHeight="true" outlineLevel="0" collapsed="false">
      <c r="B43" s="22" t="s">
        <v>1122</v>
      </c>
      <c r="C43" s="102" t="n">
        <f aca="false">AVERAGE(C42:F42)</f>
        <v>0.510825623765991</v>
      </c>
    </row>
    <row r="44" customFormat="false" ht="17.25" hidden="false" customHeight="true" outlineLevel="0" collapsed="false">
      <c r="B44" s="22" t="s">
        <v>1123</v>
      </c>
      <c r="C44" s="41" t="n">
        <f aca="false">EXP(C43)</f>
        <v>1.66666666666667</v>
      </c>
      <c r="D44" s="27" t="s">
        <v>1124</v>
      </c>
      <c r="E44" s="27"/>
      <c r="F44" s="27"/>
      <c r="G44" s="27"/>
      <c r="H44" s="27"/>
      <c r="I44" s="27"/>
      <c r="J44" s="27"/>
      <c r="K44" s="27"/>
      <c r="L44" s="27"/>
      <c r="M44" s="27"/>
      <c r="N44" s="27"/>
    </row>
    <row r="45" customFormat="false" ht="15.75" hidden="false" customHeight="true" outlineLevel="0" collapsed="false">
      <c r="B45" s="22" t="s">
        <v>1125</v>
      </c>
      <c r="C45" s="40" t="n">
        <f aca="false">GEOMEAN(1/C39,1/D39,1/E39,1/F39)</f>
        <v>1.66666666666667</v>
      </c>
    </row>
    <row r="46" customFormat="false" ht="18.75" hidden="false" customHeight="true" outlineLevel="0" collapsed="false">
      <c r="B46" s="25" t="s">
        <v>1126</v>
      </c>
      <c r="C46" s="25"/>
      <c r="D46" s="25"/>
      <c r="E46" s="25"/>
      <c r="F46" s="25"/>
      <c r="G46" s="25"/>
      <c r="H46" s="25"/>
      <c r="I46" s="25"/>
      <c r="J46" s="25"/>
      <c r="K46" s="25"/>
      <c r="L46" s="25"/>
      <c r="M46" s="25"/>
      <c r="N46" s="25"/>
    </row>
    <row r="47" customFormat="false" ht="17.25" hidden="false" customHeight="true" outlineLevel="0" collapsed="false">
      <c r="B47" s="11" t="s">
        <v>1108</v>
      </c>
      <c r="C47" s="11"/>
      <c r="D47" s="11"/>
      <c r="E47" s="11" t="s">
        <v>1127</v>
      </c>
      <c r="F47" s="11"/>
      <c r="G47" s="11"/>
      <c r="H47" s="11" t="s">
        <v>1128</v>
      </c>
      <c r="I47" s="11"/>
      <c r="J47" s="11"/>
      <c r="K47" s="11" t="s">
        <v>1129</v>
      </c>
      <c r="L47" s="11"/>
      <c r="M47" s="11"/>
      <c r="N47" s="11"/>
    </row>
    <row r="48" customFormat="false" ht="17.25" hidden="false" customHeight="true" outlineLevel="0" collapsed="false">
      <c r="B48" s="13" t="s">
        <v>822</v>
      </c>
      <c r="C48" s="13"/>
      <c r="D48" s="13"/>
      <c r="E48" s="14" t="n">
        <v>4.92</v>
      </c>
      <c r="F48" s="14"/>
      <c r="G48" s="14"/>
      <c r="H48" s="31" t="n">
        <f aca="false">LN(E48)</f>
        <v>1.59330853050422</v>
      </c>
      <c r="I48" s="31"/>
      <c r="J48" s="31"/>
      <c r="K48" s="103" t="n">
        <f aca="false">1/E48</f>
        <v>0.203252032520325</v>
      </c>
      <c r="L48" s="103"/>
      <c r="M48" s="103"/>
      <c r="N48" s="103"/>
    </row>
    <row r="49" customFormat="false" ht="17.25" hidden="false" customHeight="true" outlineLevel="0" collapsed="false">
      <c r="B49" s="16" t="s">
        <v>1130</v>
      </c>
      <c r="C49" s="16"/>
      <c r="D49" s="16"/>
      <c r="E49" s="17" t="n">
        <v>4.33</v>
      </c>
      <c r="F49" s="17"/>
      <c r="G49" s="17"/>
      <c r="H49" s="33" t="n">
        <f aca="false">LN(E49)</f>
        <v>1.4655675420144</v>
      </c>
      <c r="I49" s="33"/>
      <c r="J49" s="33"/>
      <c r="K49" s="104" t="n">
        <f aca="false">1/E49</f>
        <v>0.23094688221709</v>
      </c>
      <c r="L49" s="104"/>
      <c r="M49" s="104"/>
      <c r="N49" s="104"/>
    </row>
    <row r="50" customFormat="false" ht="17.25" hidden="false" customHeight="true" outlineLevel="0" collapsed="false">
      <c r="B50" s="13" t="s">
        <v>1131</v>
      </c>
      <c r="C50" s="13"/>
      <c r="D50" s="13"/>
      <c r="E50" s="14" t="n">
        <v>5.29</v>
      </c>
      <c r="F50" s="14"/>
      <c r="G50" s="14"/>
      <c r="H50" s="31" t="n">
        <f aca="false">LN(E50)</f>
        <v>1.66581824587021</v>
      </c>
      <c r="I50" s="31"/>
      <c r="J50" s="31"/>
      <c r="K50" s="103" t="n">
        <f aca="false">1/E50</f>
        <v>0.189035916824197</v>
      </c>
      <c r="L50" s="103"/>
      <c r="M50" s="103"/>
      <c r="N50" s="103"/>
    </row>
    <row r="51" customFormat="false" ht="17.25" hidden="false" customHeight="true" outlineLevel="0" collapsed="false">
      <c r="B51" s="16" t="s">
        <v>1132</v>
      </c>
      <c r="C51" s="16"/>
      <c r="D51" s="16"/>
      <c r="E51" s="17" t="n">
        <v>5.77</v>
      </c>
      <c r="F51" s="17"/>
      <c r="G51" s="17"/>
      <c r="H51" s="33" t="n">
        <f aca="false">LN(E51)</f>
        <v>1.75267208052001</v>
      </c>
      <c r="I51" s="33"/>
      <c r="J51" s="33"/>
      <c r="K51" s="104" t="n">
        <f aca="false">1/E51</f>
        <v>0.173310225303293</v>
      </c>
      <c r="L51" s="104"/>
      <c r="M51" s="104"/>
      <c r="N51" s="104"/>
    </row>
    <row r="52" customFormat="false" ht="18.75" hidden="false" customHeight="true" outlineLevel="0" collapsed="false">
      <c r="B52" s="25" t="s">
        <v>1133</v>
      </c>
      <c r="C52" s="25"/>
      <c r="D52" s="25"/>
      <c r="E52" s="25"/>
      <c r="F52" s="25"/>
      <c r="G52" s="25"/>
      <c r="H52" s="25"/>
      <c r="I52" s="25"/>
      <c r="J52" s="25"/>
      <c r="K52" s="25"/>
      <c r="L52" s="25"/>
      <c r="M52" s="25"/>
      <c r="N52" s="25"/>
    </row>
    <row r="53" customFormat="false" ht="15.75" hidden="false" customHeight="true" outlineLevel="0" collapsed="false">
      <c r="B53" s="22" t="s">
        <v>1134</v>
      </c>
      <c r="C53" s="61" t="n">
        <v>37000</v>
      </c>
    </row>
    <row r="54" customFormat="false" ht="15.75" hidden="false" customHeight="true" outlineLevel="0" collapsed="false">
      <c r="B54" s="22" t="s">
        <v>1135</v>
      </c>
      <c r="C54" s="105" t="n">
        <f aca="false">1-C14+C14/C53</f>
        <v>0.900002702702703</v>
      </c>
    </row>
    <row r="55" customFormat="false" ht="17.25" hidden="false" customHeight="true" outlineLevel="0" collapsed="false">
      <c r="B55" s="22" t="s">
        <v>1136</v>
      </c>
      <c r="C55" s="106" t="n">
        <f aca="false">C14/C53</f>
        <v>2.7027027027027E-006</v>
      </c>
      <c r="D55" s="27" t="s">
        <v>1137</v>
      </c>
      <c r="E55" s="27"/>
      <c r="F55" s="27"/>
      <c r="G55" s="27"/>
      <c r="H55" s="27"/>
      <c r="I55" s="27"/>
      <c r="J55" s="27"/>
      <c r="K55" s="27"/>
      <c r="L55" s="27"/>
      <c r="M55" s="27"/>
      <c r="N55" s="27"/>
    </row>
    <row r="56" customFormat="false" ht="18.75" hidden="false" customHeight="true" outlineLevel="0" collapsed="false">
      <c r="B56" s="25" t="s">
        <v>279</v>
      </c>
      <c r="C56" s="25"/>
      <c r="D56" s="25"/>
      <c r="E56" s="25"/>
      <c r="F56" s="25"/>
      <c r="G56" s="25"/>
      <c r="H56" s="25"/>
      <c r="I56" s="25"/>
      <c r="J56" s="25"/>
      <c r="K56" s="25"/>
      <c r="L56" s="25"/>
      <c r="M56" s="25"/>
      <c r="N56" s="25"/>
    </row>
    <row r="57" customFormat="false" ht="17.25" hidden="false" customHeight="true" outlineLevel="0" collapsed="false">
      <c r="B57" s="43" t="s">
        <v>1138</v>
      </c>
      <c r="C57" s="43"/>
      <c r="D57" s="43"/>
      <c r="E57" s="43"/>
      <c r="F57" s="43"/>
      <c r="G57" s="43"/>
      <c r="H57" s="43"/>
      <c r="I57" s="43"/>
      <c r="J57" s="43"/>
      <c r="K57" s="43"/>
      <c r="L57" s="43"/>
      <c r="M57" s="43"/>
      <c r="N57" s="43"/>
    </row>
    <row r="58" customFormat="false" ht="17.25" hidden="false" customHeight="true" outlineLevel="0" collapsed="false">
      <c r="B58" s="44" t="s">
        <v>1139</v>
      </c>
      <c r="C58" s="44"/>
      <c r="D58" s="44"/>
      <c r="E58" s="44"/>
      <c r="F58" s="44"/>
      <c r="G58" s="44"/>
      <c r="H58" s="44"/>
      <c r="I58" s="44"/>
      <c r="J58" s="44"/>
      <c r="K58" s="44"/>
      <c r="L58" s="44"/>
      <c r="M58" s="44"/>
      <c r="N58" s="44"/>
    </row>
    <row r="59" customFormat="false" ht="17.25" hidden="false" customHeight="true" outlineLevel="0" collapsed="false">
      <c r="B59" s="43" t="s">
        <v>1140</v>
      </c>
      <c r="C59" s="43"/>
      <c r="D59" s="43"/>
      <c r="E59" s="43"/>
      <c r="F59" s="43"/>
      <c r="G59" s="43"/>
      <c r="H59" s="43"/>
      <c r="I59" s="43"/>
      <c r="J59" s="43"/>
      <c r="K59" s="43"/>
      <c r="L59" s="43"/>
      <c r="M59" s="43"/>
      <c r="N59" s="43"/>
    </row>
    <row r="60" customFormat="false" ht="31.5" hidden="false" customHeight="true" outlineLevel="0" collapsed="false">
      <c r="B60" s="44" t="s">
        <v>1141</v>
      </c>
      <c r="C60" s="44"/>
      <c r="D60" s="44"/>
      <c r="E60" s="44"/>
      <c r="F60" s="44"/>
      <c r="G60" s="44"/>
      <c r="H60" s="44"/>
      <c r="I60" s="44"/>
      <c r="J60" s="44"/>
      <c r="K60" s="44"/>
      <c r="L60" s="44"/>
      <c r="M60" s="44"/>
      <c r="N60" s="44"/>
    </row>
  </sheetData>
  <mergeCells count="73">
    <mergeCell ref="B1:N1"/>
    <mergeCell ref="B2:N2"/>
    <mergeCell ref="B4:N4"/>
    <mergeCell ref="B5:N5"/>
    <mergeCell ref="B6:N6"/>
    <mergeCell ref="C7:K7"/>
    <mergeCell ref="L7:N7"/>
    <mergeCell ref="C8:K8"/>
    <mergeCell ref="L8:N8"/>
    <mergeCell ref="C9:K9"/>
    <mergeCell ref="L9:N9"/>
    <mergeCell ref="C10:K10"/>
    <mergeCell ref="L10:N10"/>
    <mergeCell ref="C11:K11"/>
    <mergeCell ref="L11:N11"/>
    <mergeCell ref="C12:K12"/>
    <mergeCell ref="L12:N12"/>
    <mergeCell ref="B13:N13"/>
    <mergeCell ref="D14:N14"/>
    <mergeCell ref="B16:F16"/>
    <mergeCell ref="B21:F21"/>
    <mergeCell ref="B27:D27"/>
    <mergeCell ref="E27:G27"/>
    <mergeCell ref="H27:J27"/>
    <mergeCell ref="K27:N27"/>
    <mergeCell ref="B28:D28"/>
    <mergeCell ref="E28:G28"/>
    <mergeCell ref="H28:J28"/>
    <mergeCell ref="K28:N28"/>
    <mergeCell ref="B29:D29"/>
    <mergeCell ref="E29:G29"/>
    <mergeCell ref="H29:J29"/>
    <mergeCell ref="K29:N29"/>
    <mergeCell ref="B30:D30"/>
    <mergeCell ref="E30:G30"/>
    <mergeCell ref="H30:J30"/>
    <mergeCell ref="K30:N30"/>
    <mergeCell ref="C31:N31"/>
    <mergeCell ref="B32:N32"/>
    <mergeCell ref="D33:N33"/>
    <mergeCell ref="B35:N35"/>
    <mergeCell ref="B36:N36"/>
    <mergeCell ref="B37:F37"/>
    <mergeCell ref="B40:F40"/>
    <mergeCell ref="D44:N44"/>
    <mergeCell ref="B46:N46"/>
    <mergeCell ref="B47:D47"/>
    <mergeCell ref="E47:G47"/>
    <mergeCell ref="H47:J47"/>
    <mergeCell ref="K47:N47"/>
    <mergeCell ref="B48:D48"/>
    <mergeCell ref="E48:G48"/>
    <mergeCell ref="H48:J48"/>
    <mergeCell ref="K48:N48"/>
    <mergeCell ref="B49:D49"/>
    <mergeCell ref="E49:G49"/>
    <mergeCell ref="H49:J49"/>
    <mergeCell ref="K49:N49"/>
    <mergeCell ref="B50:D50"/>
    <mergeCell ref="E50:G50"/>
    <mergeCell ref="H50:J50"/>
    <mergeCell ref="K50:N50"/>
    <mergeCell ref="B51:D51"/>
    <mergeCell ref="E51:G51"/>
    <mergeCell ref="H51:J51"/>
    <mergeCell ref="K51:N51"/>
    <mergeCell ref="B52:N52"/>
    <mergeCell ref="D55:N55"/>
    <mergeCell ref="B56:N56"/>
    <mergeCell ref="B57:N57"/>
    <mergeCell ref="B58:N58"/>
    <mergeCell ref="B59:N59"/>
    <mergeCell ref="B60:N6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N1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1142</v>
      </c>
      <c r="C1" s="1"/>
      <c r="D1" s="1"/>
      <c r="E1" s="1"/>
      <c r="F1" s="1"/>
      <c r="G1" s="1"/>
      <c r="H1" s="1"/>
      <c r="I1" s="1"/>
      <c r="J1" s="1"/>
      <c r="K1" s="1"/>
      <c r="L1" s="1"/>
      <c r="M1" s="1"/>
      <c r="N1" s="1"/>
    </row>
    <row r="2" customFormat="false" ht="17.25" hidden="false" customHeight="true" outlineLevel="0" collapsed="false">
      <c r="B2" s="2" t="s">
        <v>1143</v>
      </c>
      <c r="C2" s="2"/>
      <c r="D2" s="2"/>
      <c r="E2" s="2"/>
      <c r="F2" s="2"/>
      <c r="G2" s="2"/>
      <c r="H2" s="2"/>
      <c r="I2" s="2"/>
      <c r="J2" s="2"/>
      <c r="K2" s="2"/>
      <c r="L2" s="2"/>
      <c r="M2" s="2"/>
      <c r="N2" s="2"/>
    </row>
    <row r="4" customFormat="false" ht="34.5" hidden="false" customHeight="true" outlineLevel="0" collapsed="false">
      <c r="B4" s="3" t="s">
        <v>1144</v>
      </c>
      <c r="C4" s="3"/>
      <c r="D4" s="3"/>
      <c r="E4" s="3"/>
      <c r="F4" s="3"/>
      <c r="G4" s="3"/>
      <c r="H4" s="3"/>
      <c r="I4" s="3"/>
      <c r="J4" s="3"/>
      <c r="K4" s="3"/>
      <c r="L4" s="3"/>
      <c r="M4" s="3"/>
      <c r="N4" s="3"/>
    </row>
    <row r="5" customFormat="false" ht="20.25" hidden="false" customHeight="true" outlineLevel="0" collapsed="false">
      <c r="B5" s="24" t="s">
        <v>1145</v>
      </c>
      <c r="C5" s="24"/>
      <c r="D5" s="24"/>
      <c r="E5" s="24"/>
      <c r="F5" s="24"/>
      <c r="G5" s="24"/>
      <c r="H5" s="24"/>
      <c r="I5" s="24"/>
      <c r="J5" s="24"/>
      <c r="K5" s="24"/>
      <c r="L5" s="24"/>
      <c r="M5" s="24"/>
      <c r="N5" s="24"/>
    </row>
    <row r="6" customFormat="false" ht="17.25" hidden="false" customHeight="true" outlineLevel="0" collapsed="false">
      <c r="B6" s="11" t="s">
        <v>374</v>
      </c>
      <c r="C6" s="11" t="s">
        <v>375</v>
      </c>
      <c r="D6" s="11"/>
      <c r="E6" s="11"/>
      <c r="F6" s="11"/>
      <c r="G6" s="11"/>
      <c r="H6" s="11"/>
      <c r="I6" s="11"/>
      <c r="J6" s="11"/>
      <c r="K6" s="11"/>
      <c r="L6" s="11" t="s">
        <v>376</v>
      </c>
      <c r="M6" s="11"/>
      <c r="N6" s="11"/>
    </row>
    <row r="7" customFormat="false" ht="17.25" hidden="false" customHeight="true" outlineLevel="0" collapsed="false">
      <c r="B7" s="55" t="s">
        <v>1146</v>
      </c>
      <c r="C7" s="13" t="s">
        <v>1147</v>
      </c>
      <c r="D7" s="13"/>
      <c r="E7" s="13"/>
      <c r="F7" s="13"/>
      <c r="G7" s="13"/>
      <c r="H7" s="13"/>
      <c r="I7" s="13"/>
      <c r="J7" s="13"/>
      <c r="K7" s="13"/>
      <c r="L7" s="13" t="s">
        <v>1148</v>
      </c>
      <c r="M7" s="13"/>
      <c r="N7" s="13"/>
    </row>
    <row r="8" customFormat="false" ht="17.25" hidden="false" customHeight="true" outlineLevel="0" collapsed="false">
      <c r="B8" s="10" t="s">
        <v>1149</v>
      </c>
      <c r="C8" s="16" t="s">
        <v>1150</v>
      </c>
      <c r="D8" s="16"/>
      <c r="E8" s="16"/>
      <c r="F8" s="16"/>
      <c r="G8" s="16"/>
      <c r="H8" s="16"/>
      <c r="I8" s="16"/>
      <c r="J8" s="16"/>
      <c r="K8" s="16"/>
      <c r="L8" s="16" t="s">
        <v>1151</v>
      </c>
      <c r="M8" s="16"/>
      <c r="N8" s="16"/>
    </row>
    <row r="9" customFormat="false" ht="17.25" hidden="false" customHeight="true" outlineLevel="0" collapsed="false">
      <c r="B9" s="55" t="s">
        <v>1152</v>
      </c>
      <c r="C9" s="13" t="s">
        <v>1153</v>
      </c>
      <c r="D9" s="13"/>
      <c r="E9" s="13"/>
      <c r="F9" s="13"/>
      <c r="G9" s="13"/>
      <c r="H9" s="13"/>
      <c r="I9" s="13"/>
      <c r="J9" s="13"/>
      <c r="K9" s="13"/>
      <c r="L9" s="13" t="s">
        <v>1154</v>
      </c>
      <c r="M9" s="13"/>
      <c r="N9" s="13"/>
    </row>
    <row r="10" customFormat="false" ht="17.25" hidden="false" customHeight="true" outlineLevel="0" collapsed="false">
      <c r="B10" s="10" t="s">
        <v>1155</v>
      </c>
      <c r="C10" s="16" t="s">
        <v>1156</v>
      </c>
      <c r="D10" s="16"/>
      <c r="E10" s="16"/>
      <c r="F10" s="16"/>
      <c r="G10" s="16"/>
      <c r="H10" s="16"/>
      <c r="I10" s="16"/>
      <c r="J10" s="16"/>
      <c r="K10" s="16"/>
      <c r="L10" s="16" t="s">
        <v>86</v>
      </c>
      <c r="M10" s="16"/>
      <c r="N10" s="16"/>
    </row>
    <row r="11" customFormat="false" ht="17.25" hidden="false" customHeight="true" outlineLevel="0" collapsed="false">
      <c r="B11" s="55" t="s">
        <v>1157</v>
      </c>
      <c r="C11" s="13" t="s">
        <v>1158</v>
      </c>
      <c r="D11" s="13"/>
      <c r="E11" s="13"/>
      <c r="F11" s="13"/>
      <c r="G11" s="13"/>
      <c r="H11" s="13"/>
      <c r="I11" s="13"/>
      <c r="J11" s="13"/>
      <c r="K11" s="13"/>
      <c r="L11" s="13" t="s">
        <v>1159</v>
      </c>
      <c r="M11" s="13"/>
      <c r="N11" s="13"/>
    </row>
    <row r="12" customFormat="false" ht="31.5" hidden="false" customHeight="true" outlineLevel="0" collapsed="false">
      <c r="B12" s="45" t="s">
        <v>1160</v>
      </c>
      <c r="C12" s="45"/>
      <c r="D12" s="45"/>
      <c r="E12" s="45"/>
      <c r="F12" s="45"/>
      <c r="G12" s="45"/>
      <c r="H12" s="45"/>
      <c r="I12" s="45"/>
      <c r="J12" s="45"/>
      <c r="K12" s="45"/>
      <c r="L12" s="45"/>
      <c r="M12" s="45"/>
      <c r="N12" s="45"/>
    </row>
    <row r="13" customFormat="false" ht="21.75" hidden="false" customHeight="true" outlineLevel="0" collapsed="false">
      <c r="B13" s="4" t="s">
        <v>1161</v>
      </c>
      <c r="C13" s="4"/>
      <c r="D13" s="4"/>
      <c r="E13" s="4"/>
      <c r="F13" s="4"/>
      <c r="G13" s="4"/>
      <c r="H13" s="4"/>
      <c r="I13" s="4"/>
      <c r="J13" s="4"/>
      <c r="K13" s="4"/>
      <c r="L13" s="4"/>
      <c r="M13" s="4"/>
      <c r="N13" s="4"/>
    </row>
    <row r="14" customFormat="false" ht="15.75" hidden="false" customHeight="true" outlineLevel="0" collapsed="false">
      <c r="B14" s="22" t="s">
        <v>380</v>
      </c>
      <c r="C14" s="23" t="n">
        <v>4</v>
      </c>
    </row>
    <row r="15" customFormat="false" ht="15.75" hidden="false" customHeight="true" outlineLevel="0" collapsed="false">
      <c r="B15" s="22" t="s">
        <v>1157</v>
      </c>
      <c r="C15" s="23" t="n">
        <v>4</v>
      </c>
    </row>
    <row r="16" customFormat="false" ht="31.5" hidden="false" customHeight="true" outlineLevel="0" collapsed="false">
      <c r="B16" s="11" t="s">
        <v>1162</v>
      </c>
      <c r="C16" s="11" t="s">
        <v>1163</v>
      </c>
      <c r="D16" s="11"/>
      <c r="E16" s="11" t="s">
        <v>1164</v>
      </c>
      <c r="F16" s="11"/>
      <c r="G16" s="11" t="s">
        <v>1165</v>
      </c>
      <c r="H16" s="11"/>
      <c r="I16" s="11" t="s">
        <v>1166</v>
      </c>
      <c r="J16" s="11"/>
      <c r="K16" s="11" t="s">
        <v>1167</v>
      </c>
      <c r="L16" s="11"/>
      <c r="M16" s="11"/>
      <c r="N16" s="11"/>
    </row>
    <row r="17" customFormat="false" ht="17.25" hidden="false" customHeight="true" outlineLevel="0" collapsed="false">
      <c r="B17" s="6" t="n">
        <v>1</v>
      </c>
      <c r="C17" s="49" t="n">
        <f aca="false">B17*C15^(-1.5)</f>
        <v>0.125</v>
      </c>
      <c r="D17" s="49"/>
      <c r="E17" s="49" t="n">
        <f aca="false">B17^(-0.5)</f>
        <v>1</v>
      </c>
      <c r="F17" s="49"/>
      <c r="G17" s="49" t="n">
        <f aca="false">MIN(C17,E17)</f>
        <v>0.125</v>
      </c>
      <c r="H17" s="49"/>
      <c r="I17" s="101" t="n">
        <f aca="false">C14^(-0.5)*G17</f>
        <v>0.0625</v>
      </c>
      <c r="J17" s="101"/>
      <c r="K17" s="13" t="str">
        <f aca="false">IF(C17&lt;E17,"warming up ↑",IF(C17=E17,"peak","decaying ↓"))</f>
        <v>warming up ↑</v>
      </c>
      <c r="L17" s="13"/>
      <c r="M17" s="13"/>
      <c r="N17" s="13"/>
    </row>
    <row r="18" customFormat="false" ht="17.25" hidden="false" customHeight="true" outlineLevel="0" collapsed="false">
      <c r="B18" s="6" t="n">
        <v>2</v>
      </c>
      <c r="C18" s="50" t="n">
        <f aca="false">B18*C15^(-1.5)</f>
        <v>0.25</v>
      </c>
      <c r="D18" s="50"/>
      <c r="E18" s="50" t="n">
        <f aca="false">B18^(-0.5)</f>
        <v>0.707106781186548</v>
      </c>
      <c r="F18" s="50"/>
      <c r="G18" s="50" t="n">
        <f aca="false">MIN(C18,E18)</f>
        <v>0.25</v>
      </c>
      <c r="H18" s="50"/>
      <c r="I18" s="101" t="n">
        <f aca="false">C14^(-0.5)*G18</f>
        <v>0.125</v>
      </c>
      <c r="J18" s="101"/>
      <c r="K18" s="16" t="str">
        <f aca="false">IF(C18&lt;E18,"warming up ↑",IF(C18=E18,"peak","decaying ↓"))</f>
        <v>warming up ↑</v>
      </c>
      <c r="L18" s="16"/>
      <c r="M18" s="16"/>
      <c r="N18" s="16"/>
    </row>
    <row r="19" customFormat="false" ht="17.25" hidden="false" customHeight="true" outlineLevel="0" collapsed="false">
      <c r="B19" s="6" t="n">
        <v>3</v>
      </c>
      <c r="C19" s="49" t="n">
        <f aca="false">B19*C15^(-1.5)</f>
        <v>0.375</v>
      </c>
      <c r="D19" s="49"/>
      <c r="E19" s="49" t="n">
        <f aca="false">B19^(-0.5)</f>
        <v>0.577350269189626</v>
      </c>
      <c r="F19" s="49"/>
      <c r="G19" s="49" t="n">
        <f aca="false">MIN(C19,E19)</f>
        <v>0.375</v>
      </c>
      <c r="H19" s="49"/>
      <c r="I19" s="101" t="n">
        <f aca="false">C14^(-0.5)*G19</f>
        <v>0.1875</v>
      </c>
      <c r="J19" s="101"/>
      <c r="K19" s="13" t="str">
        <f aca="false">IF(C19&lt;E19,"warming up ↑",IF(C19=E19,"peak","decaying ↓"))</f>
        <v>warming up ↑</v>
      </c>
      <c r="L19" s="13"/>
      <c r="M19" s="13"/>
      <c r="N19" s="13"/>
    </row>
    <row r="20" customFormat="false" ht="17.25" hidden="false" customHeight="true" outlineLevel="0" collapsed="false">
      <c r="B20" s="6" t="n">
        <v>4</v>
      </c>
      <c r="C20" s="50" t="n">
        <f aca="false">B20*C15^(-1.5)</f>
        <v>0.5</v>
      </c>
      <c r="D20" s="50"/>
      <c r="E20" s="50" t="n">
        <f aca="false">B20^(-0.5)</f>
        <v>0.5</v>
      </c>
      <c r="F20" s="50"/>
      <c r="G20" s="50" t="n">
        <f aca="false">MIN(C20,E20)</f>
        <v>0.5</v>
      </c>
      <c r="H20" s="50"/>
      <c r="I20" s="101" t="n">
        <f aca="false">C14^(-0.5)*G20</f>
        <v>0.25</v>
      </c>
      <c r="J20" s="101"/>
      <c r="K20" s="16" t="str">
        <f aca="false">IF(C20&lt;E20,"warming up ↑",IF(C20=E20,"peak","decaying ↓"))</f>
        <v>peak</v>
      </c>
      <c r="L20" s="16"/>
      <c r="M20" s="16"/>
      <c r="N20" s="16"/>
    </row>
    <row r="21" customFormat="false" ht="17.25" hidden="false" customHeight="true" outlineLevel="0" collapsed="false">
      <c r="B21" s="6" t="n">
        <v>5</v>
      </c>
      <c r="C21" s="49" t="n">
        <f aca="false">B21*C15^(-1.5)</f>
        <v>0.625</v>
      </c>
      <c r="D21" s="49"/>
      <c r="E21" s="49" t="n">
        <f aca="false">B21^(-0.5)</f>
        <v>0.447213595499958</v>
      </c>
      <c r="F21" s="49"/>
      <c r="G21" s="49" t="n">
        <f aca="false">MIN(C21,E21)</f>
        <v>0.447213595499958</v>
      </c>
      <c r="H21" s="49"/>
      <c r="I21" s="101" t="n">
        <f aca="false">C14^(-0.5)*G21</f>
        <v>0.223606797749979</v>
      </c>
      <c r="J21" s="101"/>
      <c r="K21" s="13" t="str">
        <f aca="false">IF(C21&lt;E21,"warming up ↑",IF(C21=E21,"peak","decaying ↓"))</f>
        <v>decaying ↓</v>
      </c>
      <c r="L21" s="13"/>
      <c r="M21" s="13"/>
      <c r="N21" s="13"/>
    </row>
    <row r="22" customFormat="false" ht="17.25" hidden="false" customHeight="true" outlineLevel="0" collapsed="false">
      <c r="B22" s="6" t="n">
        <v>6</v>
      </c>
      <c r="C22" s="50" t="n">
        <f aca="false">B22*C15^(-1.5)</f>
        <v>0.75</v>
      </c>
      <c r="D22" s="50"/>
      <c r="E22" s="50" t="n">
        <f aca="false">B22^(-0.5)</f>
        <v>0.408248290463863</v>
      </c>
      <c r="F22" s="50"/>
      <c r="G22" s="50" t="n">
        <f aca="false">MIN(C22,E22)</f>
        <v>0.408248290463863</v>
      </c>
      <c r="H22" s="50"/>
      <c r="I22" s="101" t="n">
        <f aca="false">C14^(-0.5)*G22</f>
        <v>0.204124145231932</v>
      </c>
      <c r="J22" s="101"/>
      <c r="K22" s="16" t="str">
        <f aca="false">IF(C22&lt;E22,"warming up ↑",IF(C22=E22,"peak","decaying ↓"))</f>
        <v>decaying ↓</v>
      </c>
      <c r="L22" s="16"/>
      <c r="M22" s="16"/>
      <c r="N22" s="16"/>
    </row>
    <row r="23" customFormat="false" ht="17.25" hidden="false" customHeight="true" outlineLevel="0" collapsed="false">
      <c r="B23" s="6" t="n">
        <v>7</v>
      </c>
      <c r="C23" s="49" t="n">
        <f aca="false">B23*C15^(-1.5)</f>
        <v>0.875</v>
      </c>
      <c r="D23" s="49"/>
      <c r="E23" s="49" t="n">
        <f aca="false">B23^(-0.5)</f>
        <v>0.377964473009227</v>
      </c>
      <c r="F23" s="49"/>
      <c r="G23" s="49" t="n">
        <f aca="false">MIN(C23,E23)</f>
        <v>0.377964473009227</v>
      </c>
      <c r="H23" s="49"/>
      <c r="I23" s="101" t="n">
        <f aca="false">C14^(-0.5)*G23</f>
        <v>0.188982236504614</v>
      </c>
      <c r="J23" s="101"/>
      <c r="K23" s="13" t="str">
        <f aca="false">IF(C23&lt;E23,"warming up ↑",IF(C23=E23,"peak","decaying ↓"))</f>
        <v>decaying ↓</v>
      </c>
      <c r="L23" s="13"/>
      <c r="M23" s="13"/>
      <c r="N23" s="13"/>
    </row>
    <row r="24" customFormat="false" ht="17.25" hidden="false" customHeight="true" outlineLevel="0" collapsed="false">
      <c r="B24" s="6" t="n">
        <v>8</v>
      </c>
      <c r="C24" s="50" t="n">
        <f aca="false">B24*C15^(-1.5)</f>
        <v>1</v>
      </c>
      <c r="D24" s="50"/>
      <c r="E24" s="50" t="n">
        <f aca="false">B24^(-0.5)</f>
        <v>0.353553390593274</v>
      </c>
      <c r="F24" s="50"/>
      <c r="G24" s="50" t="n">
        <f aca="false">MIN(C24,E24)</f>
        <v>0.353553390593274</v>
      </c>
      <c r="H24" s="50"/>
      <c r="I24" s="101" t="n">
        <f aca="false">C14^(-0.5)*G24</f>
        <v>0.176776695296637</v>
      </c>
      <c r="J24" s="101"/>
      <c r="K24" s="16" t="str">
        <f aca="false">IF(C24&lt;E24,"warming up ↑",IF(C24=E24,"peak","decaying ↓"))</f>
        <v>decaying ↓</v>
      </c>
      <c r="L24" s="16"/>
      <c r="M24" s="16"/>
      <c r="N24" s="16"/>
    </row>
    <row r="25" customFormat="false" ht="17.25" hidden="false" customHeight="true" outlineLevel="0" collapsed="false">
      <c r="B25" s="6" t="n">
        <v>9</v>
      </c>
      <c r="C25" s="49" t="n">
        <f aca="false">B25*C15^(-1.5)</f>
        <v>1.125</v>
      </c>
      <c r="D25" s="49"/>
      <c r="E25" s="49" t="n">
        <f aca="false">B25^(-0.5)</f>
        <v>0.333333333333333</v>
      </c>
      <c r="F25" s="49"/>
      <c r="G25" s="49" t="n">
        <f aca="false">MIN(C25,E25)</f>
        <v>0.333333333333333</v>
      </c>
      <c r="H25" s="49"/>
      <c r="I25" s="101" t="n">
        <f aca="false">C14^(-0.5)*G25</f>
        <v>0.166666666666667</v>
      </c>
      <c r="J25" s="101"/>
      <c r="K25" s="13" t="str">
        <f aca="false">IF(C25&lt;E25,"warming up ↑",IF(C25=E25,"peak","decaying ↓"))</f>
        <v>decaying ↓</v>
      </c>
      <c r="L25" s="13"/>
      <c r="M25" s="13"/>
      <c r="N25" s="13"/>
    </row>
    <row r="26" customFormat="false" ht="17.25" hidden="false" customHeight="true" outlineLevel="0" collapsed="false">
      <c r="B26" s="6" t="n">
        <v>10</v>
      </c>
      <c r="C26" s="50" t="n">
        <f aca="false">B26*C15^(-1.5)</f>
        <v>1.25</v>
      </c>
      <c r="D26" s="50"/>
      <c r="E26" s="50" t="n">
        <f aca="false">B26^(-0.5)</f>
        <v>0.316227766016838</v>
      </c>
      <c r="F26" s="50"/>
      <c r="G26" s="50" t="n">
        <f aca="false">MIN(C26,E26)</f>
        <v>0.316227766016838</v>
      </c>
      <c r="H26" s="50"/>
      <c r="I26" s="101" t="n">
        <f aca="false">C14^(-0.5)*G26</f>
        <v>0.158113883008419</v>
      </c>
      <c r="J26" s="101"/>
      <c r="K26" s="16" t="str">
        <f aca="false">IF(C26&lt;E26,"warming up ↑",IF(C26=E26,"peak","decaying ↓"))</f>
        <v>decaying ↓</v>
      </c>
      <c r="L26" s="16"/>
      <c r="M26" s="16"/>
      <c r="N26" s="16"/>
    </row>
    <row r="27" customFormat="false" ht="17.25" hidden="false" customHeight="true" outlineLevel="0" collapsed="false">
      <c r="B27" s="6" t="n">
        <v>11</v>
      </c>
      <c r="C27" s="49" t="n">
        <f aca="false">B27*C15^(-1.5)</f>
        <v>1.375</v>
      </c>
      <c r="D27" s="49"/>
      <c r="E27" s="49" t="n">
        <f aca="false">B27^(-0.5)</f>
        <v>0.301511344577764</v>
      </c>
      <c r="F27" s="49"/>
      <c r="G27" s="49" t="n">
        <f aca="false">MIN(C27,E27)</f>
        <v>0.301511344577764</v>
      </c>
      <c r="H27" s="49"/>
      <c r="I27" s="101" t="n">
        <f aca="false">C14^(-0.5)*G27</f>
        <v>0.150755672288882</v>
      </c>
      <c r="J27" s="101"/>
      <c r="K27" s="13" t="str">
        <f aca="false">IF(C27&lt;E27,"warming up ↑",IF(C27=E27,"peak","decaying ↓"))</f>
        <v>decaying ↓</v>
      </c>
      <c r="L27" s="13"/>
      <c r="M27" s="13"/>
      <c r="N27" s="13"/>
    </row>
    <row r="28" customFormat="false" ht="17.25" hidden="false" customHeight="true" outlineLevel="0" collapsed="false">
      <c r="B28" s="6" t="n">
        <v>12</v>
      </c>
      <c r="C28" s="50" t="n">
        <f aca="false">B28*C15^(-1.5)</f>
        <v>1.5</v>
      </c>
      <c r="D28" s="50"/>
      <c r="E28" s="50" t="n">
        <f aca="false">B28^(-0.5)</f>
        <v>0.288675134594813</v>
      </c>
      <c r="F28" s="50"/>
      <c r="G28" s="50" t="n">
        <f aca="false">MIN(C28,E28)</f>
        <v>0.288675134594813</v>
      </c>
      <c r="H28" s="50"/>
      <c r="I28" s="101" t="n">
        <f aca="false">C14^(-0.5)*G28</f>
        <v>0.144337567297406</v>
      </c>
      <c r="J28" s="101"/>
      <c r="K28" s="16" t="str">
        <f aca="false">IF(C28&lt;E28,"warming up ↑",IF(C28=E28,"peak","decaying ↓"))</f>
        <v>decaying ↓</v>
      </c>
      <c r="L28" s="16"/>
      <c r="M28" s="16"/>
      <c r="N28" s="16"/>
    </row>
    <row r="29" customFormat="false" ht="15.75" hidden="false" customHeight="true" outlineLevel="0" collapsed="false">
      <c r="B29" s="10" t="s">
        <v>1168</v>
      </c>
      <c r="C29" s="29" t="str">
        <f aca="false">"min( 2 × "&amp;C15&amp;"^−1.5 , 2^−0.5 ) = min("&amp;IF(ROUND(C18,3)&lt;0,"("&amp;ROUND(C18,3)&amp;")",ROUND(C18,3)&amp;"")&amp;", "&amp;IF(ROUND(E18,3)&lt;0,"("&amp;ROUND(E18,3)&amp;")",ROUND(E18,3)&amp;"")&amp;") = "&amp;IF(ROUND(G18,3)&lt;0,"("&amp;ROUND(G18,3)&amp;")",ROUND(G18,3)&amp;"")&amp;";  × "&amp;C14&amp;"^−0.5 = "&amp;IF(ROUND(I18,3)&lt;0,"("&amp;ROUND(I18,3)&amp;")",ROUND(I18,3)&amp;"")</f>
        <v>min( 2 × 4^−1.5 , 2^−0.5 ) = min(0.25, 0.707) = 0.25;  × 4^−0.5 = 0.125</v>
      </c>
      <c r="D29" s="29"/>
      <c r="E29" s="29"/>
      <c r="F29" s="29"/>
      <c r="G29" s="29"/>
      <c r="H29" s="29"/>
      <c r="I29" s="29"/>
      <c r="J29" s="29"/>
      <c r="K29" s="29"/>
      <c r="L29" s="29"/>
      <c r="M29" s="29"/>
      <c r="N29" s="29"/>
    </row>
    <row r="30" customFormat="false" ht="15.75" hidden="false" customHeight="true" outlineLevel="0" collapsed="false">
      <c r="B30" s="10" t="s">
        <v>1169</v>
      </c>
      <c r="C30" s="29" t="str">
        <f aca="false">"min( 8 × "&amp;C15&amp;"^−1.5 , 8^−0.5 ) = min("&amp;IF(ROUND(C24,3)&lt;0,"("&amp;ROUND(C24,3)&amp;")",ROUND(C24,3)&amp;"")&amp;", "&amp;IF(ROUND(E24,3)&lt;0,"("&amp;ROUND(E24,3)&amp;")",ROUND(E24,3)&amp;"")&amp;") = "&amp;IF(ROUND(G24,3)&lt;0,"("&amp;ROUND(G24,3)&amp;")",ROUND(G24,3)&amp;"")&amp;";  × "&amp;C14&amp;"^−0.5 = "&amp;IF(ROUND(I24,3)&lt;0,"("&amp;ROUND(I24,3)&amp;")",ROUND(I24,3)&amp;"")</f>
        <v>min( 8 × 4^−1.5 , 8^−0.5 ) = min(1, 0.354) = 0.354;  × 4^−0.5 = 0.177</v>
      </c>
      <c r="D30" s="29"/>
      <c r="E30" s="29"/>
      <c r="F30" s="29"/>
      <c r="G30" s="29"/>
      <c r="H30" s="29"/>
      <c r="I30" s="29"/>
      <c r="J30" s="29"/>
      <c r="K30" s="29"/>
      <c r="L30" s="29"/>
      <c r="M30" s="29"/>
      <c r="N30" s="29"/>
    </row>
    <row r="32" customFormat="false" ht="21.75" hidden="false" customHeight="true" outlineLevel="0" collapsed="false">
      <c r="B32" s="4" t="s">
        <v>1170</v>
      </c>
      <c r="C32" s="4"/>
      <c r="D32" s="4"/>
      <c r="E32" s="4"/>
      <c r="F32" s="4"/>
      <c r="G32" s="4"/>
      <c r="H32" s="4"/>
      <c r="I32" s="4"/>
      <c r="J32" s="4"/>
      <c r="K32" s="4"/>
      <c r="L32" s="4"/>
      <c r="M32" s="4"/>
      <c r="N32" s="4"/>
    </row>
    <row r="33" customFormat="false" ht="15.75" hidden="false" customHeight="true" outlineLevel="0" collapsed="false">
      <c r="B33" s="22" t="s">
        <v>380</v>
      </c>
      <c r="C33" s="23" t="n">
        <v>512</v>
      </c>
    </row>
    <row r="34" customFormat="false" ht="15.75" hidden="false" customHeight="true" outlineLevel="0" collapsed="false">
      <c r="B34" s="22" t="s">
        <v>1157</v>
      </c>
      <c r="C34" s="61" t="n">
        <v>4000</v>
      </c>
    </row>
    <row r="35" customFormat="false" ht="17.25" hidden="false" customHeight="true" outlineLevel="0" collapsed="false">
      <c r="B35" s="22" t="s">
        <v>1171</v>
      </c>
      <c r="C35" s="107" t="n">
        <f aca="false">C33^(-0.5)*C34^(-0.5)</f>
        <v>0.000698771242968684</v>
      </c>
      <c r="D35" s="27" t="s">
        <v>1172</v>
      </c>
      <c r="E35" s="27"/>
      <c r="F35" s="27"/>
      <c r="G35" s="27"/>
      <c r="H35" s="27"/>
      <c r="I35" s="27"/>
      <c r="J35" s="27"/>
      <c r="K35" s="27"/>
      <c r="L35" s="27"/>
      <c r="M35" s="27"/>
      <c r="N35" s="27"/>
    </row>
    <row r="36" customFormat="false" ht="17.25" hidden="false" customHeight="true" outlineLevel="0" collapsed="false">
      <c r="B36" s="11" t="s">
        <v>1162</v>
      </c>
      <c r="C36" s="11"/>
      <c r="D36" s="11" t="s">
        <v>1173</v>
      </c>
      <c r="E36" s="11"/>
      <c r="F36" s="11"/>
      <c r="G36" s="11" t="s">
        <v>1174</v>
      </c>
      <c r="H36" s="11"/>
      <c r="I36" s="11"/>
      <c r="J36" s="11"/>
      <c r="K36" s="11"/>
      <c r="L36" s="11"/>
      <c r="M36" s="11"/>
      <c r="N36" s="11"/>
    </row>
    <row r="37" customFormat="false" ht="17.25" hidden="false" customHeight="true" outlineLevel="0" collapsed="false">
      <c r="B37" s="108" t="n">
        <v>1</v>
      </c>
      <c r="C37" s="108"/>
      <c r="D37" s="73" t="n">
        <f aca="false">C33^(-0.5)*MIN(B37^(-0.5),B37*C34^(-1.5))</f>
        <v>1.74692810742171E-007</v>
      </c>
      <c r="E37" s="73"/>
      <c r="F37" s="73"/>
      <c r="G37" s="13" t="str">
        <f aca="false">IF(B37&lt;C34,"warm-up: "&amp;TEXT(B37/C34,"0%")&amp;" of the way to the peak","decay: "&amp;TEXT(D37/(C33^(-0.5)*C34^(-0.5)),"0%")&amp;" of peak")</f>
        <v>warm-up: 0% of the way to the peak</v>
      </c>
      <c r="H37" s="13"/>
      <c r="I37" s="13"/>
      <c r="J37" s="13"/>
      <c r="K37" s="13"/>
      <c r="L37" s="13"/>
      <c r="M37" s="13"/>
      <c r="N37" s="13"/>
    </row>
    <row r="38" customFormat="false" ht="17.25" hidden="false" customHeight="true" outlineLevel="0" collapsed="false">
      <c r="B38" s="108" t="n">
        <v>100</v>
      </c>
      <c r="C38" s="108"/>
      <c r="D38" s="75" t="n">
        <f aca="false">C33^(-0.5)*MIN(B38^(-0.5),B38*C34^(-1.5))</f>
        <v>1.74692810742171E-005</v>
      </c>
      <c r="E38" s="75"/>
      <c r="F38" s="75"/>
      <c r="G38" s="16" t="str">
        <f aca="false">IF(B38&lt;C34,"warm-up: "&amp;TEXT(B38/C34,"0%")&amp;" of the way to the peak","decay: "&amp;TEXT(D38/(C33^(-0.5)*C34^(-0.5)),"0%")&amp;" of peak")</f>
        <v>warm-up: 3% of the way to the peak</v>
      </c>
      <c r="H38" s="16"/>
      <c r="I38" s="16"/>
      <c r="J38" s="16"/>
      <c r="K38" s="16"/>
      <c r="L38" s="16"/>
      <c r="M38" s="16"/>
      <c r="N38" s="16"/>
    </row>
    <row r="39" customFormat="false" ht="17.25" hidden="false" customHeight="true" outlineLevel="0" collapsed="false">
      <c r="B39" s="108" t="n">
        <v>1000</v>
      </c>
      <c r="C39" s="108"/>
      <c r="D39" s="73" t="n">
        <f aca="false">C33^(-0.5)*MIN(B39^(-0.5),B39*C34^(-1.5))</f>
        <v>0.000174692810742171</v>
      </c>
      <c r="E39" s="73"/>
      <c r="F39" s="73"/>
      <c r="G39" s="13" t="str">
        <f aca="false">IF(B39&lt;C34,"warm-up: "&amp;TEXT(B39/C34,"0%")&amp;" of the way to the peak","decay: "&amp;TEXT(D39/(C33^(-0.5)*C34^(-0.5)),"0%")&amp;" of peak")</f>
        <v>warm-up: 25% of the way to the peak</v>
      </c>
      <c r="H39" s="13"/>
      <c r="I39" s="13"/>
      <c r="J39" s="13"/>
      <c r="K39" s="13"/>
      <c r="L39" s="13"/>
      <c r="M39" s="13"/>
      <c r="N39" s="13"/>
    </row>
    <row r="40" customFormat="false" ht="17.25" hidden="false" customHeight="true" outlineLevel="0" collapsed="false">
      <c r="B40" s="108" t="n">
        <v>2000</v>
      </c>
      <c r="C40" s="108"/>
      <c r="D40" s="75" t="n">
        <f aca="false">C33^(-0.5)*MIN(B40^(-0.5),B40*C34^(-1.5))</f>
        <v>0.000349385621484342</v>
      </c>
      <c r="E40" s="75"/>
      <c r="F40" s="75"/>
      <c r="G40" s="16" t="str">
        <f aca="false">IF(B40&lt;C34,"warm-up: "&amp;TEXT(B40/C34,"0%")&amp;" of the way to the peak","decay: "&amp;TEXT(D40/(C33^(-0.5)*C34^(-0.5)),"0%")&amp;" of peak")</f>
        <v>warm-up: 50% of the way to the peak</v>
      </c>
      <c r="H40" s="16"/>
      <c r="I40" s="16"/>
      <c r="J40" s="16"/>
      <c r="K40" s="16"/>
      <c r="L40" s="16"/>
      <c r="M40" s="16"/>
      <c r="N40" s="16"/>
    </row>
    <row r="41" customFormat="false" ht="17.25" hidden="false" customHeight="true" outlineLevel="0" collapsed="false">
      <c r="B41" s="108" t="n">
        <v>4000</v>
      </c>
      <c r="C41" s="108"/>
      <c r="D41" s="73" t="n">
        <f aca="false">C33^(-0.5)*MIN(B41^(-0.5),B41*C34^(-1.5))</f>
        <v>0.000698771242968684</v>
      </c>
      <c r="E41" s="73"/>
      <c r="F41" s="73"/>
      <c r="G41" s="13" t="str">
        <f aca="false">IF(B41&lt;C34,"warm-up: "&amp;TEXT(B41/C34,"0%")&amp;" of the way to the peak","decay: "&amp;TEXT(D41/(C33^(-0.5)*C34^(-0.5)),"0%")&amp;" of peak")</f>
        <v>decay: 100% of peak</v>
      </c>
      <c r="H41" s="13"/>
      <c r="I41" s="13"/>
      <c r="J41" s="13"/>
      <c r="K41" s="13"/>
      <c r="L41" s="13"/>
      <c r="M41" s="13"/>
      <c r="N41" s="13"/>
    </row>
    <row r="42" customFormat="false" ht="17.25" hidden="false" customHeight="true" outlineLevel="0" collapsed="false">
      <c r="B42" s="108" t="n">
        <v>8000</v>
      </c>
      <c r="C42" s="108"/>
      <c r="D42" s="75" t="n">
        <f aca="false">C33^(-0.5)*MIN(B42^(-0.5),B42*C34^(-1.5))</f>
        <v>0.000494105884401309</v>
      </c>
      <c r="E42" s="75"/>
      <c r="F42" s="75"/>
      <c r="G42" s="16" t="str">
        <f aca="false">IF(B42&lt;C34,"warm-up: "&amp;TEXT(B42/C34,"0%")&amp;" of the way to the peak","decay: "&amp;TEXT(D42/(C33^(-0.5)*C34^(-0.5)),"0%")&amp;" of peak")</f>
        <v>decay: 71% of peak</v>
      </c>
      <c r="H42" s="16"/>
      <c r="I42" s="16"/>
      <c r="J42" s="16"/>
      <c r="K42" s="16"/>
      <c r="L42" s="16"/>
      <c r="M42" s="16"/>
      <c r="N42" s="16"/>
    </row>
    <row r="43" customFormat="false" ht="17.25" hidden="false" customHeight="true" outlineLevel="0" collapsed="false">
      <c r="B43" s="108" t="n">
        <v>16000</v>
      </c>
      <c r="C43" s="108"/>
      <c r="D43" s="73" t="n">
        <f aca="false">C33^(-0.5)*MIN(B43^(-0.5),B43*C34^(-1.5))</f>
        <v>0.000349385621484342</v>
      </c>
      <c r="E43" s="73"/>
      <c r="F43" s="73"/>
      <c r="G43" s="13" t="str">
        <f aca="false">IF(B43&lt;C34,"warm-up: "&amp;TEXT(B43/C34,"0%")&amp;" of the way to the peak","decay: "&amp;TEXT(D43/(C33^(-0.5)*C34^(-0.5)),"0%")&amp;" of peak")</f>
        <v>decay: 50% of peak</v>
      </c>
      <c r="H43" s="13"/>
      <c r="I43" s="13"/>
      <c r="J43" s="13"/>
      <c r="K43" s="13"/>
      <c r="L43" s="13"/>
      <c r="M43" s="13"/>
      <c r="N43" s="13"/>
    </row>
    <row r="44" customFormat="false" ht="17.25" hidden="false" customHeight="true" outlineLevel="0" collapsed="false">
      <c r="B44" s="108" t="n">
        <v>50000</v>
      </c>
      <c r="C44" s="108"/>
      <c r="D44" s="75" t="n">
        <f aca="false">C33^(-0.5)*MIN(B44^(-0.5),B44*C34^(-1.5))</f>
        <v>0.000197642353760524</v>
      </c>
      <c r="E44" s="75"/>
      <c r="F44" s="75"/>
      <c r="G44" s="16" t="str">
        <f aca="false">IF(B44&lt;C34,"warm-up: "&amp;TEXT(B44/C34,"0%")&amp;" of the way to the peak","decay: "&amp;TEXT(D44/(C33^(-0.5)*C34^(-0.5)),"0%")&amp;" of peak")</f>
        <v>decay: 28% of peak</v>
      </c>
      <c r="H44" s="16"/>
      <c r="I44" s="16"/>
      <c r="J44" s="16"/>
      <c r="K44" s="16"/>
      <c r="L44" s="16"/>
      <c r="M44" s="16"/>
      <c r="N44" s="16"/>
    </row>
    <row r="45" customFormat="false" ht="17.25" hidden="false" customHeight="true" outlineLevel="0" collapsed="false">
      <c r="B45" s="108" t="n">
        <v>100000</v>
      </c>
      <c r="C45" s="108"/>
      <c r="D45" s="73" t="n">
        <f aca="false">C33^(-0.5)*MIN(B45^(-0.5),B45*C34^(-1.5))</f>
        <v>0.000139754248593737</v>
      </c>
      <c r="E45" s="73"/>
      <c r="F45" s="73"/>
      <c r="G45" s="13" t="str">
        <f aca="false">IF(B45&lt;C34,"warm-up: "&amp;TEXT(B45/C34,"0%")&amp;" of the way to the peak","decay: "&amp;TEXT(D45/(C33^(-0.5)*C34^(-0.5)),"0%")&amp;" of peak")</f>
        <v>decay: 20% of peak</v>
      </c>
      <c r="H45" s="13"/>
      <c r="I45" s="13"/>
      <c r="J45" s="13"/>
      <c r="K45" s="13"/>
      <c r="L45" s="13"/>
      <c r="M45" s="13"/>
      <c r="N45" s="13"/>
    </row>
    <row r="46" customFormat="false" ht="17.25" hidden="false" customHeight="true" outlineLevel="0" collapsed="false">
      <c r="B46" s="108" t="n">
        <v>300000</v>
      </c>
      <c r="C46" s="108"/>
      <c r="D46" s="75" t="n">
        <f aca="false">C33^(-0.5)*MIN(B46^(-0.5),B46*C34^(-1.5))</f>
        <v>8.06871530459879E-005</v>
      </c>
      <c r="E46" s="75"/>
      <c r="F46" s="75"/>
      <c r="G46" s="16" t="str">
        <f aca="false">IF(B46&lt;C34,"warm-up: "&amp;TEXT(B46/C34,"0%")&amp;" of the way to the peak","decay: "&amp;TEXT(D46/(C33^(-0.5)*C34^(-0.5)),"0%")&amp;" of peak")</f>
        <v>decay: 12% of peak</v>
      </c>
      <c r="H46" s="16"/>
      <c r="I46" s="16"/>
      <c r="J46" s="16"/>
      <c r="K46" s="16"/>
      <c r="L46" s="16"/>
      <c r="M46" s="16"/>
      <c r="N46" s="16"/>
    </row>
    <row r="47" customFormat="false" ht="17.25" hidden="false" customHeight="true" outlineLevel="0" collapsed="false">
      <c r="B47" s="19" t="s">
        <v>1175</v>
      </c>
      <c r="C47" s="19"/>
      <c r="D47" s="19"/>
      <c r="E47" s="19"/>
      <c r="F47" s="19"/>
      <c r="G47" s="19"/>
      <c r="H47" s="19"/>
      <c r="I47" s="19"/>
      <c r="J47" s="19"/>
      <c r="K47" s="19"/>
      <c r="L47" s="19"/>
      <c r="M47" s="19"/>
      <c r="N47" s="19"/>
    </row>
    <row r="66" customFormat="false" ht="21.75" hidden="false" customHeight="true" outlineLevel="0" collapsed="false">
      <c r="B66" s="4" t="s">
        <v>1176</v>
      </c>
      <c r="C66" s="4"/>
      <c r="D66" s="4"/>
      <c r="E66" s="4"/>
      <c r="F66" s="4"/>
      <c r="G66" s="4"/>
      <c r="H66" s="4"/>
      <c r="I66" s="4"/>
      <c r="J66" s="4"/>
      <c r="K66" s="4"/>
      <c r="L66" s="4"/>
      <c r="M66" s="4"/>
      <c r="N66" s="4"/>
    </row>
    <row r="67" customFormat="false" ht="31.5" hidden="false" customHeight="true" outlineLevel="0" collapsed="false">
      <c r="B67" s="5" t="s">
        <v>1177</v>
      </c>
      <c r="C67" s="5"/>
      <c r="D67" s="5"/>
      <c r="E67" s="5"/>
      <c r="F67" s="5"/>
      <c r="G67" s="5"/>
      <c r="H67" s="5"/>
      <c r="I67" s="5"/>
      <c r="J67" s="5"/>
      <c r="K67" s="5"/>
      <c r="L67" s="5"/>
      <c r="M67" s="5"/>
      <c r="N67" s="5"/>
    </row>
    <row r="68" customFormat="false" ht="20.25" hidden="false" customHeight="true" outlineLevel="0" collapsed="false">
      <c r="B68" s="24" t="s">
        <v>1178</v>
      </c>
      <c r="C68" s="24"/>
      <c r="D68" s="24"/>
      <c r="E68" s="24"/>
      <c r="F68" s="24"/>
      <c r="G68" s="24"/>
      <c r="H68" s="24"/>
      <c r="I68" s="24"/>
      <c r="J68" s="24"/>
      <c r="K68" s="24"/>
      <c r="L68" s="24"/>
      <c r="M68" s="24"/>
      <c r="N68" s="24"/>
    </row>
    <row r="69" customFormat="false" ht="17.25" hidden="false" customHeight="true" outlineLevel="0" collapsed="false">
      <c r="B69" s="22" t="s">
        <v>1179</v>
      </c>
      <c r="C69" s="30" t="n">
        <v>0.9</v>
      </c>
      <c r="D69" s="27" t="s">
        <v>1180</v>
      </c>
      <c r="E69" s="27"/>
      <c r="F69" s="27"/>
      <c r="G69" s="27"/>
      <c r="H69" s="27"/>
      <c r="I69" s="27"/>
      <c r="J69" s="27"/>
      <c r="K69" s="27"/>
      <c r="L69" s="27"/>
      <c r="M69" s="27"/>
      <c r="N69" s="27"/>
    </row>
    <row r="70" customFormat="false" ht="17.25" hidden="false" customHeight="true" outlineLevel="0" collapsed="false">
      <c r="B70" s="22" t="s">
        <v>1181</v>
      </c>
      <c r="C70" s="30" t="n">
        <v>0.98</v>
      </c>
      <c r="D70" s="27" t="s">
        <v>1182</v>
      </c>
      <c r="E70" s="27"/>
      <c r="F70" s="27"/>
      <c r="G70" s="27"/>
      <c r="H70" s="27"/>
      <c r="I70" s="27"/>
      <c r="J70" s="27"/>
      <c r="K70" s="27"/>
      <c r="L70" s="27"/>
      <c r="M70" s="27"/>
      <c r="N70" s="27"/>
    </row>
    <row r="71" customFormat="false" ht="17.25" hidden="false" customHeight="true" outlineLevel="0" collapsed="false">
      <c r="B71" s="22" t="s">
        <v>904</v>
      </c>
      <c r="C71" s="88" t="n">
        <v>1E-009</v>
      </c>
      <c r="D71" s="27" t="s">
        <v>1180</v>
      </c>
      <c r="E71" s="27"/>
      <c r="F71" s="27"/>
      <c r="G71" s="27"/>
      <c r="H71" s="27"/>
      <c r="I71" s="27"/>
      <c r="J71" s="27"/>
      <c r="K71" s="27"/>
      <c r="L71" s="27"/>
      <c r="M71" s="27"/>
      <c r="N71" s="27"/>
    </row>
    <row r="72" customFormat="false" ht="15.75" hidden="false" customHeight="true" outlineLevel="0" collapsed="false">
      <c r="B72" s="22" t="s">
        <v>1183</v>
      </c>
      <c r="C72" s="72" t="n">
        <v>0.001</v>
      </c>
    </row>
    <row r="73" customFormat="false" ht="15.75" hidden="false" customHeight="true" outlineLevel="0" collapsed="false">
      <c r="B73" s="22" t="s">
        <v>1184</v>
      </c>
      <c r="C73" s="72" t="n">
        <v>0.5</v>
      </c>
    </row>
    <row r="74" customFormat="false" ht="17.25" hidden="false" customHeight="true" outlineLevel="0" collapsed="false">
      <c r="B74" s="11" t="s">
        <v>1185</v>
      </c>
      <c r="C74" s="11" t="s">
        <v>1186</v>
      </c>
      <c r="D74" s="11" t="s">
        <v>1187</v>
      </c>
      <c r="E74" s="11"/>
      <c r="F74" s="11" t="s">
        <v>898</v>
      </c>
      <c r="G74" s="11"/>
      <c r="H74" s="11" t="s">
        <v>1188</v>
      </c>
      <c r="I74" s="11" t="s">
        <v>1189</v>
      </c>
      <c r="J74" s="11"/>
      <c r="K74" s="11" t="s">
        <v>1190</v>
      </c>
      <c r="L74" s="11"/>
      <c r="M74" s="11" t="s">
        <v>1191</v>
      </c>
      <c r="N74" s="11"/>
    </row>
    <row r="75" customFormat="false" ht="17.25" hidden="false" customHeight="true" outlineLevel="0" collapsed="false">
      <c r="B75" s="13" t="n">
        <v>1</v>
      </c>
      <c r="C75" s="6" t="n">
        <v>0.5</v>
      </c>
      <c r="D75" s="81" t="n">
        <f aca="false">C69*0+(1-C69)*C75</f>
        <v>0.05</v>
      </c>
      <c r="E75" s="81"/>
      <c r="F75" s="81" t="n">
        <f aca="false">C70*0+(1-C70)*C75^2</f>
        <v>0.005</v>
      </c>
      <c r="G75" s="81"/>
      <c r="H75" s="49" t="n">
        <f aca="false">D75/(1-C69^B75)</f>
        <v>0.5</v>
      </c>
      <c r="I75" s="49" t="n">
        <f aca="false">F75/(1-C70^B75)</f>
        <v>0.25</v>
      </c>
      <c r="J75" s="49"/>
      <c r="K75" s="73" t="n">
        <f aca="false">C72*H75/(SQRT(I75)+C71)</f>
        <v>0.000999999998</v>
      </c>
      <c r="L75" s="73"/>
      <c r="M75" s="74" t="n">
        <f aca="false">C73-K75</f>
        <v>0.499000000002</v>
      </c>
      <c r="N75" s="74"/>
    </row>
    <row r="76" customFormat="false" ht="17.25" hidden="false" customHeight="true" outlineLevel="0" collapsed="false">
      <c r="B76" s="16" t="n">
        <v>2</v>
      </c>
      <c r="C76" s="6" t="n">
        <v>0.3</v>
      </c>
      <c r="D76" s="83" t="n">
        <f aca="false">C69*D75+(1-C69)*C76</f>
        <v>0.075</v>
      </c>
      <c r="E76" s="83"/>
      <c r="F76" s="83" t="n">
        <f aca="false">C70*F75+(1-C70)*C76^2</f>
        <v>0.00670000000000001</v>
      </c>
      <c r="G76" s="83"/>
      <c r="H76" s="50" t="n">
        <f aca="false">D76/(1-C69^B76)</f>
        <v>0.394736842105263</v>
      </c>
      <c r="I76" s="50" t="n">
        <f aca="false">F76/(1-C70^B76)</f>
        <v>0.169191919191919</v>
      </c>
      <c r="J76" s="50"/>
      <c r="K76" s="75" t="n">
        <f aca="false">C72*H76/(SQRT(I76)+C71)</f>
        <v>0.000959661016083929</v>
      </c>
      <c r="L76" s="75"/>
      <c r="M76" s="74" t="n">
        <f aca="false">M75-K76</f>
        <v>0.498040338985916</v>
      </c>
      <c r="N76" s="74"/>
    </row>
    <row r="77" customFormat="false" ht="17.25" hidden="false" customHeight="true" outlineLevel="0" collapsed="false">
      <c r="B77" s="13" t="n">
        <v>3</v>
      </c>
      <c r="C77" s="6" t="n">
        <v>-0.2</v>
      </c>
      <c r="D77" s="81" t="n">
        <f aca="false">C69*D76+(1-C69)*C77</f>
        <v>0.0475</v>
      </c>
      <c r="E77" s="81"/>
      <c r="F77" s="81" t="n">
        <f aca="false">C70*F76+(1-C70)*C77^2</f>
        <v>0.00736600000000001</v>
      </c>
      <c r="G77" s="81"/>
      <c r="H77" s="49" t="n">
        <f aca="false">D77/(1-C69^B77)</f>
        <v>0.175276752767528</v>
      </c>
      <c r="I77" s="49" t="n">
        <f aca="false">F77/(1-C70^B77)</f>
        <v>0.125255067337777</v>
      </c>
      <c r="J77" s="49"/>
      <c r="K77" s="73" t="n">
        <f aca="false">C72*H77/(SQRT(I77)+C71)</f>
        <v>0.00049525248703451</v>
      </c>
      <c r="L77" s="73"/>
      <c r="M77" s="74" t="n">
        <f aca="false">M76-K77</f>
        <v>0.497545086498882</v>
      </c>
      <c r="N77" s="74"/>
    </row>
    <row r="78" customFormat="false" ht="15.75" hidden="false" customHeight="true" outlineLevel="0" collapsed="false">
      <c r="B78" s="10" t="s">
        <v>1192</v>
      </c>
      <c r="C78" s="29" t="str">
        <f aca="false">"m = 0.9×0 + 0.1×"&amp;IF(ROUND(C75,3)&lt;0,"("&amp;ROUND(C75,3)&amp;")",ROUND(C75,3)&amp;"")&amp;" = "&amp;IF(ROUND(D75,3)&lt;0,"("&amp;ROUND(D75,3)&amp;")",ROUND(D75,3)&amp;"")&amp;";  m̂ = "&amp;IF(ROUND(D75,3)&lt;0,"("&amp;ROUND(D75,3)&amp;")",ROUND(D75,3)&amp;"")&amp;" ÷ (1−0.9) = "&amp;IF(ROUND(H75,3)&lt;0,"("&amp;ROUND(H75,3)&amp;")",ROUND(H75,3)&amp;"")&amp;";  v̂ = "&amp;IF(ROUND(I75,3)&lt;0,"("&amp;ROUND(I75,3)&amp;")",ROUND(I75,3)&amp;"")&amp;";  step = 0.001 × "&amp;IF(ROUND(H75,3)&lt;0,"("&amp;ROUND(H75,3)&amp;")",ROUND(H75,3)&amp;"")&amp;" ÷ "&amp;IF(ROUND(SQRT(I75),3)&lt;0,"("&amp;ROUND(SQRT(I75),3)&amp;")",ROUND(SQRT(I75),3)&amp;"")&amp;" = "&amp;IF(ROUND(K75,3)&lt;0,"("&amp;ROUND(K75,3)&amp;")",ROUND(K75,3)&amp;"")</f>
        <v>m = 0.9×0 + 0.1×0.5 = 0.05;  m̂ = 0.05 ÷ (1−0.9) = 0.5;  v̂ = 0.25;  step = 0.001 × 0.5 ÷ 0.5 = 0.001</v>
      </c>
      <c r="D78" s="29"/>
      <c r="E78" s="29"/>
      <c r="F78" s="29"/>
      <c r="G78" s="29"/>
      <c r="H78" s="29"/>
      <c r="I78" s="29"/>
      <c r="J78" s="29"/>
      <c r="K78" s="29"/>
      <c r="L78" s="29"/>
      <c r="M78" s="29"/>
      <c r="N78" s="29"/>
    </row>
    <row r="79" customFormat="false" ht="17.25" hidden="false" customHeight="true" outlineLevel="0" collapsed="false">
      <c r="B79" s="5" t="s">
        <v>1193</v>
      </c>
      <c r="C79" s="5"/>
      <c r="D79" s="5"/>
      <c r="E79" s="5"/>
      <c r="F79" s="5"/>
      <c r="G79" s="5"/>
      <c r="H79" s="5"/>
      <c r="I79" s="5"/>
      <c r="J79" s="5"/>
      <c r="K79" s="5"/>
      <c r="L79" s="5"/>
      <c r="M79" s="5"/>
      <c r="N79" s="5"/>
    </row>
    <row r="81" customFormat="false" ht="21.75" hidden="false" customHeight="true" outlineLevel="0" collapsed="false">
      <c r="B81" s="4" t="s">
        <v>1194</v>
      </c>
      <c r="C81" s="4"/>
      <c r="D81" s="4"/>
      <c r="E81" s="4"/>
      <c r="F81" s="4"/>
      <c r="G81" s="4"/>
      <c r="H81" s="4"/>
      <c r="I81" s="4"/>
      <c r="J81" s="4"/>
      <c r="K81" s="4"/>
      <c r="L81" s="4"/>
      <c r="M81" s="4"/>
      <c r="N81" s="4"/>
    </row>
    <row r="82" customFormat="false" ht="17.25" hidden="false" customHeight="true" outlineLevel="0" collapsed="false">
      <c r="B82" s="11" t="s">
        <v>1108</v>
      </c>
      <c r="C82" s="11"/>
      <c r="D82" s="11" t="s">
        <v>1195</v>
      </c>
      <c r="E82" s="11"/>
      <c r="F82" s="11" t="s">
        <v>1196</v>
      </c>
      <c r="G82" s="11"/>
      <c r="H82" s="11" t="s">
        <v>1197</v>
      </c>
      <c r="I82" s="11"/>
      <c r="J82" s="11" t="s">
        <v>1198</v>
      </c>
      <c r="K82" s="11"/>
      <c r="L82" s="11" t="s">
        <v>1199</v>
      </c>
      <c r="M82" s="11"/>
      <c r="N82" s="11"/>
    </row>
    <row r="83" customFormat="false" ht="17.25" hidden="false" customHeight="true" outlineLevel="0" collapsed="false">
      <c r="B83" s="13" t="s">
        <v>822</v>
      </c>
      <c r="C83" s="13"/>
      <c r="D83" s="108" t="n">
        <v>100000</v>
      </c>
      <c r="E83" s="108"/>
      <c r="F83" s="6" t="n">
        <v>0.4</v>
      </c>
      <c r="G83" s="6"/>
      <c r="H83" s="7" t="n">
        <f aca="false">D83*F83/3600</f>
        <v>11.1111111111111</v>
      </c>
      <c r="I83" s="7"/>
      <c r="J83" s="69" t="n">
        <f aca="false">H83/24</f>
        <v>0.462962962962963</v>
      </c>
      <c r="K83" s="69"/>
      <c r="L83" s="13" t="s">
        <v>1200</v>
      </c>
      <c r="M83" s="13"/>
      <c r="N83" s="13"/>
    </row>
    <row r="84" customFormat="false" ht="17.25" hidden="false" customHeight="true" outlineLevel="0" collapsed="false">
      <c r="B84" s="16" t="s">
        <v>1130</v>
      </c>
      <c r="C84" s="16"/>
      <c r="D84" s="108" t="n">
        <v>300000</v>
      </c>
      <c r="E84" s="108"/>
      <c r="F84" s="6" t="n">
        <v>1</v>
      </c>
      <c r="G84" s="6"/>
      <c r="H84" s="89" t="n">
        <f aca="false">D84*F84/3600</f>
        <v>83.3333333333333</v>
      </c>
      <c r="I84" s="89"/>
      <c r="J84" s="82" t="n">
        <f aca="false">H84/24</f>
        <v>3.47222222222222</v>
      </c>
      <c r="K84" s="82"/>
      <c r="L84" s="16" t="s">
        <v>1201</v>
      </c>
      <c r="M84" s="16"/>
      <c r="N84" s="16"/>
    </row>
    <row r="85" customFormat="false" ht="17.25" hidden="false" customHeight="true" outlineLevel="0" collapsed="false">
      <c r="B85" s="5" t="s">
        <v>1202</v>
      </c>
      <c r="C85" s="5"/>
      <c r="D85" s="5"/>
      <c r="E85" s="5"/>
      <c r="F85" s="5"/>
      <c r="G85" s="5"/>
      <c r="H85" s="5"/>
      <c r="I85" s="5"/>
      <c r="J85" s="5"/>
      <c r="K85" s="5"/>
      <c r="L85" s="5"/>
      <c r="M85" s="5"/>
      <c r="N85" s="5"/>
    </row>
    <row r="86" customFormat="false" ht="18.75" hidden="false" customHeight="true" outlineLevel="0" collapsed="false">
      <c r="B86" s="25" t="s">
        <v>279</v>
      </c>
      <c r="C86" s="25"/>
      <c r="D86" s="25"/>
      <c r="E86" s="25"/>
      <c r="F86" s="25"/>
      <c r="G86" s="25"/>
      <c r="H86" s="25"/>
      <c r="I86" s="25"/>
      <c r="J86" s="25"/>
      <c r="K86" s="25"/>
      <c r="L86" s="25"/>
      <c r="M86" s="25"/>
      <c r="N86" s="25"/>
    </row>
    <row r="87" customFormat="false" ht="17.25" hidden="false" customHeight="true" outlineLevel="0" collapsed="false">
      <c r="B87" s="43" t="s">
        <v>1203</v>
      </c>
      <c r="C87" s="43"/>
      <c r="D87" s="43"/>
      <c r="E87" s="43"/>
      <c r="F87" s="43"/>
      <c r="G87" s="43"/>
      <c r="H87" s="43"/>
      <c r="I87" s="43"/>
      <c r="J87" s="43"/>
      <c r="K87" s="43"/>
      <c r="L87" s="43"/>
      <c r="M87" s="43"/>
      <c r="N87" s="43"/>
    </row>
    <row r="88" customFormat="false" ht="17.25" hidden="false" customHeight="true" outlineLevel="0" collapsed="false">
      <c r="B88" s="44" t="s">
        <v>1204</v>
      </c>
      <c r="C88" s="44"/>
      <c r="D88" s="44"/>
      <c r="E88" s="44"/>
      <c r="F88" s="44"/>
      <c r="G88" s="44"/>
      <c r="H88" s="44"/>
      <c r="I88" s="44"/>
      <c r="J88" s="44"/>
      <c r="K88" s="44"/>
      <c r="L88" s="44"/>
      <c r="M88" s="44"/>
      <c r="N88" s="44"/>
    </row>
    <row r="89" customFormat="false" ht="17.25" hidden="false" customHeight="true" outlineLevel="0" collapsed="false">
      <c r="B89" s="43" t="s">
        <v>1205</v>
      </c>
      <c r="C89" s="43"/>
      <c r="D89" s="43"/>
      <c r="E89" s="43"/>
      <c r="F89" s="43"/>
      <c r="G89" s="43"/>
      <c r="H89" s="43"/>
      <c r="I89" s="43"/>
      <c r="J89" s="43"/>
      <c r="K89" s="43"/>
      <c r="L89" s="43"/>
      <c r="M89" s="43"/>
      <c r="N89" s="43"/>
    </row>
    <row r="90" customFormat="false" ht="17.25" hidden="false" customHeight="true" outlineLevel="0" collapsed="false">
      <c r="B90" s="44" t="s">
        <v>1206</v>
      </c>
      <c r="C90" s="44"/>
      <c r="D90" s="44"/>
      <c r="E90" s="44"/>
      <c r="F90" s="44"/>
      <c r="G90" s="44"/>
      <c r="H90" s="44"/>
      <c r="I90" s="44"/>
      <c r="J90" s="44"/>
      <c r="K90" s="44"/>
      <c r="L90" s="44"/>
      <c r="M90" s="44"/>
      <c r="N90" s="44"/>
    </row>
    <row r="93" customFormat="false" ht="18.75" hidden="false" customHeight="true" outlineLevel="0" collapsed="false">
      <c r="B93" s="25" t="s">
        <v>1207</v>
      </c>
      <c r="C93" s="25"/>
      <c r="D93" s="25"/>
      <c r="E93" s="25"/>
      <c r="F93" s="25"/>
      <c r="G93" s="25"/>
      <c r="H93" s="25"/>
      <c r="I93" s="25"/>
      <c r="J93" s="25"/>
      <c r="K93" s="25"/>
      <c r="L93" s="25"/>
      <c r="M93" s="25"/>
      <c r="N93" s="25"/>
    </row>
    <row r="94" customFormat="false" ht="15" hidden="false" customHeight="false" outlineLevel="0" collapsed="false">
      <c r="B94" s="22" t="s">
        <v>1162</v>
      </c>
      <c r="C94" s="22" t="s">
        <v>1208</v>
      </c>
    </row>
    <row r="95" customFormat="false" ht="15" hidden="false" customHeight="false" outlineLevel="0" collapsed="false">
      <c r="B95" s="109" t="n">
        <v>1</v>
      </c>
      <c r="C95" s="110" t="n">
        <f aca="false">C33^(-0.5)*MIN(B95^(-0.5),B95*C34^(-1.5))</f>
        <v>1.74692810742171E-007</v>
      </c>
    </row>
    <row r="96" customFormat="false" ht="15" hidden="false" customHeight="false" outlineLevel="0" collapsed="false">
      <c r="B96" s="109" t="n">
        <v>1000</v>
      </c>
      <c r="C96" s="110" t="n">
        <f aca="false">C33^(-0.5)*MIN(B96^(-0.5),B96*C34^(-1.5))</f>
        <v>0.000174692810742171</v>
      </c>
    </row>
    <row r="97" customFormat="false" ht="15" hidden="false" customHeight="false" outlineLevel="0" collapsed="false">
      <c r="B97" s="109" t="n">
        <v>2000</v>
      </c>
      <c r="C97" s="110" t="n">
        <f aca="false">C33^(-0.5)*MIN(B97^(-0.5),B97*C34^(-1.5))</f>
        <v>0.000349385621484342</v>
      </c>
    </row>
    <row r="98" customFormat="false" ht="15" hidden="false" customHeight="false" outlineLevel="0" collapsed="false">
      <c r="B98" s="109" t="n">
        <v>3000</v>
      </c>
      <c r="C98" s="110" t="n">
        <f aca="false">C33^(-0.5)*MIN(B98^(-0.5),B98*C34^(-1.5))</f>
        <v>0.000524078432226513</v>
      </c>
    </row>
    <row r="99" customFormat="false" ht="15" hidden="false" customHeight="false" outlineLevel="0" collapsed="false">
      <c r="B99" s="109" t="n">
        <v>4000</v>
      </c>
      <c r="C99" s="110" t="n">
        <f aca="false">C33^(-0.5)*MIN(B99^(-0.5),B99*C34^(-1.5))</f>
        <v>0.000698771242968684</v>
      </c>
    </row>
    <row r="100" customFormat="false" ht="15" hidden="false" customHeight="false" outlineLevel="0" collapsed="false">
      <c r="B100" s="109" t="n">
        <v>5000</v>
      </c>
      <c r="C100" s="110" t="n">
        <f aca="false">C33^(-0.5)*MIN(B100^(-0.5),B100*C34^(-1.5))</f>
        <v>0.000625</v>
      </c>
    </row>
    <row r="101" customFormat="false" ht="15" hidden="false" customHeight="false" outlineLevel="0" collapsed="false">
      <c r="B101" s="109" t="n">
        <v>6000</v>
      </c>
      <c r="C101" s="110" t="n">
        <f aca="false">C33^(-0.5)*MIN(B101^(-0.5),B101*C34^(-1.5))</f>
        <v>0.000570544330734548</v>
      </c>
    </row>
    <row r="102" customFormat="false" ht="15" hidden="false" customHeight="false" outlineLevel="0" collapsed="false">
      <c r="B102" s="109" t="n">
        <v>7000</v>
      </c>
      <c r="C102" s="110" t="n">
        <f aca="false">C33^(-0.5)*MIN(B102^(-0.5),B102*C34^(-1.5))</f>
        <v>0.000528221409205323</v>
      </c>
    </row>
    <row r="103" customFormat="false" ht="15" hidden="false" customHeight="false" outlineLevel="0" collapsed="false">
      <c r="B103" s="109" t="n">
        <v>8000</v>
      </c>
      <c r="C103" s="110" t="n">
        <f aca="false">C33^(-0.5)*MIN(B103^(-0.5),B103*C34^(-1.5))</f>
        <v>0.000494105884401309</v>
      </c>
    </row>
    <row r="104" customFormat="false" ht="15" hidden="false" customHeight="false" outlineLevel="0" collapsed="false">
      <c r="B104" s="109" t="n">
        <v>9000</v>
      </c>
      <c r="C104" s="110" t="n">
        <f aca="false">C33^(-0.5)*MIN(B104^(-0.5),B104*C34^(-1.5))</f>
        <v>0.000465847495312456</v>
      </c>
    </row>
    <row r="105" customFormat="false" ht="15" hidden="false" customHeight="false" outlineLevel="0" collapsed="false">
      <c r="B105" s="109" t="n">
        <v>10000</v>
      </c>
      <c r="C105" s="110" t="n">
        <f aca="false">C33^(-0.5)*MIN(B105^(-0.5),B105*C34^(-1.5))</f>
        <v>0.000441941738241592</v>
      </c>
    </row>
    <row r="106" customFormat="false" ht="15" hidden="false" customHeight="false" outlineLevel="0" collapsed="false">
      <c r="B106" s="109" t="n">
        <v>11000</v>
      </c>
      <c r="C106" s="110" t="n">
        <f aca="false">C33^(-0.5)*MIN(B106^(-0.5),B106*C34^(-1.5))</f>
        <v>0.000421374914039526</v>
      </c>
    </row>
    <row r="107" customFormat="false" ht="15" hidden="false" customHeight="false" outlineLevel="0" collapsed="false">
      <c r="B107" s="109" t="n">
        <v>12000</v>
      </c>
      <c r="C107" s="110" t="n">
        <f aca="false">C33^(-0.5)*MIN(B107^(-0.5),B107*C34^(-1.5))</f>
        <v>0.000403435765229939</v>
      </c>
    </row>
    <row r="108" customFormat="false" ht="15" hidden="false" customHeight="false" outlineLevel="0" collapsed="false">
      <c r="B108" s="109" t="n">
        <v>13000</v>
      </c>
      <c r="C108" s="110" t="n">
        <f aca="false">C33^(-0.5)*MIN(B108^(-0.5),B108*C34^(-1.5))</f>
        <v>0.000387608545591277</v>
      </c>
    </row>
    <row r="109" customFormat="false" ht="15" hidden="false" customHeight="false" outlineLevel="0" collapsed="false">
      <c r="B109" s="109" t="n">
        <v>14000</v>
      </c>
      <c r="C109" s="110" t="n">
        <f aca="false">C33^(-0.5)*MIN(B109^(-0.5),B109*C34^(-1.5))</f>
        <v>0.000373508940416998</v>
      </c>
    </row>
    <row r="110" customFormat="false" ht="15" hidden="false" customHeight="false" outlineLevel="0" collapsed="false">
      <c r="B110" s="109" t="n">
        <v>15000</v>
      </c>
      <c r="C110" s="110" t="n">
        <f aca="false">C33^(-0.5)*MIN(B110^(-0.5),B110*C34^(-1.5))</f>
        <v>0.000360843918243516</v>
      </c>
    </row>
    <row r="111" customFormat="false" ht="15" hidden="false" customHeight="false" outlineLevel="0" collapsed="false">
      <c r="B111" s="109" t="n">
        <v>16000</v>
      </c>
      <c r="C111" s="110" t="n">
        <f aca="false">C33^(-0.5)*MIN(B111^(-0.5),B111*C34^(-1.5))</f>
        <v>0.000349385621484342</v>
      </c>
    </row>
    <row r="112" customFormat="false" ht="15" hidden="false" customHeight="false" outlineLevel="0" collapsed="false">
      <c r="B112" s="109" t="n">
        <v>17000</v>
      </c>
      <c r="C112" s="110" t="n">
        <f aca="false">C33^(-0.5)*MIN(B112^(-0.5),B112*C34^(-1.5))</f>
        <v>0.00033895384034165</v>
      </c>
    </row>
    <row r="113" customFormat="false" ht="15" hidden="false" customHeight="false" outlineLevel="0" collapsed="false">
      <c r="B113" s="109" t="n">
        <v>18000</v>
      </c>
      <c r="C113" s="110" t="n">
        <f aca="false">C33^(-0.5)*MIN(B113^(-0.5),B113*C34^(-1.5))</f>
        <v>0.000329403922934206</v>
      </c>
    </row>
    <row r="114" customFormat="false" ht="15" hidden="false" customHeight="false" outlineLevel="0" collapsed="false">
      <c r="B114" s="109" t="n">
        <v>19000</v>
      </c>
      <c r="C114" s="110" t="n">
        <f aca="false">C33^(-0.5)*MIN(B114^(-0.5),B114*C34^(-1.5))</f>
        <v>0.000320618235026611</v>
      </c>
    </row>
    <row r="115" customFormat="false" ht="15" hidden="false" customHeight="false" outlineLevel="0" collapsed="false">
      <c r="B115" s="109" t="n">
        <v>20000</v>
      </c>
      <c r="C115" s="110" t="n">
        <f aca="false">C33^(-0.5)*MIN(B115^(-0.5),B115*C34^(-1.5))</f>
        <v>0.0003125</v>
      </c>
    </row>
    <row r="116" customFormat="false" ht="15" hidden="false" customHeight="false" outlineLevel="0" collapsed="false">
      <c r="B116" s="109" t="n">
        <v>21000</v>
      </c>
      <c r="C116" s="110" t="n">
        <f aca="false">C33^(-0.5)*MIN(B116^(-0.5),B116*C34^(-1.5))</f>
        <v>0.000304968772796417</v>
      </c>
    </row>
    <row r="117" customFormat="false" ht="15" hidden="false" customHeight="false" outlineLevel="0" collapsed="false">
      <c r="B117" s="109" t="n">
        <v>22000</v>
      </c>
      <c r="C117" s="110" t="n">
        <f aca="false">C33^(-0.5)*MIN(B117^(-0.5),B117*C34^(-1.5))</f>
        <v>0.000297957059139248</v>
      </c>
    </row>
    <row r="118" customFormat="false" ht="15" hidden="false" customHeight="false" outlineLevel="0" collapsed="false">
      <c r="B118" s="109" t="n">
        <v>23000</v>
      </c>
      <c r="C118" s="110" t="n">
        <f aca="false">C33^(-0.5)*MIN(B118^(-0.5),B118*C34^(-1.5))</f>
        <v>0.000291407752575098</v>
      </c>
    </row>
    <row r="119" customFormat="false" ht="15" hidden="false" customHeight="false" outlineLevel="0" collapsed="false">
      <c r="B119" s="109" t="n">
        <v>24000</v>
      </c>
      <c r="C119" s="110" t="n">
        <f aca="false">C33^(-0.5)*MIN(B119^(-0.5),B119*C34^(-1.5))</f>
        <v>0.000285272165367274</v>
      </c>
    </row>
    <row r="120" customFormat="false" ht="15" hidden="false" customHeight="false" outlineLevel="0" collapsed="false">
      <c r="B120" s="109" t="n">
        <v>25000</v>
      </c>
      <c r="C120" s="110" t="n">
        <f aca="false">C33^(-0.5)*MIN(B120^(-0.5),B120*C34^(-1.5))</f>
        <v>0.000279508497187474</v>
      </c>
    </row>
    <row r="121" customFormat="false" ht="15" hidden="false" customHeight="false" outlineLevel="0" collapsed="false">
      <c r="B121" s="109" t="n">
        <v>26000</v>
      </c>
      <c r="C121" s="110" t="n">
        <f aca="false">C33^(-0.5)*MIN(B121^(-0.5),B121*C34^(-1.5))</f>
        <v>0.000274080631033447</v>
      </c>
    </row>
    <row r="122" customFormat="false" ht="15" hidden="false" customHeight="false" outlineLevel="0" collapsed="false">
      <c r="B122" s="109" t="n">
        <v>27000</v>
      </c>
      <c r="C122" s="110" t="n">
        <f aca="false">C33^(-0.5)*MIN(B122^(-0.5),B122*C34^(-1.5))</f>
        <v>0.00026895717681996</v>
      </c>
    </row>
    <row r="123" customFormat="false" ht="15" hidden="false" customHeight="false" outlineLevel="0" collapsed="false">
      <c r="B123" s="109" t="n">
        <v>28000</v>
      </c>
      <c r="C123" s="110" t="n">
        <f aca="false">C33^(-0.5)*MIN(B123^(-0.5),B123*C34^(-1.5))</f>
        <v>0.000264110704602661</v>
      </c>
    </row>
    <row r="124" customFormat="false" ht="15" hidden="false" customHeight="false" outlineLevel="0" collapsed="false">
      <c r="B124" s="109" t="n">
        <v>29000</v>
      </c>
      <c r="C124" s="110" t="n">
        <f aca="false">C33^(-0.5)*MIN(B124^(-0.5),B124*C34^(-1.5))</f>
        <v>0.000259517124542937</v>
      </c>
    </row>
    <row r="125" customFormat="false" ht="15" hidden="false" customHeight="false" outlineLevel="0" collapsed="false">
      <c r="B125" s="109" t="n">
        <v>30000</v>
      </c>
      <c r="C125" s="110" t="n">
        <f aca="false">C33^(-0.5)*MIN(B125^(-0.5),B125*C34^(-1.5))</f>
        <v>0.000255155181539914</v>
      </c>
    </row>
    <row r="126" customFormat="false" ht="15" hidden="false" customHeight="false" outlineLevel="0" collapsed="false">
      <c r="B126" s="109" t="n">
        <v>31000</v>
      </c>
      <c r="C126" s="110" t="n">
        <f aca="false">C33^(-0.5)*MIN(B126^(-0.5),B126*C34^(-1.5))</f>
        <v>0.000251006040282031</v>
      </c>
    </row>
    <row r="127" customFormat="false" ht="15" hidden="false" customHeight="false" outlineLevel="0" collapsed="false">
      <c r="B127" s="109" t="n">
        <v>32000</v>
      </c>
      <c r="C127" s="110" t="n">
        <f aca="false">C33^(-0.5)*MIN(B127^(-0.5),B127*C34^(-1.5))</f>
        <v>0.000247052942200655</v>
      </c>
    </row>
    <row r="128" customFormat="false" ht="15" hidden="false" customHeight="false" outlineLevel="0" collapsed="false">
      <c r="B128" s="109" t="n">
        <v>33000</v>
      </c>
      <c r="C128" s="110" t="n">
        <f aca="false">C33^(-0.5)*MIN(B128^(-0.5),B128*C34^(-1.5))</f>
        <v>0.000243280920050476</v>
      </c>
    </row>
    <row r="129" customFormat="false" ht="15" hidden="false" customHeight="false" outlineLevel="0" collapsed="false">
      <c r="B129" s="109" t="n">
        <v>34000</v>
      </c>
      <c r="C129" s="110" t="n">
        <f aca="false">C33^(-0.5)*MIN(B129^(-0.5),B129*C34^(-1.5))</f>
        <v>0.000239676559014803</v>
      </c>
    </row>
    <row r="130" customFormat="false" ht="15" hidden="false" customHeight="false" outlineLevel="0" collapsed="false">
      <c r="B130" s="109" t="n">
        <v>35000</v>
      </c>
      <c r="C130" s="110" t="n">
        <f aca="false">C33^(-0.5)*MIN(B130^(-0.5),B130*C34^(-1.5))</f>
        <v>0.000236227795630767</v>
      </c>
    </row>
    <row r="131" customFormat="false" ht="15" hidden="false" customHeight="false" outlineLevel="0" collapsed="false">
      <c r="B131" s="109" t="n">
        <v>36000</v>
      </c>
      <c r="C131" s="110" t="n">
        <f aca="false">C33^(-0.5)*MIN(B131^(-0.5),B131*C34^(-1.5))</f>
        <v>0.000232923747656228</v>
      </c>
    </row>
    <row r="132" customFormat="false" ht="15" hidden="false" customHeight="false" outlineLevel="0" collapsed="false">
      <c r="B132" s="109" t="n">
        <v>37000</v>
      </c>
      <c r="C132" s="110" t="n">
        <f aca="false">C33^(-0.5)*MIN(B132^(-0.5),B132*C34^(-1.5))</f>
        <v>0.000229754569404315</v>
      </c>
    </row>
    <row r="133" customFormat="false" ht="15" hidden="false" customHeight="false" outlineLevel="0" collapsed="false">
      <c r="B133" s="109" t="n">
        <v>38000</v>
      </c>
      <c r="C133" s="110" t="n">
        <f aca="false">C33^(-0.5)*MIN(B133^(-0.5),B133*C34^(-1.5))</f>
        <v>0.000226711328159379</v>
      </c>
    </row>
    <row r="134" customFormat="false" ht="15" hidden="false" customHeight="false" outlineLevel="0" collapsed="false">
      <c r="B134" s="109" t="n">
        <v>39000</v>
      </c>
      <c r="C134" s="110" t="n">
        <f aca="false">C33^(-0.5)*MIN(B134^(-0.5),B134*C34^(-1.5))</f>
        <v>0.000223785898137323</v>
      </c>
    </row>
    <row r="135" customFormat="false" ht="15" hidden="false" customHeight="false" outlineLevel="0" collapsed="false">
      <c r="B135" s="109" t="n">
        <v>40000</v>
      </c>
      <c r="C135" s="110" t="n">
        <f aca="false">C33^(-0.5)*MIN(B135^(-0.5),B135*C34^(-1.5))</f>
        <v>0.000220970869120796</v>
      </c>
    </row>
    <row r="136" customFormat="false" ht="15" hidden="false" customHeight="false" outlineLevel="0" collapsed="false">
      <c r="B136" s="109" t="n">
        <v>41000</v>
      </c>
      <c r="C136" s="110" t="n">
        <f aca="false">C33^(-0.5)*MIN(B136^(-0.5),B136*C34^(-1.5))</f>
        <v>0.000218259467427993</v>
      </c>
    </row>
    <row r="137" customFormat="false" ht="15" hidden="false" customHeight="false" outlineLevel="0" collapsed="false">
      <c r="B137" s="109" t="n">
        <v>42000</v>
      </c>
      <c r="C137" s="110" t="n">
        <f aca="false">C33^(-0.5)*MIN(B137^(-0.5),B137*C34^(-1.5))</f>
        <v>0.000215645487294486</v>
      </c>
    </row>
    <row r="138" customFormat="false" ht="15" hidden="false" customHeight="false" outlineLevel="0" collapsed="false">
      <c r="B138" s="109" t="n">
        <v>43000</v>
      </c>
      <c r="C138" s="110" t="n">
        <f aca="false">C33^(-0.5)*MIN(B138^(-0.5),B138*C34^(-1.5))</f>
        <v>0.000213123231084523</v>
      </c>
    </row>
    <row r="139" customFormat="false" ht="15" hidden="false" customHeight="false" outlineLevel="0" collapsed="false">
      <c r="B139" s="109" t="n">
        <v>44000</v>
      </c>
      <c r="C139" s="110" t="n">
        <f aca="false">C33^(-0.5)*MIN(B139^(-0.5),B139*C34^(-1.5))</f>
        <v>0.000210687457019763</v>
      </c>
    </row>
    <row r="140" customFormat="false" ht="15" hidden="false" customHeight="false" outlineLevel="0" collapsed="false">
      <c r="B140" s="109" t="n">
        <v>45000</v>
      </c>
      <c r="C140" s="110" t="n">
        <f aca="false">C33^(-0.5)*MIN(B140^(-0.5),B140*C34^(-1.5))</f>
        <v>0.000208333333333333</v>
      </c>
    </row>
    <row r="141" customFormat="false" ht="15" hidden="false" customHeight="false" outlineLevel="0" collapsed="false">
      <c r="B141" s="109" t="n">
        <v>46000</v>
      </c>
      <c r="C141" s="110" t="n">
        <f aca="false">C33^(-0.5)*MIN(B141^(-0.5),B141*C34^(-1.5))</f>
        <v>0.000206056397936183</v>
      </c>
    </row>
    <row r="142" customFormat="false" ht="15" hidden="false" customHeight="false" outlineLevel="0" collapsed="false">
      <c r="B142" s="109" t="n">
        <v>47000</v>
      </c>
      <c r="C142" s="110" t="n">
        <f aca="false">C33^(-0.5)*MIN(B142^(-0.5),B142*C34^(-1.5))</f>
        <v>0.000203852522829201</v>
      </c>
    </row>
    <row r="143" customFormat="false" ht="15" hidden="false" customHeight="false" outlineLevel="0" collapsed="false">
      <c r="B143" s="109" t="n">
        <v>48000</v>
      </c>
      <c r="C143" s="110" t="n">
        <f aca="false">C33^(-0.5)*MIN(B143^(-0.5),B143*C34^(-1.5))</f>
        <v>0.00020171788261497</v>
      </c>
    </row>
    <row r="144" customFormat="false" ht="15" hidden="false" customHeight="false" outlineLevel="0" collapsed="false">
      <c r="B144" s="109" t="n">
        <v>49000</v>
      </c>
      <c r="C144" s="110" t="n">
        <f aca="false">C33^(-0.5)*MIN(B144^(-0.5),B144*C34^(-1.5))</f>
        <v>0.000199648926562481</v>
      </c>
    </row>
    <row r="145" customFormat="false" ht="15" hidden="false" customHeight="false" outlineLevel="0" collapsed="false">
      <c r="B145" s="109" t="n">
        <v>50000</v>
      </c>
      <c r="C145" s="110" t="n">
        <f aca="false">C33^(-0.5)*MIN(B145^(-0.5),B145*C34^(-1.5))</f>
        <v>0.000197642353760524</v>
      </c>
    </row>
    <row r="146" customFormat="false" ht="15" hidden="false" customHeight="false" outlineLevel="0" collapsed="false">
      <c r="B146" s="109" t="n">
        <v>51000</v>
      </c>
      <c r="C146" s="110" t="n">
        <f aca="false">C33^(-0.5)*MIN(B146^(-0.5),B146*C34^(-1.5))</f>
        <v>0.000195695090964109</v>
      </c>
    </row>
    <row r="147" customFormat="false" ht="15" hidden="false" customHeight="false" outlineLevel="0" collapsed="false">
      <c r="B147" s="109" t="n">
        <v>52000</v>
      </c>
      <c r="C147" s="110" t="n">
        <f aca="false">C33^(-0.5)*MIN(B147^(-0.5),B147*C34^(-1.5))</f>
        <v>0.000193804272795638</v>
      </c>
    </row>
    <row r="148" customFormat="false" ht="15" hidden="false" customHeight="false" outlineLevel="0" collapsed="false">
      <c r="B148" s="109" t="n">
        <v>53000</v>
      </c>
      <c r="C148" s="110" t="n">
        <f aca="false">C33^(-0.5)*MIN(B148^(-0.5),B148*C34^(-1.5))</f>
        <v>0.00019196722401061</v>
      </c>
    </row>
    <row r="149" customFormat="false" ht="15" hidden="false" customHeight="false" outlineLevel="0" collapsed="false">
      <c r="B149" s="109" t="n">
        <v>54000</v>
      </c>
      <c r="C149" s="110" t="n">
        <f aca="false">C33^(-0.5)*MIN(B149^(-0.5),B149*C34^(-1.5))</f>
        <v>0.000190181443578183</v>
      </c>
    </row>
    <row r="150" customFormat="false" ht="15" hidden="false" customHeight="false" outlineLevel="0" collapsed="false">
      <c r="B150" s="109" t="n">
        <v>55000</v>
      </c>
      <c r="C150" s="110" t="n">
        <f aca="false">C33^(-0.5)*MIN(B150^(-0.5),B150*C34^(-1.5))</f>
        <v>0.000188444590361102</v>
      </c>
    </row>
    <row r="151" customFormat="false" ht="15" hidden="false" customHeight="false" outlineLevel="0" collapsed="false">
      <c r="B151" s="109" t="n">
        <v>56000</v>
      </c>
      <c r="C151" s="110" t="n">
        <f aca="false">C33^(-0.5)*MIN(B151^(-0.5),B151*C34^(-1.5))</f>
        <v>0.000186754470208499</v>
      </c>
    </row>
    <row r="152" customFormat="false" ht="15" hidden="false" customHeight="false" outlineLevel="0" collapsed="false">
      <c r="B152" s="109" t="n">
        <v>57000</v>
      </c>
      <c r="C152" s="110" t="n">
        <f aca="false">C33^(-0.5)*MIN(B152^(-0.5),B152*C34^(-1.5))</f>
        <v>0.000185109024299716</v>
      </c>
    </row>
    <row r="153" customFormat="false" ht="15" hidden="false" customHeight="false" outlineLevel="0" collapsed="false">
      <c r="B153" s="109" t="n">
        <v>58000</v>
      </c>
      <c r="C153" s="110" t="n">
        <f aca="false">C33^(-0.5)*MIN(B153^(-0.5),B153*C34^(-1.5))</f>
        <v>0.000183506318598345</v>
      </c>
    </row>
    <row r="154" customFormat="false" ht="15" hidden="false" customHeight="false" outlineLevel="0" collapsed="false">
      <c r="B154" s="109" t="n">
        <v>59000</v>
      </c>
      <c r="C154" s="110" t="n">
        <f aca="false">C33^(-0.5)*MIN(B154^(-0.5),B154*C34^(-1.5))</f>
        <v>0.000181944534293619</v>
      </c>
    </row>
    <row r="155" customFormat="false" ht="15" hidden="false" customHeight="false" outlineLevel="0" collapsed="false">
      <c r="B155" s="109" t="n">
        <v>60000</v>
      </c>
      <c r="C155" s="110" t="n">
        <f aca="false">C33^(-0.5)*MIN(B155^(-0.5),B155*C34^(-1.5))</f>
        <v>0.000180421959121758</v>
      </c>
    </row>
    <row r="156" customFormat="false" ht="15" hidden="false" customHeight="false" outlineLevel="0" collapsed="false">
      <c r="B156" s="109" t="n">
        <v>61000</v>
      </c>
      <c r="C156" s="110" t="n">
        <f aca="false">C33^(-0.5)*MIN(B156^(-0.5),B156*C34^(-1.5))</f>
        <v>0.000178936979473084</v>
      </c>
    </row>
    <row r="157" customFormat="false" ht="15" hidden="false" customHeight="false" outlineLevel="0" collapsed="false">
      <c r="B157" s="109" t="n">
        <v>62000</v>
      </c>
      <c r="C157" s="110" t="n">
        <f aca="false">C33^(-0.5)*MIN(B157^(-0.5),B157*C34^(-1.5))</f>
        <v>0.000177488073202208</v>
      </c>
    </row>
    <row r="158" customFormat="false" ht="15" hidden="false" customHeight="false" outlineLevel="0" collapsed="false">
      <c r="B158" s="109" t="n">
        <v>63000</v>
      </c>
      <c r="C158" s="110" t="n">
        <f aca="false">C33^(-0.5)*MIN(B158^(-0.5),B158*C34^(-1.5))</f>
        <v>0.000176073803068441</v>
      </c>
    </row>
    <row r="159" customFormat="false" ht="15" hidden="false" customHeight="false" outlineLevel="0" collapsed="false">
      <c r="B159" s="109" t="n">
        <v>64000</v>
      </c>
      <c r="C159" s="110" t="n">
        <f aca="false">C33^(-0.5)*MIN(B159^(-0.5),B159*C34^(-1.5))</f>
        <v>0.000174692810742171</v>
      </c>
    </row>
    <row r="160" customFormat="false" ht="15" hidden="false" customHeight="false" outlineLevel="0" collapsed="false">
      <c r="B160" s="109" t="n">
        <v>65000</v>
      </c>
      <c r="C160" s="110" t="n">
        <f aca="false">C33^(-0.5)*MIN(B160^(-0.5),B160*C34^(-1.5))</f>
        <v>0.000173343811320384</v>
      </c>
    </row>
    <row r="161" customFormat="false" ht="15" hidden="false" customHeight="false" outlineLevel="0" collapsed="false">
      <c r="B161" s="109" t="n">
        <v>66000</v>
      </c>
      <c r="C161" s="110" t="n">
        <f aca="false">C33^(-0.5)*MIN(B161^(-0.5),B161*C34^(-1.5))</f>
        <v>0.000172025588300994</v>
      </c>
    </row>
    <row r="162" customFormat="false" ht="15" hidden="false" customHeight="false" outlineLevel="0" collapsed="false">
      <c r="B162" s="109" t="n">
        <v>67000</v>
      </c>
      <c r="C162" s="110" t="n">
        <f aca="false">C33^(-0.5)*MIN(B162^(-0.5),B162*C34^(-1.5))</f>
        <v>0.000170736988971298</v>
      </c>
    </row>
    <row r="163" customFormat="false" ht="15" hidden="false" customHeight="false" outlineLevel="0" collapsed="false">
      <c r="B163" s="109" t="n">
        <v>68000</v>
      </c>
      <c r="C163" s="110" t="n">
        <f aca="false">C33^(-0.5)*MIN(B163^(-0.5),B163*C34^(-1.5))</f>
        <v>0.000169476920170825</v>
      </c>
    </row>
    <row r="164" customFormat="false" ht="15" hidden="false" customHeight="false" outlineLevel="0" collapsed="false">
      <c r="B164" s="109" t="n">
        <v>69000</v>
      </c>
      <c r="C164" s="110" t="n">
        <f aca="false">C33^(-0.5)*MIN(B164^(-0.5),B164*C34^(-1.5))</f>
        <v>0.000168244344393177</v>
      </c>
    </row>
    <row r="165" customFormat="false" ht="15" hidden="false" customHeight="false" outlineLevel="0" collapsed="false">
      <c r="B165" s="109" t="n">
        <v>70000</v>
      </c>
      <c r="C165" s="110" t="n">
        <f aca="false">C33^(-0.5)*MIN(B165^(-0.5),B165*C34^(-1.5))</f>
        <v>0.000167038276195265</v>
      </c>
    </row>
    <row r="166" customFormat="false" ht="15" hidden="false" customHeight="false" outlineLevel="0" collapsed="false">
      <c r="B166" s="109" t="n">
        <v>71000</v>
      </c>
      <c r="C166" s="110" t="n">
        <f aca="false">C33^(-0.5)*MIN(B166^(-0.5),B166*C34^(-1.5))</f>
        <v>0.000165857778885711</v>
      </c>
    </row>
    <row r="167" customFormat="false" ht="15" hidden="false" customHeight="false" outlineLevel="0" collapsed="false">
      <c r="B167" s="109" t="n">
        <v>72000</v>
      </c>
      <c r="C167" s="110" t="n">
        <f aca="false">C33^(-0.5)*MIN(B167^(-0.5),B167*C34^(-1.5))</f>
        <v>0.000164701961467103</v>
      </c>
    </row>
    <row r="168" customFormat="false" ht="15" hidden="false" customHeight="false" outlineLevel="0" collapsed="false">
      <c r="B168" s="109" t="n">
        <v>73000</v>
      </c>
      <c r="C168" s="110" t="n">
        <f aca="false">C33^(-0.5)*MIN(B168^(-0.5),B168*C34^(-1.5))</f>
        <v>0.000163569975809442</v>
      </c>
    </row>
    <row r="169" customFormat="false" ht="15" hidden="false" customHeight="false" outlineLevel="0" collapsed="false">
      <c r="B169" s="109" t="n">
        <v>74000</v>
      </c>
      <c r="C169" s="110" t="n">
        <f aca="false">C33^(-0.5)*MIN(B169^(-0.5),B169*C34^(-1.5))</f>
        <v>0.000162461014034386</v>
      </c>
    </row>
    <row r="170" customFormat="false" ht="15" hidden="false" customHeight="false" outlineLevel="0" collapsed="false">
      <c r="B170" s="109" t="n">
        <v>75000</v>
      </c>
      <c r="C170" s="110" t="n">
        <f aca="false">C33^(-0.5)*MIN(B170^(-0.5),B170*C34^(-1.5))</f>
        <v>0.000161374306091976</v>
      </c>
    </row>
    <row r="171" customFormat="false" ht="15" hidden="false" customHeight="false" outlineLevel="0" collapsed="false">
      <c r="B171" s="109" t="n">
        <v>76000</v>
      </c>
      <c r="C171" s="110" t="n">
        <f aca="false">C33^(-0.5)*MIN(B171^(-0.5),B171*C34^(-1.5))</f>
        <v>0.000160309117513305</v>
      </c>
    </row>
    <row r="172" customFormat="false" ht="15" hidden="false" customHeight="false" outlineLevel="0" collapsed="false">
      <c r="B172" s="109" t="n">
        <v>77000</v>
      </c>
      <c r="C172" s="110" t="n">
        <f aca="false">C33^(-0.5)*MIN(B172^(-0.5),B172*C34^(-1.5))</f>
        <v>0.000159264747324258</v>
      </c>
    </row>
    <row r="173" customFormat="false" ht="15" hidden="false" customHeight="false" outlineLevel="0" collapsed="false">
      <c r="B173" s="109" t="n">
        <v>78000</v>
      </c>
      <c r="C173" s="110" t="n">
        <f aca="false">C33^(-0.5)*MIN(B173^(-0.5),B173*C34^(-1.5))</f>
        <v>0.000158240526106823</v>
      </c>
    </row>
    <row r="174" customFormat="false" ht="15" hidden="false" customHeight="false" outlineLevel="0" collapsed="false">
      <c r="B174" s="109" t="n">
        <v>79000</v>
      </c>
      <c r="C174" s="110" t="n">
        <f aca="false">C33^(-0.5)*MIN(B174^(-0.5),B174*C34^(-1.5))</f>
        <v>0.000157235814195821</v>
      </c>
    </row>
    <row r="175" customFormat="false" ht="15" hidden="false" customHeight="false" outlineLevel="0" collapsed="false">
      <c r="B175" s="109" t="n">
        <v>80000</v>
      </c>
      <c r="C175" s="110" t="n">
        <f aca="false">C33^(-0.5)*MIN(B175^(-0.5),B175*C34^(-1.5))</f>
        <v>0.00015625</v>
      </c>
    </row>
    <row r="176" customFormat="false" ht="15" hidden="false" customHeight="false" outlineLevel="0" collapsed="false">
      <c r="B176" s="109" t="n">
        <v>81000</v>
      </c>
      <c r="C176" s="110" t="n">
        <f aca="false">C33^(-0.5)*MIN(B176^(-0.5),B176*C34^(-1.5))</f>
        <v>0.000155282498437485</v>
      </c>
    </row>
    <row r="177" customFormat="false" ht="15" hidden="false" customHeight="false" outlineLevel="0" collapsed="false">
      <c r="B177" s="109" t="n">
        <v>82000</v>
      </c>
      <c r="C177" s="110" t="n">
        <f aca="false">C33^(-0.5)*MIN(B177^(-0.5),B177*C34^(-1.5))</f>
        <v>0.000154332749476498</v>
      </c>
    </row>
    <row r="178" customFormat="false" ht="15" hidden="false" customHeight="false" outlineLevel="0" collapsed="false">
      <c r="B178" s="109" t="n">
        <v>83000</v>
      </c>
      <c r="C178" s="110" t="n">
        <f aca="false">C33^(-0.5)*MIN(B178^(-0.5),B178*C34^(-1.5))</f>
        <v>0.000153400216773068</v>
      </c>
    </row>
    <row r="179" customFormat="false" ht="15" hidden="false" customHeight="false" outlineLevel="0" collapsed="false">
      <c r="B179" s="109" t="n">
        <v>84000</v>
      </c>
      <c r="C179" s="110" t="n">
        <f aca="false">C33^(-0.5)*MIN(B179^(-0.5),B179*C34^(-1.5))</f>
        <v>0.000152484386398208</v>
      </c>
    </row>
    <row r="180" customFormat="false" ht="15" hidden="false" customHeight="false" outlineLevel="0" collapsed="false">
      <c r="B180" s="109" t="n">
        <v>85000</v>
      </c>
      <c r="C180" s="110" t="n">
        <f aca="false">C33^(-0.5)*MIN(B180^(-0.5),B180*C34^(-1.5))</f>
        <v>0.000151584765647708</v>
      </c>
    </row>
    <row r="181" customFormat="false" ht="15" hidden="false" customHeight="false" outlineLevel="0" collapsed="false">
      <c r="B181" s="109" t="n">
        <v>86000</v>
      </c>
      <c r="C181" s="110" t="n">
        <f aca="false">C33^(-0.5)*MIN(B181^(-0.5),B181*C34^(-1.5))</f>
        <v>0.000150700881928254</v>
      </c>
    </row>
    <row r="182" customFormat="false" ht="15" hidden="false" customHeight="false" outlineLevel="0" collapsed="false">
      <c r="B182" s="109" t="n">
        <v>87000</v>
      </c>
      <c r="C182" s="110" t="n">
        <f aca="false">C33^(-0.5)*MIN(B182^(-0.5),B182*C34^(-1.5))</f>
        <v>0.000149832281714183</v>
      </c>
    </row>
    <row r="183" customFormat="false" ht="15" hidden="false" customHeight="false" outlineLevel="0" collapsed="false">
      <c r="B183" s="109" t="n">
        <v>88000</v>
      </c>
      <c r="C183" s="110" t="n">
        <f aca="false">C33^(-0.5)*MIN(B183^(-0.5),B183*C34^(-1.5))</f>
        <v>0.000148978529569624</v>
      </c>
    </row>
    <row r="184" customFormat="false" ht="15" hidden="false" customHeight="false" outlineLevel="0" collapsed="false">
      <c r="B184" s="109" t="n">
        <v>89000</v>
      </c>
      <c r="C184" s="110" t="n">
        <f aca="false">C33^(-0.5)*MIN(B184^(-0.5),B184*C34^(-1.5))</f>
        <v>0.000148139207231243</v>
      </c>
    </row>
    <row r="185" customFormat="false" ht="15" hidden="false" customHeight="false" outlineLevel="0" collapsed="false">
      <c r="B185" s="109" t="n">
        <v>90000</v>
      </c>
      <c r="C185" s="110" t="n">
        <f aca="false">C33^(-0.5)*MIN(B185^(-0.5),B185*C34^(-1.5))</f>
        <v>0.000147313912747197</v>
      </c>
    </row>
    <row r="186" customFormat="false" ht="15" hidden="false" customHeight="false" outlineLevel="0" collapsed="false">
      <c r="B186" s="109" t="n">
        <v>91000</v>
      </c>
      <c r="C186" s="110" t="n">
        <f aca="false">C33^(-0.5)*MIN(B186^(-0.5),B186*C34^(-1.5))</f>
        <v>0.00014650225966828</v>
      </c>
    </row>
    <row r="187" customFormat="false" ht="15" hidden="false" customHeight="false" outlineLevel="0" collapsed="false">
      <c r="B187" s="109" t="n">
        <v>92000</v>
      </c>
      <c r="C187" s="110" t="n">
        <f aca="false">C33^(-0.5)*MIN(B187^(-0.5),B187*C34^(-1.5))</f>
        <v>0.000145703876287549</v>
      </c>
    </row>
    <row r="188" customFormat="false" ht="15" hidden="false" customHeight="false" outlineLevel="0" collapsed="false">
      <c r="B188" s="109" t="n">
        <v>93000</v>
      </c>
      <c r="C188" s="110" t="n">
        <f aca="false">C33^(-0.5)*MIN(B188^(-0.5),B188*C34^(-1.5))</f>
        <v>0.000144918404925053</v>
      </c>
    </row>
    <row r="189" customFormat="false" ht="15" hidden="false" customHeight="false" outlineLevel="0" collapsed="false">
      <c r="B189" s="109" t="n">
        <v>94000</v>
      </c>
      <c r="C189" s="110" t="n">
        <f aca="false">C33^(-0.5)*MIN(B189^(-0.5),B189*C34^(-1.5))</f>
        <v>0.000144145501254513</v>
      </c>
    </row>
    <row r="190" customFormat="false" ht="15" hidden="false" customHeight="false" outlineLevel="0" collapsed="false">
      <c r="B190" s="109" t="n">
        <v>95000</v>
      </c>
      <c r="C190" s="110" t="n">
        <f aca="false">C33^(-0.5)*MIN(B190^(-0.5),B190*C34^(-1.5))</f>
        <v>0.000143384833669101</v>
      </c>
    </row>
    <row r="191" customFormat="false" ht="15" hidden="false" customHeight="false" outlineLevel="0" collapsed="false">
      <c r="B191" s="109" t="n">
        <v>96000</v>
      </c>
      <c r="C191" s="110" t="n">
        <f aca="false">C33^(-0.5)*MIN(B191^(-0.5),B191*C34^(-1.5))</f>
        <v>0.000142636082683637</v>
      </c>
    </row>
    <row r="192" customFormat="false" ht="15" hidden="false" customHeight="false" outlineLevel="0" collapsed="false">
      <c r="B192" s="109" t="n">
        <v>97000</v>
      </c>
      <c r="C192" s="110" t="n">
        <f aca="false">C33^(-0.5)*MIN(B192^(-0.5),B192*C34^(-1.5))</f>
        <v>0.000141898940370781</v>
      </c>
    </row>
    <row r="193" customFormat="false" ht="15" hidden="false" customHeight="false" outlineLevel="0" collapsed="false">
      <c r="B193" s="109" t="n">
        <v>98000</v>
      </c>
      <c r="C193" s="110" t="n">
        <f aca="false">C33^(-0.5)*MIN(B193^(-0.5),B193*C34^(-1.5))</f>
        <v>0.000141173109828946</v>
      </c>
    </row>
    <row r="194" customFormat="false" ht="15" hidden="false" customHeight="false" outlineLevel="0" collapsed="false">
      <c r="B194" s="109" t="n">
        <v>99000</v>
      </c>
      <c r="C194" s="110" t="n">
        <f aca="false">C33^(-0.5)*MIN(B194^(-0.5),B194*C34^(-1.5))</f>
        <v>0.000140458304679842</v>
      </c>
    </row>
    <row r="195" customFormat="false" ht="15" hidden="false" customHeight="false" outlineLevel="0" collapsed="false">
      <c r="B195" s="109" t="n">
        <v>100000</v>
      </c>
      <c r="C195" s="110" t="n">
        <f aca="false">C33^(-0.5)*MIN(B195^(-0.5),B195*C34^(-1.5))</f>
        <v>0.000139754248593737</v>
      </c>
    </row>
  </sheetData>
  <mergeCells count="175">
    <mergeCell ref="B1:N1"/>
    <mergeCell ref="B2:N2"/>
    <mergeCell ref="B4:N4"/>
    <mergeCell ref="B5:N5"/>
    <mergeCell ref="C6:K6"/>
    <mergeCell ref="L6:N6"/>
    <mergeCell ref="C7:K7"/>
    <mergeCell ref="L7:N7"/>
    <mergeCell ref="C8:K8"/>
    <mergeCell ref="L8:N8"/>
    <mergeCell ref="C9:K9"/>
    <mergeCell ref="L9:N9"/>
    <mergeCell ref="C10:K10"/>
    <mergeCell ref="L10:N10"/>
    <mergeCell ref="C11:K11"/>
    <mergeCell ref="L11:N11"/>
    <mergeCell ref="B12:N12"/>
    <mergeCell ref="B13:N13"/>
    <mergeCell ref="C16:D16"/>
    <mergeCell ref="E16:F16"/>
    <mergeCell ref="G16:H16"/>
    <mergeCell ref="I16:J16"/>
    <mergeCell ref="K16:N16"/>
    <mergeCell ref="C17:D17"/>
    <mergeCell ref="E17:F17"/>
    <mergeCell ref="G17:H17"/>
    <mergeCell ref="I17:J17"/>
    <mergeCell ref="K17:N17"/>
    <mergeCell ref="C18:D18"/>
    <mergeCell ref="E18:F18"/>
    <mergeCell ref="G18:H18"/>
    <mergeCell ref="I18:J18"/>
    <mergeCell ref="K18:N18"/>
    <mergeCell ref="C19:D19"/>
    <mergeCell ref="E19:F19"/>
    <mergeCell ref="G19:H19"/>
    <mergeCell ref="I19:J19"/>
    <mergeCell ref="K19:N19"/>
    <mergeCell ref="C20:D20"/>
    <mergeCell ref="E20:F20"/>
    <mergeCell ref="G20:H20"/>
    <mergeCell ref="I20:J20"/>
    <mergeCell ref="K20:N20"/>
    <mergeCell ref="C21:D21"/>
    <mergeCell ref="E21:F21"/>
    <mergeCell ref="G21:H21"/>
    <mergeCell ref="I21:J21"/>
    <mergeCell ref="K21:N21"/>
    <mergeCell ref="C22:D22"/>
    <mergeCell ref="E22:F22"/>
    <mergeCell ref="G22:H22"/>
    <mergeCell ref="I22:J22"/>
    <mergeCell ref="K22:N22"/>
    <mergeCell ref="C23:D23"/>
    <mergeCell ref="E23:F23"/>
    <mergeCell ref="G23:H23"/>
    <mergeCell ref="I23:J23"/>
    <mergeCell ref="K23:N23"/>
    <mergeCell ref="C24:D24"/>
    <mergeCell ref="E24:F24"/>
    <mergeCell ref="G24:H24"/>
    <mergeCell ref="I24:J24"/>
    <mergeCell ref="K24:N24"/>
    <mergeCell ref="C25:D25"/>
    <mergeCell ref="E25:F25"/>
    <mergeCell ref="G25:H25"/>
    <mergeCell ref="I25:J25"/>
    <mergeCell ref="K25:N25"/>
    <mergeCell ref="C26:D26"/>
    <mergeCell ref="E26:F26"/>
    <mergeCell ref="G26:H26"/>
    <mergeCell ref="I26:J26"/>
    <mergeCell ref="K26:N26"/>
    <mergeCell ref="C27:D27"/>
    <mergeCell ref="E27:F27"/>
    <mergeCell ref="G27:H27"/>
    <mergeCell ref="I27:J27"/>
    <mergeCell ref="K27:N27"/>
    <mergeCell ref="C28:D28"/>
    <mergeCell ref="E28:F28"/>
    <mergeCell ref="G28:H28"/>
    <mergeCell ref="I28:J28"/>
    <mergeCell ref="K28:N28"/>
    <mergeCell ref="C29:N29"/>
    <mergeCell ref="C30:N30"/>
    <mergeCell ref="B32:N32"/>
    <mergeCell ref="D35:N35"/>
    <mergeCell ref="B36:C36"/>
    <mergeCell ref="D36:F36"/>
    <mergeCell ref="G36:N36"/>
    <mergeCell ref="B37:C37"/>
    <mergeCell ref="D37:F37"/>
    <mergeCell ref="G37:N37"/>
    <mergeCell ref="B38:C38"/>
    <mergeCell ref="D38:F38"/>
    <mergeCell ref="G38:N38"/>
    <mergeCell ref="B39:C39"/>
    <mergeCell ref="D39:F39"/>
    <mergeCell ref="G39:N39"/>
    <mergeCell ref="B40:C40"/>
    <mergeCell ref="D40:F40"/>
    <mergeCell ref="G40:N40"/>
    <mergeCell ref="B41:C41"/>
    <mergeCell ref="D41:F41"/>
    <mergeCell ref="G41:N41"/>
    <mergeCell ref="B42:C42"/>
    <mergeCell ref="D42:F42"/>
    <mergeCell ref="G42:N42"/>
    <mergeCell ref="B43:C43"/>
    <mergeCell ref="D43:F43"/>
    <mergeCell ref="G43:N43"/>
    <mergeCell ref="B44:C44"/>
    <mergeCell ref="D44:F44"/>
    <mergeCell ref="G44:N44"/>
    <mergeCell ref="B45:C45"/>
    <mergeCell ref="D45:F45"/>
    <mergeCell ref="G45:N45"/>
    <mergeCell ref="B46:C46"/>
    <mergeCell ref="D46:F46"/>
    <mergeCell ref="G46:N46"/>
    <mergeCell ref="B47:N47"/>
    <mergeCell ref="B66:N66"/>
    <mergeCell ref="B67:N67"/>
    <mergeCell ref="B68:N68"/>
    <mergeCell ref="D69:N69"/>
    <mergeCell ref="D70:N70"/>
    <mergeCell ref="D71:N71"/>
    <mergeCell ref="D74:E74"/>
    <mergeCell ref="F74:G74"/>
    <mergeCell ref="I74:J74"/>
    <mergeCell ref="K74:L74"/>
    <mergeCell ref="M74:N74"/>
    <mergeCell ref="D75:E75"/>
    <mergeCell ref="F75:G75"/>
    <mergeCell ref="I75:J75"/>
    <mergeCell ref="K75:L75"/>
    <mergeCell ref="M75:N75"/>
    <mergeCell ref="D76:E76"/>
    <mergeCell ref="F76:G76"/>
    <mergeCell ref="I76:J76"/>
    <mergeCell ref="K76:L76"/>
    <mergeCell ref="M76:N76"/>
    <mergeCell ref="D77:E77"/>
    <mergeCell ref="F77:G77"/>
    <mergeCell ref="I77:J77"/>
    <mergeCell ref="K77:L77"/>
    <mergeCell ref="M77:N77"/>
    <mergeCell ref="C78:N78"/>
    <mergeCell ref="B79:N79"/>
    <mergeCell ref="B81:N81"/>
    <mergeCell ref="B82:C82"/>
    <mergeCell ref="D82:E82"/>
    <mergeCell ref="F82:G82"/>
    <mergeCell ref="H82:I82"/>
    <mergeCell ref="J82:K82"/>
    <mergeCell ref="L82:N82"/>
    <mergeCell ref="B83:C83"/>
    <mergeCell ref="D83:E83"/>
    <mergeCell ref="F83:G83"/>
    <mergeCell ref="H83:I83"/>
    <mergeCell ref="J83:K83"/>
    <mergeCell ref="L83:N83"/>
    <mergeCell ref="B84:C84"/>
    <mergeCell ref="D84:E84"/>
    <mergeCell ref="F84:G84"/>
    <mergeCell ref="H84:I84"/>
    <mergeCell ref="J84:K84"/>
    <mergeCell ref="L84:N84"/>
    <mergeCell ref="B85:N85"/>
    <mergeCell ref="B86:N86"/>
    <mergeCell ref="B87:N87"/>
    <mergeCell ref="B88:N88"/>
    <mergeCell ref="B89:N89"/>
    <mergeCell ref="B90:N90"/>
    <mergeCell ref="B93:N9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N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1209</v>
      </c>
      <c r="C1" s="1"/>
      <c r="D1" s="1"/>
      <c r="E1" s="1"/>
      <c r="F1" s="1"/>
      <c r="G1" s="1"/>
      <c r="H1" s="1"/>
      <c r="I1" s="1"/>
      <c r="J1" s="1"/>
      <c r="K1" s="1"/>
      <c r="L1" s="1"/>
      <c r="M1" s="1"/>
      <c r="N1" s="1"/>
    </row>
    <row r="2" customFormat="false" ht="17.25" hidden="false" customHeight="true" outlineLevel="0" collapsed="false">
      <c r="B2" s="2" t="s">
        <v>1210</v>
      </c>
      <c r="C2" s="2"/>
      <c r="D2" s="2"/>
      <c r="E2" s="2"/>
      <c r="F2" s="2"/>
      <c r="G2" s="2"/>
      <c r="H2" s="2"/>
      <c r="I2" s="2"/>
      <c r="J2" s="2"/>
      <c r="K2" s="2"/>
      <c r="L2" s="2"/>
      <c r="M2" s="2"/>
      <c r="N2" s="2"/>
    </row>
    <row r="4" customFormat="false" ht="34.5" hidden="false" customHeight="true" outlineLevel="0" collapsed="false">
      <c r="B4" s="3" t="s">
        <v>1211</v>
      </c>
      <c r="C4" s="3"/>
      <c r="D4" s="3"/>
      <c r="E4" s="3"/>
      <c r="F4" s="3"/>
      <c r="G4" s="3"/>
      <c r="H4" s="3"/>
      <c r="I4" s="3"/>
      <c r="J4" s="3"/>
      <c r="K4" s="3"/>
      <c r="L4" s="3"/>
      <c r="M4" s="3"/>
      <c r="N4" s="3"/>
    </row>
    <row r="5" customFormat="false" ht="21.75" hidden="false" customHeight="true" outlineLevel="0" collapsed="false">
      <c r="B5" s="4" t="s">
        <v>1212</v>
      </c>
      <c r="C5" s="4"/>
      <c r="D5" s="4"/>
      <c r="E5" s="4"/>
      <c r="F5" s="4"/>
      <c r="G5" s="4"/>
      <c r="H5" s="4"/>
      <c r="I5" s="4"/>
      <c r="J5" s="4"/>
      <c r="K5" s="4"/>
      <c r="L5" s="4"/>
      <c r="M5" s="4"/>
      <c r="N5" s="4"/>
    </row>
    <row r="6" customFormat="false" ht="31.5" hidden="false" customHeight="true" outlineLevel="0" collapsed="false">
      <c r="B6" s="5" t="s">
        <v>1213</v>
      </c>
      <c r="C6" s="5"/>
      <c r="D6" s="5"/>
      <c r="E6" s="5"/>
      <c r="F6" s="5"/>
      <c r="G6" s="5"/>
      <c r="H6" s="5"/>
      <c r="I6" s="5"/>
      <c r="J6" s="5"/>
      <c r="K6" s="5"/>
      <c r="L6" s="5"/>
      <c r="M6" s="5"/>
      <c r="N6" s="5"/>
    </row>
    <row r="7" customFormat="false" ht="20.25" hidden="false" customHeight="true" outlineLevel="0" collapsed="false">
      <c r="B7" s="24" t="s">
        <v>1214</v>
      </c>
      <c r="C7" s="24"/>
      <c r="D7" s="24"/>
      <c r="E7" s="24"/>
      <c r="F7" s="24"/>
      <c r="G7" s="24"/>
      <c r="H7" s="24"/>
      <c r="I7" s="24"/>
      <c r="J7" s="24"/>
      <c r="K7" s="24"/>
      <c r="L7" s="24"/>
      <c r="M7" s="24"/>
      <c r="N7" s="24"/>
    </row>
    <row r="8" customFormat="false" ht="17.25" hidden="false" customHeight="true" outlineLevel="0" collapsed="false">
      <c r="B8" s="45" t="s">
        <v>1215</v>
      </c>
      <c r="C8" s="45"/>
      <c r="D8" s="45"/>
      <c r="E8" s="45"/>
      <c r="F8" s="45"/>
      <c r="G8" s="45"/>
      <c r="H8" s="45"/>
      <c r="I8" s="45"/>
      <c r="J8" s="45"/>
      <c r="K8" s="45"/>
      <c r="L8" s="45"/>
      <c r="M8" s="45"/>
      <c r="N8" s="45"/>
    </row>
    <row r="9" customFormat="false" ht="18.75" hidden="false" customHeight="true" outlineLevel="0" collapsed="false">
      <c r="B9" s="25" t="s">
        <v>1216</v>
      </c>
      <c r="C9" s="25"/>
      <c r="D9" s="25"/>
      <c r="E9" s="25"/>
      <c r="F9" s="25"/>
      <c r="G9" s="25"/>
      <c r="H9" s="25"/>
      <c r="I9" s="25"/>
      <c r="J9" s="25"/>
      <c r="K9" s="25"/>
      <c r="L9" s="25"/>
      <c r="M9" s="25"/>
      <c r="N9" s="25"/>
    </row>
    <row r="10" customFormat="false" ht="46.5" hidden="false" customHeight="true" outlineLevel="0" collapsed="false">
      <c r="B10" s="5" t="s">
        <v>1217</v>
      </c>
      <c r="C10" s="5"/>
      <c r="D10" s="5"/>
      <c r="E10" s="5"/>
      <c r="F10" s="5"/>
      <c r="G10" s="5"/>
      <c r="H10" s="5"/>
      <c r="I10" s="5"/>
      <c r="J10" s="5"/>
      <c r="K10" s="5"/>
      <c r="L10" s="5"/>
      <c r="M10" s="5"/>
      <c r="N10" s="5"/>
    </row>
    <row r="11" customFormat="false" ht="17.25" hidden="false" customHeight="true" outlineLevel="0" collapsed="false">
      <c r="B11" s="22" t="s">
        <v>1218</v>
      </c>
      <c r="C11" s="30" t="n">
        <v>0.3</v>
      </c>
      <c r="D11" s="27" t="s">
        <v>1219</v>
      </c>
      <c r="E11" s="27"/>
      <c r="F11" s="27"/>
      <c r="G11" s="27"/>
      <c r="H11" s="27"/>
      <c r="I11" s="27"/>
      <c r="J11" s="27"/>
      <c r="K11" s="27"/>
      <c r="L11" s="27"/>
      <c r="M11" s="27"/>
      <c r="N11" s="27"/>
    </row>
    <row r="12" customFormat="false" ht="17.25" hidden="false" customHeight="true" outlineLevel="0" collapsed="false">
      <c r="B12" s="20" t="s">
        <v>1220</v>
      </c>
      <c r="C12" s="20"/>
      <c r="D12" s="20"/>
      <c r="E12" s="20"/>
      <c r="F12" s="20"/>
      <c r="G12" s="20"/>
      <c r="H12" s="20"/>
    </row>
    <row r="13" customFormat="false" ht="15" hidden="false" customHeight="false" outlineLevel="0" collapsed="false">
      <c r="B13" s="16"/>
      <c r="C13" s="21" t="s">
        <v>234</v>
      </c>
      <c r="D13" s="21" t="s">
        <v>235</v>
      </c>
      <c r="E13" s="21" t="s">
        <v>236</v>
      </c>
      <c r="F13" s="21" t="s">
        <v>237</v>
      </c>
      <c r="G13" s="21" t="s">
        <v>1221</v>
      </c>
      <c r="H13" s="21" t="s">
        <v>1222</v>
      </c>
    </row>
    <row r="14" customFormat="false" ht="15" hidden="false" customHeight="false" outlineLevel="0" collapsed="false">
      <c r="B14" s="22"/>
      <c r="C14" s="30" t="n">
        <v>0.8</v>
      </c>
      <c r="D14" s="30" t="n">
        <v>-1.2</v>
      </c>
      <c r="E14" s="30" t="n">
        <v>2</v>
      </c>
      <c r="F14" s="30" t="n">
        <v>0.5</v>
      </c>
      <c r="G14" s="30" t="n">
        <v>-0.3</v>
      </c>
      <c r="H14" s="30" t="n">
        <v>1.1</v>
      </c>
    </row>
    <row r="15" customFormat="false" ht="17.25" hidden="false" customHeight="true" outlineLevel="0" collapsed="false">
      <c r="B15" s="20" t="s">
        <v>1223</v>
      </c>
      <c r="C15" s="20"/>
      <c r="D15" s="20"/>
      <c r="E15" s="20"/>
      <c r="F15" s="20"/>
      <c r="G15" s="20"/>
      <c r="H15" s="20"/>
    </row>
    <row r="16" customFormat="false" ht="15" hidden="false" customHeight="false" outlineLevel="0" collapsed="false">
      <c r="B16" s="16"/>
      <c r="C16" s="21" t="s">
        <v>234</v>
      </c>
      <c r="D16" s="21" t="s">
        <v>235</v>
      </c>
      <c r="E16" s="21" t="s">
        <v>236</v>
      </c>
      <c r="F16" s="21" t="s">
        <v>237</v>
      </c>
      <c r="G16" s="21" t="s">
        <v>1221</v>
      </c>
      <c r="H16" s="21" t="s">
        <v>1222</v>
      </c>
    </row>
    <row r="17" customFormat="false" ht="15" hidden="false" customHeight="false" outlineLevel="0" collapsed="false">
      <c r="B17" s="22"/>
      <c r="C17" s="30" t="n">
        <v>0.62</v>
      </c>
      <c r="D17" s="30" t="n">
        <v>0.15</v>
      </c>
      <c r="E17" s="30" t="n">
        <v>0.88</v>
      </c>
      <c r="F17" s="30" t="n">
        <v>0.41</v>
      </c>
      <c r="G17" s="30" t="n">
        <v>0.07</v>
      </c>
      <c r="H17" s="30" t="n">
        <v>0.73</v>
      </c>
    </row>
    <row r="18" customFormat="false" ht="17.25" hidden="false" customHeight="true" outlineLevel="0" collapsed="false">
      <c r="B18" s="20" t="s">
        <v>1224</v>
      </c>
      <c r="C18" s="20"/>
      <c r="D18" s="20"/>
      <c r="E18" s="20"/>
      <c r="F18" s="20"/>
      <c r="G18" s="20"/>
      <c r="H18" s="20"/>
    </row>
    <row r="19" customFormat="false" ht="15" hidden="false" customHeight="false" outlineLevel="0" collapsed="false">
      <c r="B19" s="16"/>
      <c r="C19" s="21" t="s">
        <v>234</v>
      </c>
      <c r="D19" s="21" t="s">
        <v>235</v>
      </c>
      <c r="E19" s="21" t="s">
        <v>236</v>
      </c>
      <c r="F19" s="21" t="s">
        <v>237</v>
      </c>
      <c r="G19" s="21" t="s">
        <v>1221</v>
      </c>
      <c r="H19" s="21" t="s">
        <v>1222</v>
      </c>
    </row>
    <row r="20" customFormat="false" ht="15" hidden="false" customHeight="false" outlineLevel="0" collapsed="false">
      <c r="B20" s="22"/>
      <c r="C20" s="34" t="n">
        <f aca="false">IF(C17&lt;C11,0,1)</f>
        <v>1</v>
      </c>
      <c r="D20" s="34" t="n">
        <f aca="false">IF(D17&lt;C11,0,1)</f>
        <v>0</v>
      </c>
      <c r="E20" s="34" t="n">
        <f aca="false">IF(E17&lt;C11,0,1)</f>
        <v>1</v>
      </c>
      <c r="F20" s="34" t="n">
        <f aca="false">IF(F17&lt;C11,0,1)</f>
        <v>1</v>
      </c>
      <c r="G20" s="34" t="n">
        <f aca="false">IF(G17&lt;C11,0,1)</f>
        <v>0</v>
      </c>
      <c r="H20" s="34" t="n">
        <f aca="false">IF(H17&lt;C11,0,1)</f>
        <v>1</v>
      </c>
    </row>
    <row r="21" customFormat="false" ht="17.25" hidden="false" customHeight="true" outlineLevel="0" collapsed="false">
      <c r="B21" s="20" t="s">
        <v>1225</v>
      </c>
      <c r="C21" s="20"/>
      <c r="D21" s="20"/>
      <c r="E21" s="20"/>
      <c r="F21" s="20"/>
      <c r="G21" s="20"/>
      <c r="H21" s="20"/>
    </row>
    <row r="22" customFormat="false" ht="15" hidden="false" customHeight="false" outlineLevel="0" collapsed="false">
      <c r="B22" s="16"/>
      <c r="C22" s="21" t="s">
        <v>234</v>
      </c>
      <c r="D22" s="21" t="s">
        <v>235</v>
      </c>
      <c r="E22" s="21" t="s">
        <v>236</v>
      </c>
      <c r="F22" s="21" t="s">
        <v>237</v>
      </c>
      <c r="G22" s="21" t="s">
        <v>1221</v>
      </c>
      <c r="H22" s="21" t="s">
        <v>1222</v>
      </c>
    </row>
    <row r="23" customFormat="false" ht="15" hidden="false" customHeight="false" outlineLevel="0" collapsed="false">
      <c r="B23" s="22"/>
      <c r="C23" s="41" t="n">
        <f aca="false">C14*C20/(1-C11)</f>
        <v>1.14285714285714</v>
      </c>
      <c r="D23" s="41" t="n">
        <f aca="false">D14*D20/(1-C11)</f>
        <v>-0</v>
      </c>
      <c r="E23" s="41" t="n">
        <f aca="false">E14*E20/(1-C11)</f>
        <v>2.85714285714286</v>
      </c>
      <c r="F23" s="41" t="n">
        <f aca="false">F14*F20/(1-C11)</f>
        <v>0.714285714285714</v>
      </c>
      <c r="G23" s="41" t="n">
        <f aca="false">G14*G20/(1-C11)</f>
        <v>-0</v>
      </c>
      <c r="H23" s="41" t="n">
        <f aca="false">H14*H20/(1-C11)</f>
        <v>1.57142857142857</v>
      </c>
    </row>
    <row r="24" customFormat="false" ht="15.75" hidden="false" customHeight="true" outlineLevel="0" collapsed="false">
      <c r="B24" s="10" t="s">
        <v>236</v>
      </c>
      <c r="C24" s="29" t="str">
        <f aca="false">"kept: "&amp;IF(ROUND(E14,3)&lt;0,"("&amp;ROUND(E14,3)&amp;")",ROUND(E14,3)&amp;"")&amp;" ÷ (1 − "&amp;IF(ROUND(C11,3)&lt;0,"("&amp;ROUND(C11,3)&amp;")",ROUND(C11,3)&amp;"")&amp;") = "&amp;IF(ROUND(E23,3)&lt;0,"("&amp;ROUND(E23,3)&amp;")",ROUND(E23,3)&amp;"")</f>
        <v>kept: 2 ÷ (1 − 0.3) = 2.857</v>
      </c>
      <c r="D24" s="29"/>
      <c r="E24" s="29"/>
      <c r="F24" s="29"/>
      <c r="G24" s="29"/>
      <c r="H24" s="29"/>
      <c r="I24" s="29"/>
      <c r="J24" s="29"/>
      <c r="K24" s="29"/>
      <c r="L24" s="29"/>
      <c r="M24" s="29"/>
      <c r="N24" s="29"/>
    </row>
    <row r="25" customFormat="false" ht="15.75" hidden="false" customHeight="true" outlineLevel="0" collapsed="false">
      <c r="B25" s="10" t="s">
        <v>235</v>
      </c>
      <c r="C25" s="29" t="str">
        <f aca="false">"draw "&amp;IF(ROUND(D17,3)&lt;0,"("&amp;ROUND(D17,3)&amp;")",ROUND(D17,3)&amp;"")&amp;" &lt; "&amp;IF(ROUND(C11,3)&lt;0,"("&amp;ROUND(C11,3)&amp;")",ROUND(C11,3)&amp;"")&amp;" → dropped → 0"</f>
        <v>draw 0.15 &lt; 0.3 → dropped → 0</v>
      </c>
      <c r="D25" s="29"/>
      <c r="E25" s="29"/>
      <c r="F25" s="29"/>
      <c r="G25" s="29"/>
      <c r="H25" s="29"/>
      <c r="I25" s="29"/>
      <c r="J25" s="29"/>
      <c r="K25" s="29"/>
      <c r="L25" s="29"/>
      <c r="M25" s="29"/>
      <c r="N25" s="29"/>
    </row>
    <row r="26" customFormat="false" ht="18.75" hidden="false" customHeight="true" outlineLevel="0" collapsed="false">
      <c r="B26" s="25" t="s">
        <v>1226</v>
      </c>
      <c r="C26" s="25"/>
      <c r="D26" s="25"/>
      <c r="E26" s="25"/>
      <c r="F26" s="25"/>
      <c r="G26" s="25"/>
      <c r="H26" s="25"/>
      <c r="I26" s="25"/>
      <c r="J26" s="25"/>
      <c r="K26" s="25"/>
      <c r="L26" s="25"/>
      <c r="M26" s="25"/>
      <c r="N26" s="25"/>
    </row>
    <row r="27" customFormat="false" ht="31.5" hidden="false" customHeight="true" outlineLevel="0" collapsed="false">
      <c r="B27" s="5" t="s">
        <v>1227</v>
      </c>
      <c r="C27" s="5"/>
      <c r="D27" s="5"/>
      <c r="E27" s="5"/>
      <c r="F27" s="5"/>
      <c r="G27" s="5"/>
      <c r="H27" s="5"/>
      <c r="I27" s="5"/>
      <c r="J27" s="5"/>
      <c r="K27" s="5"/>
      <c r="L27" s="5"/>
      <c r="M27" s="5"/>
      <c r="N27" s="5"/>
    </row>
    <row r="28" customFormat="false" ht="15.75" hidden="false" customHeight="true" outlineLevel="0" collapsed="false">
      <c r="B28" s="22" t="s">
        <v>1228</v>
      </c>
      <c r="C28" s="30" t="n">
        <v>2</v>
      </c>
    </row>
    <row r="29" customFormat="false" ht="17.25" hidden="false" customHeight="true" outlineLevel="0" collapsed="false">
      <c r="B29" s="20" t="s">
        <v>1229</v>
      </c>
      <c r="C29" s="20"/>
      <c r="D29" s="20"/>
      <c r="E29" s="20"/>
      <c r="F29" s="20"/>
      <c r="G29" s="20"/>
      <c r="H29" s="20"/>
      <c r="I29" s="20"/>
      <c r="J29" s="20"/>
      <c r="K29" s="20"/>
      <c r="L29" s="20"/>
    </row>
    <row r="30" customFormat="false" ht="15" hidden="false" customHeight="false" outlineLevel="0" collapsed="false">
      <c r="B30" s="16"/>
      <c r="C30" s="21" t="s">
        <v>1230</v>
      </c>
      <c r="D30" s="21" t="s">
        <v>1231</v>
      </c>
      <c r="E30" s="21" t="s">
        <v>1232</v>
      </c>
      <c r="F30" s="21" t="s">
        <v>1233</v>
      </c>
      <c r="G30" s="21" t="s">
        <v>1234</v>
      </c>
      <c r="H30" s="21" t="s">
        <v>1235</v>
      </c>
      <c r="I30" s="21" t="s">
        <v>1236</v>
      </c>
      <c r="J30" s="21" t="s">
        <v>1237</v>
      </c>
      <c r="K30" s="21" t="s">
        <v>1238</v>
      </c>
      <c r="L30" s="21" t="s">
        <v>1239</v>
      </c>
    </row>
    <row r="31" customFormat="false" ht="15" hidden="false" customHeight="false" outlineLevel="0" collapsed="false">
      <c r="B31" s="22"/>
      <c r="C31" s="30" t="n">
        <v>0.62</v>
      </c>
      <c r="D31" s="30" t="n">
        <v>0.15</v>
      </c>
      <c r="E31" s="30" t="n">
        <v>0.88</v>
      </c>
      <c r="F31" s="30" t="n">
        <v>0.41</v>
      </c>
      <c r="G31" s="30" t="n">
        <v>0.07</v>
      </c>
      <c r="H31" s="30" t="n">
        <v>0.73</v>
      </c>
      <c r="I31" s="30" t="n">
        <v>0.29</v>
      </c>
      <c r="J31" s="30" t="n">
        <v>0.95</v>
      </c>
      <c r="K31" s="30" t="n">
        <v>0.52</v>
      </c>
      <c r="L31" s="30" t="n">
        <v>0.34</v>
      </c>
    </row>
    <row r="32" customFormat="false" ht="17.25" hidden="false" customHeight="true" outlineLevel="0" collapsed="false">
      <c r="B32" s="20" t="s">
        <v>1240</v>
      </c>
      <c r="C32" s="20"/>
      <c r="D32" s="20"/>
      <c r="E32" s="20"/>
      <c r="F32" s="20"/>
      <c r="G32" s="20"/>
      <c r="H32" s="20"/>
      <c r="I32" s="20"/>
      <c r="J32" s="20"/>
      <c r="K32" s="20"/>
      <c r="L32" s="20"/>
    </row>
    <row r="33" customFormat="false" ht="15" hidden="false" customHeight="false" outlineLevel="0" collapsed="false">
      <c r="B33" s="16"/>
      <c r="C33" s="21" t="s">
        <v>1230</v>
      </c>
      <c r="D33" s="21" t="s">
        <v>1231</v>
      </c>
      <c r="E33" s="21" t="s">
        <v>1232</v>
      </c>
      <c r="F33" s="21" t="s">
        <v>1233</v>
      </c>
      <c r="G33" s="21" t="s">
        <v>1234</v>
      </c>
      <c r="H33" s="21" t="s">
        <v>1235</v>
      </c>
      <c r="I33" s="21" t="s">
        <v>1236</v>
      </c>
      <c r="J33" s="21" t="s">
        <v>1237</v>
      </c>
      <c r="K33" s="21" t="s">
        <v>1238</v>
      </c>
      <c r="L33" s="21" t="s">
        <v>1239</v>
      </c>
    </row>
    <row r="34" customFormat="false" ht="15" hidden="false" customHeight="false" outlineLevel="0" collapsed="false">
      <c r="B34" s="22"/>
      <c r="C34" s="39" t="n">
        <f aca="false">IF(C31&lt;C11,0,C28/(1-C11))</f>
        <v>2.85714285714286</v>
      </c>
      <c r="D34" s="39" t="n">
        <f aca="false">IF(D31&lt;C11,0,C28/(1-C11))</f>
        <v>0</v>
      </c>
      <c r="E34" s="39" t="n">
        <f aca="false">IF(E31&lt;C11,0,C28/(1-C11))</f>
        <v>2.85714285714286</v>
      </c>
      <c r="F34" s="39" t="n">
        <f aca="false">IF(F31&lt;C11,0,C28/(1-C11))</f>
        <v>2.85714285714286</v>
      </c>
      <c r="G34" s="39" t="n">
        <f aca="false">IF(G31&lt;C11,0,C28/(1-C11))</f>
        <v>0</v>
      </c>
      <c r="H34" s="39" t="n">
        <f aca="false">IF(H31&lt;C11,0,C28/(1-C11))</f>
        <v>2.85714285714286</v>
      </c>
      <c r="I34" s="39" t="n">
        <f aca="false">IF(I31&lt;C11,0,C28/(1-C11))</f>
        <v>0</v>
      </c>
      <c r="J34" s="39" t="n">
        <f aca="false">IF(J31&lt;C11,0,C28/(1-C11))</f>
        <v>2.85714285714286</v>
      </c>
      <c r="K34" s="39" t="n">
        <f aca="false">IF(K31&lt;C11,0,C28/(1-C11))</f>
        <v>2.85714285714286</v>
      </c>
      <c r="L34" s="39" t="n">
        <f aca="false">IF(L31&lt;C11,0,C28/(1-C11))</f>
        <v>2.85714285714286</v>
      </c>
    </row>
    <row r="35" customFormat="false" ht="17.25" hidden="false" customHeight="true" outlineLevel="0" collapsed="false">
      <c r="B35" s="22" t="s">
        <v>1241</v>
      </c>
      <c r="C35" s="41" t="n">
        <f aca="false">AVERAGE(C34:L34)</f>
        <v>2</v>
      </c>
      <c r="D35" s="27" t="s">
        <v>1242</v>
      </c>
      <c r="E35" s="27"/>
      <c r="F35" s="27"/>
      <c r="G35" s="27"/>
      <c r="H35" s="27"/>
      <c r="I35" s="27"/>
      <c r="J35" s="27"/>
      <c r="K35" s="27"/>
      <c r="L35" s="27"/>
      <c r="M35" s="27"/>
      <c r="N35" s="27"/>
    </row>
    <row r="37" customFormat="false" ht="21.75" hidden="false" customHeight="true" outlineLevel="0" collapsed="false">
      <c r="B37" s="4" t="s">
        <v>1243</v>
      </c>
      <c r="C37" s="4"/>
      <c r="D37" s="4"/>
      <c r="E37" s="4"/>
      <c r="F37" s="4"/>
      <c r="G37" s="4"/>
      <c r="H37" s="4"/>
      <c r="I37" s="4"/>
      <c r="J37" s="4"/>
      <c r="K37" s="4"/>
      <c r="L37" s="4"/>
      <c r="M37" s="4"/>
      <c r="N37" s="4"/>
    </row>
    <row r="38" customFormat="false" ht="17.25" hidden="false" customHeight="true" outlineLevel="0" collapsed="false">
      <c r="B38" s="5" t="s">
        <v>1244</v>
      </c>
      <c r="C38" s="5"/>
      <c r="D38" s="5"/>
      <c r="E38" s="5"/>
      <c r="F38" s="5"/>
      <c r="G38" s="5"/>
      <c r="H38" s="5"/>
      <c r="I38" s="5"/>
      <c r="J38" s="5"/>
      <c r="K38" s="5"/>
      <c r="L38" s="5"/>
      <c r="M38" s="5"/>
      <c r="N38" s="5"/>
    </row>
    <row r="39" customFormat="false" ht="21.75" hidden="false" customHeight="true" outlineLevel="0" collapsed="false">
      <c r="B39" s="4" t="s">
        <v>1245</v>
      </c>
      <c r="C39" s="4"/>
      <c r="D39" s="4"/>
      <c r="E39" s="4"/>
      <c r="F39" s="4"/>
      <c r="G39" s="4"/>
      <c r="H39" s="4"/>
      <c r="I39" s="4"/>
      <c r="J39" s="4"/>
      <c r="K39" s="4"/>
      <c r="L39" s="4"/>
      <c r="M39" s="4"/>
      <c r="N39" s="4"/>
    </row>
    <row r="40" customFormat="false" ht="31.5" hidden="false" customHeight="true" outlineLevel="0" collapsed="false">
      <c r="B40" s="5" t="s">
        <v>1246</v>
      </c>
      <c r="C40" s="5"/>
      <c r="D40" s="5"/>
      <c r="E40" s="5"/>
      <c r="F40" s="5"/>
      <c r="G40" s="5"/>
      <c r="H40" s="5"/>
      <c r="I40" s="5"/>
      <c r="J40" s="5"/>
      <c r="K40" s="5"/>
      <c r="L40" s="5"/>
      <c r="M40" s="5"/>
      <c r="N40" s="5"/>
    </row>
    <row r="41" customFormat="false" ht="17.25" hidden="false" customHeight="true" outlineLevel="0" collapsed="false">
      <c r="B41" s="20" t="s">
        <v>1247</v>
      </c>
      <c r="C41" s="20"/>
      <c r="D41" s="20"/>
      <c r="E41" s="20"/>
      <c r="F41" s="20"/>
      <c r="G41" s="20"/>
    </row>
    <row r="42" customFormat="false" ht="15" hidden="false" customHeight="false" outlineLevel="0" collapsed="false">
      <c r="B42" s="16"/>
      <c r="C42" s="21" t="s">
        <v>1248</v>
      </c>
      <c r="D42" s="21" t="s">
        <v>1249</v>
      </c>
      <c r="E42" s="21" t="s">
        <v>1250</v>
      </c>
      <c r="F42" s="21" t="s">
        <v>1251</v>
      </c>
      <c r="G42" s="21" t="s">
        <v>1252</v>
      </c>
    </row>
    <row r="43" customFormat="false" ht="15" hidden="false" customHeight="false" outlineLevel="0" collapsed="false">
      <c r="B43" s="22"/>
      <c r="C43" s="72" t="n">
        <v>0.512</v>
      </c>
      <c r="D43" s="72" t="n">
        <v>0.498</v>
      </c>
      <c r="E43" s="72" t="n">
        <v>0.505</v>
      </c>
      <c r="F43" s="72" t="n">
        <v>0.521</v>
      </c>
      <c r="G43" s="72" t="n">
        <v>0.494</v>
      </c>
    </row>
    <row r="44" customFormat="false" ht="17.25" hidden="false" customHeight="true" outlineLevel="0" collapsed="false">
      <c r="B44" s="22" t="s">
        <v>1253</v>
      </c>
      <c r="C44" s="111" t="n">
        <f aca="false">AVERAGE(C43:G43)</f>
        <v>0.506</v>
      </c>
      <c r="D44" s="27" t="s">
        <v>1254</v>
      </c>
      <c r="E44" s="27"/>
      <c r="F44" s="27"/>
      <c r="G44" s="27"/>
      <c r="H44" s="27"/>
      <c r="I44" s="27"/>
      <c r="J44" s="27"/>
      <c r="K44" s="27"/>
      <c r="L44" s="27"/>
      <c r="M44" s="27"/>
      <c r="N44" s="27"/>
    </row>
    <row r="45" customFormat="false" ht="21.75" hidden="false" customHeight="true" outlineLevel="0" collapsed="false">
      <c r="B45" s="4" t="s">
        <v>1255</v>
      </c>
      <c r="C45" s="4"/>
      <c r="D45" s="4"/>
      <c r="E45" s="4"/>
      <c r="F45" s="4"/>
      <c r="G45" s="4"/>
      <c r="H45" s="4"/>
      <c r="I45" s="4"/>
      <c r="J45" s="4"/>
      <c r="K45" s="4"/>
      <c r="L45" s="4"/>
      <c r="M45" s="4"/>
      <c r="N45" s="4"/>
    </row>
    <row r="46" customFormat="false" ht="17.25" hidden="false" customHeight="true" outlineLevel="0" collapsed="false">
      <c r="B46" s="11" t="s">
        <v>1256</v>
      </c>
      <c r="C46" s="11"/>
      <c r="D46" s="11"/>
      <c r="E46" s="11" t="s">
        <v>1218</v>
      </c>
      <c r="F46" s="11" t="s">
        <v>1089</v>
      </c>
      <c r="G46" s="11" t="s">
        <v>1094</v>
      </c>
      <c r="H46" s="11" t="s">
        <v>1257</v>
      </c>
      <c r="I46" s="11" t="s">
        <v>1258</v>
      </c>
      <c r="J46" s="11"/>
      <c r="K46" s="11"/>
      <c r="L46" s="11"/>
      <c r="M46" s="11"/>
      <c r="N46" s="11"/>
    </row>
    <row r="47" customFormat="false" ht="17.25" hidden="false" customHeight="true" outlineLevel="0" collapsed="false">
      <c r="B47" s="13" t="s">
        <v>822</v>
      </c>
      <c r="C47" s="13"/>
      <c r="D47" s="13"/>
      <c r="E47" s="14" t="n">
        <v>0.1</v>
      </c>
      <c r="F47" s="14" t="n">
        <v>0.1</v>
      </c>
      <c r="G47" s="14" t="n">
        <v>4.92</v>
      </c>
      <c r="H47" s="14" t="n">
        <v>25.8</v>
      </c>
      <c r="I47" s="13" t="s">
        <v>1259</v>
      </c>
      <c r="J47" s="13"/>
      <c r="K47" s="13"/>
      <c r="L47" s="13"/>
      <c r="M47" s="13"/>
      <c r="N47" s="13"/>
    </row>
    <row r="48" customFormat="false" ht="17.25" hidden="false" customHeight="true" outlineLevel="0" collapsed="false">
      <c r="B48" s="16" t="s">
        <v>1132</v>
      </c>
      <c r="C48" s="16"/>
      <c r="D48" s="16"/>
      <c r="E48" s="17" t="n">
        <v>0</v>
      </c>
      <c r="F48" s="17" t="n">
        <v>0.1</v>
      </c>
      <c r="G48" s="17" t="n">
        <v>5.77</v>
      </c>
      <c r="H48" s="17" t="n">
        <v>24.6</v>
      </c>
      <c r="I48" s="16" t="s">
        <v>1260</v>
      </c>
      <c r="J48" s="16"/>
      <c r="K48" s="16"/>
      <c r="L48" s="16"/>
      <c r="M48" s="16"/>
      <c r="N48" s="16"/>
    </row>
    <row r="49" customFormat="false" ht="17.25" hidden="false" customHeight="true" outlineLevel="0" collapsed="false">
      <c r="B49" s="13" t="s">
        <v>1261</v>
      </c>
      <c r="C49" s="13"/>
      <c r="D49" s="13"/>
      <c r="E49" s="14" t="n">
        <v>0.2</v>
      </c>
      <c r="F49" s="14" t="n">
        <v>0.1</v>
      </c>
      <c r="G49" s="14" t="n">
        <v>4.95</v>
      </c>
      <c r="H49" s="14" t="n">
        <v>25.5</v>
      </c>
      <c r="I49" s="13" t="s">
        <v>1262</v>
      </c>
      <c r="J49" s="13"/>
      <c r="K49" s="13"/>
      <c r="L49" s="13"/>
      <c r="M49" s="13"/>
      <c r="N49" s="13"/>
    </row>
    <row r="50" customFormat="false" ht="17.25" hidden="false" customHeight="true" outlineLevel="0" collapsed="false">
      <c r="B50" s="16" t="s">
        <v>1263</v>
      </c>
      <c r="C50" s="16"/>
      <c r="D50" s="16"/>
      <c r="E50" s="17" t="n">
        <v>0.1</v>
      </c>
      <c r="F50" s="17" t="n">
        <v>0</v>
      </c>
      <c r="G50" s="17" t="n">
        <v>4.67</v>
      </c>
      <c r="H50" s="17" t="n">
        <v>25.3</v>
      </c>
      <c r="I50" s="16" t="s">
        <v>1264</v>
      </c>
      <c r="J50" s="16"/>
      <c r="K50" s="16"/>
      <c r="L50" s="16"/>
      <c r="M50" s="16"/>
      <c r="N50" s="16"/>
    </row>
    <row r="51" customFormat="false" ht="17.25" hidden="false" customHeight="true" outlineLevel="0" collapsed="false">
      <c r="B51" s="13" t="s">
        <v>1265</v>
      </c>
      <c r="C51" s="13"/>
      <c r="D51" s="13"/>
      <c r="E51" s="14" t="n">
        <v>0.1</v>
      </c>
      <c r="F51" s="14" t="n">
        <v>0.2</v>
      </c>
      <c r="G51" s="14" t="n">
        <v>5.47</v>
      </c>
      <c r="H51" s="14" t="n">
        <v>25.7</v>
      </c>
      <c r="I51" s="13" t="s">
        <v>1266</v>
      </c>
      <c r="J51" s="13"/>
      <c r="K51" s="13"/>
      <c r="L51" s="13"/>
      <c r="M51" s="13"/>
      <c r="N51" s="13"/>
    </row>
    <row r="52" customFormat="false" ht="17.25" hidden="false" customHeight="true" outlineLevel="0" collapsed="false">
      <c r="B52" s="19" t="s">
        <v>1267</v>
      </c>
      <c r="C52" s="19"/>
      <c r="D52" s="19"/>
      <c r="E52" s="19"/>
      <c r="F52" s="19"/>
      <c r="G52" s="19"/>
      <c r="H52" s="19"/>
      <c r="I52" s="19"/>
      <c r="J52" s="19"/>
      <c r="K52" s="19"/>
      <c r="L52" s="19"/>
      <c r="M52" s="19"/>
      <c r="N52" s="19"/>
    </row>
    <row r="53" customFormat="false" ht="18.75" hidden="false" customHeight="true" outlineLevel="0" collapsed="false">
      <c r="B53" s="25" t="s">
        <v>279</v>
      </c>
      <c r="C53" s="25"/>
      <c r="D53" s="25"/>
      <c r="E53" s="25"/>
      <c r="F53" s="25"/>
      <c r="G53" s="25"/>
      <c r="H53" s="25"/>
      <c r="I53" s="25"/>
      <c r="J53" s="25"/>
      <c r="K53" s="25"/>
      <c r="L53" s="25"/>
      <c r="M53" s="25"/>
      <c r="N53" s="25"/>
    </row>
    <row r="54" customFormat="false" ht="17.25" hidden="false" customHeight="true" outlineLevel="0" collapsed="false">
      <c r="B54" s="43" t="s">
        <v>1268</v>
      </c>
      <c r="C54" s="43"/>
      <c r="D54" s="43"/>
      <c r="E54" s="43"/>
      <c r="F54" s="43"/>
      <c r="G54" s="43"/>
      <c r="H54" s="43"/>
      <c r="I54" s="43"/>
      <c r="J54" s="43"/>
      <c r="K54" s="43"/>
      <c r="L54" s="43"/>
      <c r="M54" s="43"/>
      <c r="N54" s="43"/>
    </row>
    <row r="55" customFormat="false" ht="17.25" hidden="false" customHeight="true" outlineLevel="0" collapsed="false">
      <c r="B55" s="44" t="s">
        <v>1269</v>
      </c>
      <c r="C55" s="44"/>
      <c r="D55" s="44"/>
      <c r="E55" s="44"/>
      <c r="F55" s="44"/>
      <c r="G55" s="44"/>
      <c r="H55" s="44"/>
      <c r="I55" s="44"/>
      <c r="J55" s="44"/>
      <c r="K55" s="44"/>
      <c r="L55" s="44"/>
      <c r="M55" s="44"/>
      <c r="N55" s="44"/>
    </row>
    <row r="56" customFormat="false" ht="17.25" hidden="false" customHeight="true" outlineLevel="0" collapsed="false">
      <c r="B56" s="43" t="s">
        <v>1270</v>
      </c>
      <c r="C56" s="43"/>
      <c r="D56" s="43"/>
      <c r="E56" s="43"/>
      <c r="F56" s="43"/>
      <c r="G56" s="43"/>
      <c r="H56" s="43"/>
      <c r="I56" s="43"/>
      <c r="J56" s="43"/>
      <c r="K56" s="43"/>
      <c r="L56" s="43"/>
      <c r="M56" s="43"/>
      <c r="N56" s="43"/>
    </row>
    <row r="57" customFormat="false" ht="17.25" hidden="false" customHeight="true" outlineLevel="0" collapsed="false">
      <c r="B57" s="44" t="s">
        <v>1271</v>
      </c>
      <c r="C57" s="44"/>
      <c r="D57" s="44"/>
      <c r="E57" s="44"/>
      <c r="F57" s="44"/>
      <c r="G57" s="44"/>
      <c r="H57" s="44"/>
      <c r="I57" s="44"/>
      <c r="J57" s="44"/>
      <c r="K57" s="44"/>
      <c r="L57" s="44"/>
      <c r="M57" s="44"/>
      <c r="N57" s="44"/>
    </row>
  </sheetData>
  <mergeCells count="46">
    <mergeCell ref="B1:N1"/>
    <mergeCell ref="B2:N2"/>
    <mergeCell ref="B4:N4"/>
    <mergeCell ref="B5:N5"/>
    <mergeCell ref="B6:N6"/>
    <mergeCell ref="B7:N7"/>
    <mergeCell ref="B8:N8"/>
    <mergeCell ref="B9:N9"/>
    <mergeCell ref="B10:N10"/>
    <mergeCell ref="D11:N11"/>
    <mergeCell ref="B12:H12"/>
    <mergeCell ref="B15:H15"/>
    <mergeCell ref="B18:H18"/>
    <mergeCell ref="B21:H21"/>
    <mergeCell ref="C24:N24"/>
    <mergeCell ref="C25:N25"/>
    <mergeCell ref="B26:N26"/>
    <mergeCell ref="B27:N27"/>
    <mergeCell ref="B29:L29"/>
    <mergeCell ref="B32:L32"/>
    <mergeCell ref="D35:N35"/>
    <mergeCell ref="B37:N37"/>
    <mergeCell ref="B38:N38"/>
    <mergeCell ref="B39:N39"/>
    <mergeCell ref="B40:N40"/>
    <mergeCell ref="B41:G41"/>
    <mergeCell ref="D44:N44"/>
    <mergeCell ref="B45:N45"/>
    <mergeCell ref="B46:D46"/>
    <mergeCell ref="I46:N46"/>
    <mergeCell ref="B47:D47"/>
    <mergeCell ref="I47:N47"/>
    <mergeCell ref="B48:D48"/>
    <mergeCell ref="I48:N48"/>
    <mergeCell ref="B49:D49"/>
    <mergeCell ref="I49:N49"/>
    <mergeCell ref="B50:D50"/>
    <mergeCell ref="I50:N50"/>
    <mergeCell ref="B51:D51"/>
    <mergeCell ref="I51:N51"/>
    <mergeCell ref="B52:N52"/>
    <mergeCell ref="B53:N53"/>
    <mergeCell ref="B54:N54"/>
    <mergeCell ref="B55:N55"/>
    <mergeCell ref="B56:N56"/>
    <mergeCell ref="B57:N5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pageSetUpPr fitToPage="true"/>
  </sheetPr>
  <dimension ref="B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1272</v>
      </c>
      <c r="C1" s="1"/>
      <c r="D1" s="1"/>
      <c r="E1" s="1"/>
      <c r="F1" s="1"/>
      <c r="G1" s="1"/>
      <c r="H1" s="1"/>
      <c r="I1" s="1"/>
      <c r="J1" s="1"/>
      <c r="K1" s="1"/>
      <c r="L1" s="1"/>
      <c r="M1" s="1"/>
      <c r="N1" s="1"/>
    </row>
    <row r="2" customFormat="false" ht="17.25" hidden="false" customHeight="true" outlineLevel="0" collapsed="false">
      <c r="B2" s="2" t="s">
        <v>1273</v>
      </c>
      <c r="C2" s="2"/>
      <c r="D2" s="2"/>
      <c r="E2" s="2"/>
      <c r="F2" s="2"/>
      <c r="G2" s="2"/>
      <c r="H2" s="2"/>
      <c r="I2" s="2"/>
      <c r="J2" s="2"/>
      <c r="K2" s="2"/>
      <c r="L2" s="2"/>
      <c r="M2" s="2"/>
      <c r="N2" s="2"/>
    </row>
    <row r="4" customFormat="false" ht="34.5" hidden="false" customHeight="true" outlineLevel="0" collapsed="false">
      <c r="B4" s="3" t="s">
        <v>1274</v>
      </c>
      <c r="C4" s="3"/>
      <c r="D4" s="3"/>
      <c r="E4" s="3"/>
      <c r="F4" s="3"/>
      <c r="G4" s="3"/>
      <c r="H4" s="3"/>
      <c r="I4" s="3"/>
      <c r="J4" s="3"/>
      <c r="K4" s="3"/>
      <c r="L4" s="3"/>
      <c r="M4" s="3"/>
      <c r="N4" s="3"/>
    </row>
    <row r="5" customFormat="false" ht="17.25" hidden="false" customHeight="true" outlineLevel="0" collapsed="false">
      <c r="B5" s="11" t="s">
        <v>1275</v>
      </c>
      <c r="C5" s="11"/>
      <c r="D5" s="11"/>
      <c r="E5" s="11"/>
      <c r="F5" s="11" t="s">
        <v>1276</v>
      </c>
      <c r="G5" s="11"/>
      <c r="H5" s="11"/>
      <c r="I5" s="11" t="s">
        <v>1277</v>
      </c>
      <c r="J5" s="11"/>
      <c r="K5" s="11"/>
      <c r="L5" s="11" t="s">
        <v>1278</v>
      </c>
      <c r="M5" s="11"/>
      <c r="N5" s="11"/>
    </row>
    <row r="6" customFormat="false" ht="17.25" hidden="false" customHeight="true" outlineLevel="0" collapsed="false">
      <c r="B6" s="13" t="s">
        <v>306</v>
      </c>
      <c r="C6" s="13"/>
      <c r="D6" s="13"/>
      <c r="E6" s="13"/>
      <c r="F6" s="13" t="s">
        <v>1279</v>
      </c>
      <c r="G6" s="13"/>
      <c r="H6" s="13"/>
      <c r="I6" s="13" t="s">
        <v>1280</v>
      </c>
      <c r="J6" s="13"/>
      <c r="K6" s="13"/>
      <c r="L6" s="13" t="s">
        <v>1280</v>
      </c>
      <c r="M6" s="13"/>
      <c r="N6" s="13"/>
    </row>
    <row r="7" customFormat="false" ht="17.25" hidden="false" customHeight="true" outlineLevel="0" collapsed="false">
      <c r="B7" s="16" t="s">
        <v>1281</v>
      </c>
      <c r="C7" s="16"/>
      <c r="D7" s="16"/>
      <c r="E7" s="16"/>
      <c r="F7" s="16" t="s">
        <v>1282</v>
      </c>
      <c r="G7" s="16"/>
      <c r="H7" s="16"/>
      <c r="I7" s="16" t="s">
        <v>1283</v>
      </c>
      <c r="J7" s="16"/>
      <c r="K7" s="16"/>
      <c r="L7" s="16" t="s">
        <v>1283</v>
      </c>
      <c r="M7" s="16"/>
      <c r="N7" s="16"/>
    </row>
    <row r="8" customFormat="false" ht="17.25" hidden="false" customHeight="true" outlineLevel="0" collapsed="false">
      <c r="B8" s="13" t="s">
        <v>1284</v>
      </c>
      <c r="C8" s="13"/>
      <c r="D8" s="13"/>
      <c r="E8" s="13"/>
      <c r="F8" s="13" t="s">
        <v>1285</v>
      </c>
      <c r="G8" s="13"/>
      <c r="H8" s="13"/>
      <c r="I8" s="13" t="s">
        <v>1280</v>
      </c>
      <c r="J8" s="13"/>
      <c r="K8" s="13"/>
      <c r="L8" s="13" t="s">
        <v>1286</v>
      </c>
      <c r="M8" s="13"/>
      <c r="N8" s="13"/>
    </row>
    <row r="9" customFormat="false" ht="17.25" hidden="false" customHeight="true" outlineLevel="0" collapsed="false">
      <c r="B9" s="16" t="s">
        <v>1287</v>
      </c>
      <c r="C9" s="16"/>
      <c r="D9" s="16"/>
      <c r="E9" s="16"/>
      <c r="F9" s="16" t="s">
        <v>1288</v>
      </c>
      <c r="G9" s="16"/>
      <c r="H9" s="16"/>
      <c r="I9" s="16" t="s">
        <v>1280</v>
      </c>
      <c r="J9" s="16"/>
      <c r="K9" s="16"/>
      <c r="L9" s="16" t="s">
        <v>1289</v>
      </c>
      <c r="M9" s="16"/>
      <c r="N9" s="16"/>
    </row>
    <row r="10" customFormat="false" ht="17.25" hidden="false" customHeight="true" outlineLevel="0" collapsed="false">
      <c r="B10" s="19" t="s">
        <v>1290</v>
      </c>
      <c r="C10" s="19"/>
      <c r="D10" s="19"/>
      <c r="E10" s="19"/>
      <c r="F10" s="19"/>
      <c r="G10" s="19"/>
      <c r="H10" s="19"/>
      <c r="I10" s="19"/>
      <c r="J10" s="19"/>
      <c r="K10" s="19"/>
      <c r="L10" s="19"/>
      <c r="M10" s="19"/>
      <c r="N10" s="19"/>
    </row>
    <row r="11" customFormat="false" ht="17.25" hidden="false" customHeight="true" outlineLevel="0" collapsed="false">
      <c r="B11" s="5" t="s">
        <v>1291</v>
      </c>
      <c r="C11" s="5"/>
      <c r="D11" s="5"/>
      <c r="E11" s="5"/>
      <c r="F11" s="5"/>
      <c r="G11" s="5"/>
      <c r="H11" s="5"/>
      <c r="I11" s="5"/>
      <c r="J11" s="5"/>
      <c r="K11" s="5"/>
      <c r="L11" s="5"/>
      <c r="M11" s="5"/>
      <c r="N11" s="5"/>
    </row>
    <row r="12" customFormat="false" ht="17.25" hidden="false" customHeight="true" outlineLevel="0" collapsed="false">
      <c r="B12" s="5" t="s">
        <v>1292</v>
      </c>
      <c r="C12" s="5"/>
      <c r="D12" s="5"/>
      <c r="E12" s="5"/>
      <c r="F12" s="5"/>
      <c r="G12" s="5"/>
      <c r="H12" s="5"/>
      <c r="I12" s="5"/>
      <c r="J12" s="5"/>
      <c r="K12" s="5"/>
      <c r="L12" s="5"/>
      <c r="M12" s="5"/>
      <c r="N12" s="5"/>
    </row>
    <row r="13" customFormat="false" ht="17.25" hidden="false" customHeight="true" outlineLevel="0" collapsed="false">
      <c r="B13" s="5" t="s">
        <v>1293</v>
      </c>
      <c r="C13" s="5"/>
      <c r="D13" s="5"/>
      <c r="E13" s="5"/>
      <c r="F13" s="5"/>
      <c r="G13" s="5"/>
      <c r="H13" s="5"/>
      <c r="I13" s="5"/>
      <c r="J13" s="5"/>
      <c r="K13" s="5"/>
      <c r="L13" s="5"/>
      <c r="M13" s="5"/>
      <c r="N13" s="5"/>
    </row>
    <row r="14" customFormat="false" ht="21.75" hidden="false" customHeight="true" outlineLevel="0" collapsed="false">
      <c r="B14" s="4" t="s">
        <v>1294</v>
      </c>
      <c r="C14" s="4"/>
      <c r="D14" s="4"/>
      <c r="E14" s="4"/>
      <c r="F14" s="4"/>
      <c r="G14" s="4"/>
      <c r="H14" s="4"/>
      <c r="I14" s="4"/>
      <c r="J14" s="4"/>
      <c r="K14" s="4"/>
      <c r="L14" s="4"/>
      <c r="M14" s="4"/>
      <c r="N14" s="4"/>
    </row>
    <row r="15" customFormat="false" ht="15.75" hidden="false" customHeight="true" outlineLevel="0" collapsed="false">
      <c r="B15" s="22" t="s">
        <v>1295</v>
      </c>
      <c r="C15" s="61" t="n">
        <v>5</v>
      </c>
    </row>
    <row r="16" customFormat="false" ht="15.75" hidden="false" customHeight="true" outlineLevel="0" collapsed="false">
      <c r="B16" s="22" t="s">
        <v>265</v>
      </c>
      <c r="C16" s="61" t="n">
        <v>8</v>
      </c>
    </row>
    <row r="17" customFormat="false" ht="15.75" hidden="false" customHeight="true" outlineLevel="0" collapsed="false">
      <c r="B17" s="22" t="s">
        <v>1296</v>
      </c>
      <c r="C17" s="23" t="n">
        <v>3</v>
      </c>
    </row>
    <row r="18" customFormat="false" ht="15.75" hidden="false" customHeight="true" outlineLevel="0" collapsed="false">
      <c r="B18" s="22" t="s">
        <v>1297</v>
      </c>
      <c r="C18" s="23" t="n">
        <v>2</v>
      </c>
    </row>
    <row r="19" customFormat="false" ht="17.25" hidden="false" customHeight="true" outlineLevel="0" collapsed="false">
      <c r="B19" s="11" t="s">
        <v>1275</v>
      </c>
      <c r="C19" s="11"/>
      <c r="D19" s="11"/>
      <c r="E19" s="11" t="s">
        <v>1276</v>
      </c>
      <c r="F19" s="11"/>
      <c r="G19" s="11" t="s">
        <v>1298</v>
      </c>
      <c r="H19" s="11"/>
      <c r="I19" s="11" t="s">
        <v>1299</v>
      </c>
      <c r="J19" s="11"/>
      <c r="K19" s="11" t="s">
        <v>1300</v>
      </c>
      <c r="L19" s="11"/>
      <c r="M19" s="11"/>
      <c r="N19" s="11"/>
    </row>
    <row r="20" customFormat="false" ht="17.25" hidden="false" customHeight="true" outlineLevel="0" collapsed="false">
      <c r="B20" s="13" t="s">
        <v>306</v>
      </c>
      <c r="C20" s="13"/>
      <c r="D20" s="13"/>
      <c r="E20" s="46" t="n">
        <f aca="false">C15^2*C16</f>
        <v>200</v>
      </c>
      <c r="F20" s="46"/>
      <c r="G20" s="46" t="n">
        <f aca="false">1</f>
        <v>1</v>
      </c>
      <c r="H20" s="46"/>
      <c r="I20" s="69" t="n">
        <f aca="false">1</f>
        <v>1</v>
      </c>
      <c r="J20" s="69"/>
      <c r="K20" s="13" t="str">
        <f aca="false">C15&amp;"² × "&amp;C16&amp;" = "&amp;C15^2*C16</f>
        <v>5² × 8 = 200</v>
      </c>
      <c r="L20" s="13"/>
      <c r="M20" s="13"/>
      <c r="N20" s="13"/>
    </row>
    <row r="21" customFormat="false" ht="17.25" hidden="false" customHeight="true" outlineLevel="0" collapsed="false">
      <c r="B21" s="16" t="s">
        <v>1301</v>
      </c>
      <c r="C21" s="16"/>
      <c r="D21" s="16"/>
      <c r="E21" s="47" t="n">
        <f aca="false">C15*C16^2</f>
        <v>320</v>
      </c>
      <c r="F21" s="47"/>
      <c r="G21" s="47" t="n">
        <f aca="false">C15</f>
        <v>5</v>
      </c>
      <c r="H21" s="47"/>
      <c r="I21" s="82" t="n">
        <f aca="false">C15</f>
        <v>5</v>
      </c>
      <c r="J21" s="82"/>
      <c r="K21" s="16" t="str">
        <f aca="false">C15&amp;" × "&amp;C16&amp;"² = "&amp;C15*C16^2</f>
        <v>5 × 8² = 320</v>
      </c>
      <c r="L21" s="16"/>
      <c r="M21" s="16"/>
      <c r="N21" s="16"/>
    </row>
    <row r="22" customFormat="false" ht="17.25" hidden="false" customHeight="true" outlineLevel="0" collapsed="false">
      <c r="B22" s="13" t="s">
        <v>1284</v>
      </c>
      <c r="C22" s="13"/>
      <c r="D22" s="13"/>
      <c r="E22" s="46" t="n">
        <f aca="false">C17*C15*C16^2</f>
        <v>960</v>
      </c>
      <c r="F22" s="46"/>
      <c r="G22" s="46" t="n">
        <f aca="false">1</f>
        <v>1</v>
      </c>
      <c r="H22" s="46"/>
      <c r="I22" s="69" t="n">
        <f aca="false">LN(C15)/LN(C17)</f>
        <v>1.46497352071793</v>
      </c>
      <c r="J22" s="69"/>
      <c r="K22" s="13" t="str">
        <f aca="false">C17&amp;" × "&amp;C15&amp;" × "&amp;C16&amp;"² = "&amp;C17*C15*C16^2</f>
        <v>3 × 5 × 8² = 960</v>
      </c>
      <c r="L22" s="13"/>
      <c r="M22" s="13"/>
      <c r="N22" s="13"/>
    </row>
    <row r="23" customFormat="false" ht="17.25" hidden="false" customHeight="true" outlineLevel="0" collapsed="false">
      <c r="B23" s="16" t="s">
        <v>1302</v>
      </c>
      <c r="C23" s="16"/>
      <c r="D23" s="16"/>
      <c r="E23" s="47" t="n">
        <f aca="false">C18*C15*C16</f>
        <v>80</v>
      </c>
      <c r="F23" s="47"/>
      <c r="G23" s="47" t="n">
        <f aca="false">1</f>
        <v>1</v>
      </c>
      <c r="H23" s="47"/>
      <c r="I23" s="82" t="n">
        <f aca="false">C15/C18</f>
        <v>2.5</v>
      </c>
      <c r="J23" s="82"/>
      <c r="K23" s="16" t="str">
        <f aca="false">C18&amp;" × "&amp;C15&amp;" × "&amp;C16&amp;" = "&amp;C18*C15*C16</f>
        <v>2 × 5 × 8 = 80</v>
      </c>
      <c r="L23" s="16"/>
      <c r="M23" s="16"/>
      <c r="N23" s="16"/>
    </row>
    <row r="25" customFormat="false" ht="21.75" hidden="false" customHeight="true" outlineLevel="0" collapsed="false">
      <c r="B25" s="4" t="s">
        <v>1303</v>
      </c>
      <c r="C25" s="4"/>
      <c r="D25" s="4"/>
      <c r="E25" s="4"/>
      <c r="F25" s="4"/>
      <c r="G25" s="4"/>
      <c r="H25" s="4"/>
      <c r="I25" s="4"/>
      <c r="J25" s="4"/>
      <c r="K25" s="4"/>
      <c r="L25" s="4"/>
      <c r="M25" s="4"/>
      <c r="N25" s="4"/>
    </row>
    <row r="26" customFormat="false" ht="31.5" hidden="false" customHeight="true" outlineLevel="0" collapsed="false">
      <c r="B26" s="5" t="s">
        <v>1304</v>
      </c>
      <c r="C26" s="5"/>
      <c r="D26" s="5"/>
      <c r="E26" s="5"/>
      <c r="F26" s="5"/>
      <c r="G26" s="5"/>
      <c r="H26" s="5"/>
      <c r="I26" s="5"/>
      <c r="J26" s="5"/>
      <c r="K26" s="5"/>
      <c r="L26" s="5"/>
      <c r="M26" s="5"/>
      <c r="N26" s="5"/>
    </row>
    <row r="27" customFormat="false" ht="15.75" hidden="false" customHeight="true" outlineLevel="0" collapsed="false">
      <c r="B27" s="22" t="s">
        <v>265</v>
      </c>
      <c r="C27" s="61" t="n">
        <v>512</v>
      </c>
    </row>
    <row r="28" customFormat="false" ht="17.25" hidden="false" customHeight="true" outlineLevel="0" collapsed="false">
      <c r="B28" s="11" t="s">
        <v>1305</v>
      </c>
      <c r="C28" s="11"/>
      <c r="D28" s="11" t="s">
        <v>1306</v>
      </c>
      <c r="E28" s="11"/>
      <c r="F28" s="11"/>
      <c r="G28" s="11" t="s">
        <v>1307</v>
      </c>
      <c r="H28" s="11"/>
      <c r="I28" s="11"/>
      <c r="J28" s="11" t="s">
        <v>1308</v>
      </c>
      <c r="K28" s="11"/>
      <c r="L28" s="11" t="s">
        <v>1309</v>
      </c>
      <c r="M28" s="11"/>
      <c r="N28" s="11"/>
    </row>
    <row r="29" customFormat="false" ht="17.25" hidden="false" customHeight="true" outlineLevel="0" collapsed="false">
      <c r="B29" s="108" t="n">
        <v>10</v>
      </c>
      <c r="C29" s="108"/>
      <c r="D29" s="46" t="n">
        <f aca="false">B29^2*C27</f>
        <v>51200</v>
      </c>
      <c r="E29" s="46"/>
      <c r="F29" s="46"/>
      <c r="G29" s="46" t="n">
        <f aca="false">B29*C27^2</f>
        <v>2621440</v>
      </c>
      <c r="H29" s="46"/>
      <c r="I29" s="46"/>
      <c r="J29" s="112" t="n">
        <f aca="false">D29/G29</f>
        <v>0.01953125</v>
      </c>
      <c r="K29" s="112"/>
      <c r="L29" s="13" t="str">
        <f aca="false">IF(J29&lt;1,"self-attention cheaper",IF(J29=1,"equal (n = d)","RNN cheaper per layer"))</f>
        <v>self-attention cheaper</v>
      </c>
      <c r="M29" s="13"/>
      <c r="N29" s="13"/>
    </row>
    <row r="30" customFormat="false" ht="17.25" hidden="false" customHeight="true" outlineLevel="0" collapsed="false">
      <c r="B30" s="108" t="n">
        <v>50</v>
      </c>
      <c r="C30" s="108"/>
      <c r="D30" s="47" t="n">
        <f aca="false">B30^2*C27</f>
        <v>1280000</v>
      </c>
      <c r="E30" s="47"/>
      <c r="F30" s="47"/>
      <c r="G30" s="47" t="n">
        <f aca="false">B30*C27^2</f>
        <v>13107200</v>
      </c>
      <c r="H30" s="47"/>
      <c r="I30" s="47"/>
      <c r="J30" s="113" t="n">
        <f aca="false">D30/G30</f>
        <v>0.09765625</v>
      </c>
      <c r="K30" s="113"/>
      <c r="L30" s="16" t="str">
        <f aca="false">IF(J30&lt;1,"self-attention cheaper",IF(J30=1,"equal (n = d)","RNN cheaper per layer"))</f>
        <v>self-attention cheaper</v>
      </c>
      <c r="M30" s="16"/>
      <c r="N30" s="16"/>
    </row>
    <row r="31" customFormat="false" ht="17.25" hidden="false" customHeight="true" outlineLevel="0" collapsed="false">
      <c r="B31" s="108" t="n">
        <v>100</v>
      </c>
      <c r="C31" s="108"/>
      <c r="D31" s="46" t="n">
        <f aca="false">B31^2*C27</f>
        <v>5120000</v>
      </c>
      <c r="E31" s="46"/>
      <c r="F31" s="46"/>
      <c r="G31" s="46" t="n">
        <f aca="false">B31*C27^2</f>
        <v>26214400</v>
      </c>
      <c r="H31" s="46"/>
      <c r="I31" s="46"/>
      <c r="J31" s="112" t="n">
        <f aca="false">D31/G31</f>
        <v>0.1953125</v>
      </c>
      <c r="K31" s="112"/>
      <c r="L31" s="13" t="str">
        <f aca="false">IF(J31&lt;1,"self-attention cheaper",IF(J31=1,"equal (n = d)","RNN cheaper per layer"))</f>
        <v>self-attention cheaper</v>
      </c>
      <c r="M31" s="13"/>
      <c r="N31" s="13"/>
    </row>
    <row r="32" customFormat="false" ht="17.25" hidden="false" customHeight="true" outlineLevel="0" collapsed="false">
      <c r="B32" s="108" t="n">
        <v>256</v>
      </c>
      <c r="C32" s="108"/>
      <c r="D32" s="47" t="n">
        <f aca="false">B32^2*C27</f>
        <v>33554432</v>
      </c>
      <c r="E32" s="47"/>
      <c r="F32" s="47"/>
      <c r="G32" s="47" t="n">
        <f aca="false">B32*C27^2</f>
        <v>67108864</v>
      </c>
      <c r="H32" s="47"/>
      <c r="I32" s="47"/>
      <c r="J32" s="113" t="n">
        <f aca="false">D32/G32</f>
        <v>0.5</v>
      </c>
      <c r="K32" s="113"/>
      <c r="L32" s="16" t="str">
        <f aca="false">IF(J32&lt;1,"self-attention cheaper",IF(J32=1,"equal (n = d)","RNN cheaper per layer"))</f>
        <v>self-attention cheaper</v>
      </c>
      <c r="M32" s="16"/>
      <c r="N32" s="16"/>
    </row>
    <row r="33" customFormat="false" ht="17.25" hidden="false" customHeight="true" outlineLevel="0" collapsed="false">
      <c r="B33" s="108" t="n">
        <v>512</v>
      </c>
      <c r="C33" s="108"/>
      <c r="D33" s="46" t="n">
        <f aca="false">B33^2*C27</f>
        <v>134217728</v>
      </c>
      <c r="E33" s="46"/>
      <c r="F33" s="46"/>
      <c r="G33" s="46" t="n">
        <f aca="false">B33*C27^2</f>
        <v>134217728</v>
      </c>
      <c r="H33" s="46"/>
      <c r="I33" s="46"/>
      <c r="J33" s="112" t="n">
        <f aca="false">D33/G33</f>
        <v>1</v>
      </c>
      <c r="K33" s="112"/>
      <c r="L33" s="13" t="str">
        <f aca="false">IF(J33&lt;1,"self-attention cheaper",IF(J33=1,"equal (n = d)","RNN cheaper per layer"))</f>
        <v>equal (n = d)</v>
      </c>
      <c r="M33" s="13"/>
      <c r="N33" s="13"/>
    </row>
    <row r="34" customFormat="false" ht="17.25" hidden="false" customHeight="true" outlineLevel="0" collapsed="false">
      <c r="B34" s="108" t="n">
        <v>1000</v>
      </c>
      <c r="C34" s="108"/>
      <c r="D34" s="47" t="n">
        <f aca="false">B34^2*C27</f>
        <v>512000000</v>
      </c>
      <c r="E34" s="47"/>
      <c r="F34" s="47"/>
      <c r="G34" s="47" t="n">
        <f aca="false">B34*C27^2</f>
        <v>262144000</v>
      </c>
      <c r="H34" s="47"/>
      <c r="I34" s="47"/>
      <c r="J34" s="113" t="n">
        <f aca="false">D34/G34</f>
        <v>1.953125</v>
      </c>
      <c r="K34" s="113"/>
      <c r="L34" s="16" t="str">
        <f aca="false">IF(J34&lt;1,"self-attention cheaper",IF(J34=1,"equal (n = d)","RNN cheaper per layer"))</f>
        <v>RNN cheaper per layer</v>
      </c>
      <c r="M34" s="16"/>
      <c r="N34" s="16"/>
    </row>
    <row r="35" customFormat="false" ht="17.25" hidden="false" customHeight="true" outlineLevel="0" collapsed="false">
      <c r="B35" s="108" t="n">
        <v>4096</v>
      </c>
      <c r="C35" s="108"/>
      <c r="D35" s="46" t="n">
        <f aca="false">B35^2*C27</f>
        <v>8589934592</v>
      </c>
      <c r="E35" s="46"/>
      <c r="F35" s="46"/>
      <c r="G35" s="46" t="n">
        <f aca="false">B35*C27^2</f>
        <v>1073741824</v>
      </c>
      <c r="H35" s="46"/>
      <c r="I35" s="46"/>
      <c r="J35" s="112" t="n">
        <f aca="false">D35/G35</f>
        <v>8</v>
      </c>
      <c r="K35" s="112"/>
      <c r="L35" s="13" t="str">
        <f aca="false">IF(J35&lt;1,"self-attention cheaper",IF(J35=1,"equal (n = d)","RNN cheaper per layer"))</f>
        <v>RNN cheaper per layer</v>
      </c>
      <c r="M35" s="13"/>
      <c r="N35" s="13"/>
    </row>
    <row r="36" customFormat="false" ht="31.5" hidden="false" customHeight="true" outlineLevel="0" collapsed="false">
      <c r="B36" s="5" t="s">
        <v>1310</v>
      </c>
      <c r="C36" s="5"/>
      <c r="D36" s="5"/>
      <c r="E36" s="5"/>
      <c r="F36" s="5"/>
      <c r="G36" s="5"/>
      <c r="H36" s="5"/>
      <c r="I36" s="5"/>
      <c r="J36" s="5"/>
      <c r="K36" s="5"/>
      <c r="L36" s="5"/>
      <c r="M36" s="5"/>
      <c r="N36" s="5"/>
    </row>
    <row r="37" customFormat="false" ht="18.75" hidden="false" customHeight="true" outlineLevel="0" collapsed="false">
      <c r="B37" s="25" t="s">
        <v>279</v>
      </c>
      <c r="C37" s="25"/>
      <c r="D37" s="25"/>
      <c r="E37" s="25"/>
      <c r="F37" s="25"/>
      <c r="G37" s="25"/>
      <c r="H37" s="25"/>
      <c r="I37" s="25"/>
      <c r="J37" s="25"/>
      <c r="K37" s="25"/>
      <c r="L37" s="25"/>
      <c r="M37" s="25"/>
      <c r="N37" s="25"/>
    </row>
    <row r="38" customFormat="false" ht="17.25" hidden="false" customHeight="true" outlineLevel="0" collapsed="false">
      <c r="B38" s="43" t="s">
        <v>1311</v>
      </c>
      <c r="C38" s="43"/>
      <c r="D38" s="43"/>
      <c r="E38" s="43"/>
      <c r="F38" s="43"/>
      <c r="G38" s="43"/>
      <c r="H38" s="43"/>
      <c r="I38" s="43"/>
      <c r="J38" s="43"/>
      <c r="K38" s="43"/>
      <c r="L38" s="43"/>
      <c r="M38" s="43"/>
      <c r="N38" s="43"/>
    </row>
    <row r="39" customFormat="false" ht="17.25" hidden="false" customHeight="true" outlineLevel="0" collapsed="false">
      <c r="B39" s="44" t="s">
        <v>1312</v>
      </c>
      <c r="C39" s="44"/>
      <c r="D39" s="44"/>
      <c r="E39" s="44"/>
      <c r="F39" s="44"/>
      <c r="G39" s="44"/>
      <c r="H39" s="44"/>
      <c r="I39" s="44"/>
      <c r="J39" s="44"/>
      <c r="K39" s="44"/>
      <c r="L39" s="44"/>
      <c r="M39" s="44"/>
      <c r="N39" s="44"/>
    </row>
    <row r="40" customFormat="false" ht="17.25" hidden="false" customHeight="true" outlineLevel="0" collapsed="false">
      <c r="B40" s="43" t="s">
        <v>1313</v>
      </c>
      <c r="C40" s="43"/>
      <c r="D40" s="43"/>
      <c r="E40" s="43"/>
      <c r="F40" s="43"/>
      <c r="G40" s="43"/>
      <c r="H40" s="43"/>
      <c r="I40" s="43"/>
      <c r="J40" s="43"/>
      <c r="K40" s="43"/>
      <c r="L40" s="43"/>
      <c r="M40" s="43"/>
      <c r="N40" s="43"/>
    </row>
    <row r="41" customFormat="false" ht="17.25" hidden="false" customHeight="true" outlineLevel="0" collapsed="false">
      <c r="B41" s="44" t="s">
        <v>1314</v>
      </c>
      <c r="C41" s="44"/>
      <c r="D41" s="44"/>
      <c r="E41" s="44"/>
      <c r="F41" s="44"/>
      <c r="G41" s="44"/>
      <c r="H41" s="44"/>
      <c r="I41" s="44"/>
      <c r="J41" s="44"/>
      <c r="K41" s="44"/>
      <c r="L41" s="44"/>
      <c r="M41" s="44"/>
      <c r="N41" s="44"/>
    </row>
  </sheetData>
  <mergeCells count="101">
    <mergeCell ref="B1:N1"/>
    <mergeCell ref="B2:N2"/>
    <mergeCell ref="B4:N4"/>
    <mergeCell ref="B5:E5"/>
    <mergeCell ref="F5:H5"/>
    <mergeCell ref="I5:K5"/>
    <mergeCell ref="L5:N5"/>
    <mergeCell ref="B6:E6"/>
    <mergeCell ref="F6:H6"/>
    <mergeCell ref="I6:K6"/>
    <mergeCell ref="L6:N6"/>
    <mergeCell ref="B7:E7"/>
    <mergeCell ref="F7:H7"/>
    <mergeCell ref="I7:K7"/>
    <mergeCell ref="L7:N7"/>
    <mergeCell ref="B8:E8"/>
    <mergeCell ref="F8:H8"/>
    <mergeCell ref="I8:K8"/>
    <mergeCell ref="L8:N8"/>
    <mergeCell ref="B9:E9"/>
    <mergeCell ref="F9:H9"/>
    <mergeCell ref="I9:K9"/>
    <mergeCell ref="L9:N9"/>
    <mergeCell ref="B10:N10"/>
    <mergeCell ref="B11:N11"/>
    <mergeCell ref="B12:N12"/>
    <mergeCell ref="B13:N13"/>
    <mergeCell ref="B14:N14"/>
    <mergeCell ref="B19:D19"/>
    <mergeCell ref="E19:F19"/>
    <mergeCell ref="G19:H19"/>
    <mergeCell ref="I19:J19"/>
    <mergeCell ref="K19:N19"/>
    <mergeCell ref="B20:D20"/>
    <mergeCell ref="E20:F20"/>
    <mergeCell ref="G20:H20"/>
    <mergeCell ref="I20:J20"/>
    <mergeCell ref="K20:N20"/>
    <mergeCell ref="B21:D21"/>
    <mergeCell ref="E21:F21"/>
    <mergeCell ref="G21:H21"/>
    <mergeCell ref="I21:J21"/>
    <mergeCell ref="K21:N21"/>
    <mergeCell ref="B22:D22"/>
    <mergeCell ref="E22:F22"/>
    <mergeCell ref="G22:H22"/>
    <mergeCell ref="I22:J22"/>
    <mergeCell ref="K22:N22"/>
    <mergeCell ref="B23:D23"/>
    <mergeCell ref="E23:F23"/>
    <mergeCell ref="G23:H23"/>
    <mergeCell ref="I23:J23"/>
    <mergeCell ref="K23:N23"/>
    <mergeCell ref="B25:N25"/>
    <mergeCell ref="B26:N26"/>
    <mergeCell ref="B28:C28"/>
    <mergeCell ref="D28:F28"/>
    <mergeCell ref="G28:I28"/>
    <mergeCell ref="J28:K28"/>
    <mergeCell ref="L28:N28"/>
    <mergeCell ref="B29:C29"/>
    <mergeCell ref="D29:F29"/>
    <mergeCell ref="G29:I29"/>
    <mergeCell ref="J29:K29"/>
    <mergeCell ref="L29:N29"/>
    <mergeCell ref="B30:C30"/>
    <mergeCell ref="D30:F30"/>
    <mergeCell ref="G30:I30"/>
    <mergeCell ref="J30:K30"/>
    <mergeCell ref="L30:N30"/>
    <mergeCell ref="B31:C31"/>
    <mergeCell ref="D31:F31"/>
    <mergeCell ref="G31:I31"/>
    <mergeCell ref="J31:K31"/>
    <mergeCell ref="L31:N31"/>
    <mergeCell ref="B32:C32"/>
    <mergeCell ref="D32:F32"/>
    <mergeCell ref="G32:I32"/>
    <mergeCell ref="J32:K32"/>
    <mergeCell ref="L32:N32"/>
    <mergeCell ref="B33:C33"/>
    <mergeCell ref="D33:F33"/>
    <mergeCell ref="G33:I33"/>
    <mergeCell ref="J33:K33"/>
    <mergeCell ref="L33:N33"/>
    <mergeCell ref="B34:C34"/>
    <mergeCell ref="D34:F34"/>
    <mergeCell ref="G34:I34"/>
    <mergeCell ref="J34:K34"/>
    <mergeCell ref="L34:N34"/>
    <mergeCell ref="B35:C35"/>
    <mergeCell ref="D35:F35"/>
    <mergeCell ref="G35:I35"/>
    <mergeCell ref="J35:K35"/>
    <mergeCell ref="L35:N35"/>
    <mergeCell ref="B36:N36"/>
    <mergeCell ref="B37:N37"/>
    <mergeCell ref="B38:N38"/>
    <mergeCell ref="B39:N39"/>
    <mergeCell ref="B40:N40"/>
    <mergeCell ref="B41:N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pageSetUpPr fitToPage="true"/>
  </sheetPr>
  <dimension ref="B1:N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1315</v>
      </c>
      <c r="C1" s="1"/>
      <c r="D1" s="1"/>
      <c r="E1" s="1"/>
      <c r="F1" s="1"/>
      <c r="G1" s="1"/>
      <c r="H1" s="1"/>
      <c r="I1" s="1"/>
      <c r="J1" s="1"/>
      <c r="K1" s="1"/>
      <c r="L1" s="1"/>
      <c r="M1" s="1"/>
      <c r="N1" s="1"/>
    </row>
    <row r="2" customFormat="false" ht="17.25" hidden="false" customHeight="true" outlineLevel="0" collapsed="false">
      <c r="B2" s="2" t="s">
        <v>1316</v>
      </c>
      <c r="C2" s="2"/>
      <c r="D2" s="2"/>
      <c r="E2" s="2"/>
      <c r="F2" s="2"/>
      <c r="G2" s="2"/>
      <c r="H2" s="2"/>
      <c r="I2" s="2"/>
      <c r="J2" s="2"/>
      <c r="K2" s="2"/>
      <c r="L2" s="2"/>
      <c r="M2" s="2"/>
      <c r="N2" s="2"/>
    </row>
    <row r="4" customFormat="false" ht="34.5" hidden="false" customHeight="true" outlineLevel="0" collapsed="false">
      <c r="B4" s="3" t="s">
        <v>1317</v>
      </c>
      <c r="C4" s="3"/>
      <c r="D4" s="3"/>
      <c r="E4" s="3"/>
      <c r="F4" s="3"/>
      <c r="G4" s="3"/>
      <c r="H4" s="3"/>
      <c r="I4" s="3"/>
      <c r="J4" s="3"/>
      <c r="K4" s="3"/>
      <c r="L4" s="3"/>
      <c r="M4" s="3"/>
      <c r="N4" s="3"/>
    </row>
    <row r="5" customFormat="false" ht="21.75" hidden="false" customHeight="true" outlineLevel="0" collapsed="false">
      <c r="B5" s="4" t="s">
        <v>1318</v>
      </c>
      <c r="C5" s="4"/>
      <c r="D5" s="4"/>
      <c r="E5" s="4"/>
      <c r="F5" s="4"/>
      <c r="G5" s="4"/>
      <c r="H5" s="4"/>
      <c r="I5" s="4"/>
      <c r="J5" s="4"/>
      <c r="K5" s="4"/>
      <c r="L5" s="4"/>
      <c r="M5" s="4"/>
      <c r="N5" s="4"/>
    </row>
    <row r="6" customFormat="false" ht="17.25" hidden="false" customHeight="true" outlineLevel="0" collapsed="false">
      <c r="B6" s="11" t="s">
        <v>1319</v>
      </c>
      <c r="C6" s="11"/>
      <c r="D6" s="11" t="s">
        <v>1320</v>
      </c>
      <c r="E6" s="11"/>
      <c r="F6" s="11"/>
      <c r="G6" s="11"/>
      <c r="H6" s="11"/>
      <c r="I6" s="11"/>
      <c r="J6" s="11" t="s">
        <v>822</v>
      </c>
      <c r="K6" s="11"/>
      <c r="L6" s="11" t="s">
        <v>1130</v>
      </c>
      <c r="M6" s="11"/>
      <c r="N6" s="11"/>
    </row>
    <row r="7" customFormat="false" ht="17.25" hidden="false" customHeight="true" outlineLevel="0" collapsed="false">
      <c r="B7" s="13" t="s">
        <v>1321</v>
      </c>
      <c r="C7" s="13"/>
      <c r="D7" s="13" t="s">
        <v>1322</v>
      </c>
      <c r="E7" s="13"/>
      <c r="F7" s="13"/>
      <c r="G7" s="13"/>
      <c r="H7" s="13"/>
      <c r="I7" s="13"/>
      <c r="J7" s="14" t="n">
        <v>6</v>
      </c>
      <c r="K7" s="14"/>
      <c r="L7" s="14" t="n">
        <v>6</v>
      </c>
      <c r="M7" s="14"/>
      <c r="N7" s="14"/>
    </row>
    <row r="8" customFormat="false" ht="17.25" hidden="false" customHeight="true" outlineLevel="0" collapsed="false">
      <c r="B8" s="16" t="s">
        <v>380</v>
      </c>
      <c r="C8" s="16"/>
      <c r="D8" s="16" t="s">
        <v>1323</v>
      </c>
      <c r="E8" s="16"/>
      <c r="F8" s="16"/>
      <c r="G8" s="16"/>
      <c r="H8" s="16"/>
      <c r="I8" s="16"/>
      <c r="J8" s="17" t="n">
        <v>512</v>
      </c>
      <c r="K8" s="17"/>
      <c r="L8" s="17" t="n">
        <v>1024</v>
      </c>
      <c r="M8" s="17"/>
      <c r="N8" s="17"/>
    </row>
    <row r="9" customFormat="false" ht="17.25" hidden="false" customHeight="true" outlineLevel="0" collapsed="false">
      <c r="B9" s="13" t="s">
        <v>1004</v>
      </c>
      <c r="C9" s="13"/>
      <c r="D9" s="13" t="s">
        <v>1324</v>
      </c>
      <c r="E9" s="13"/>
      <c r="F9" s="13"/>
      <c r="G9" s="13"/>
      <c r="H9" s="13"/>
      <c r="I9" s="13"/>
      <c r="J9" s="14" t="n">
        <v>2048</v>
      </c>
      <c r="K9" s="14"/>
      <c r="L9" s="14" t="n">
        <v>4096</v>
      </c>
      <c r="M9" s="14"/>
      <c r="N9" s="14"/>
    </row>
    <row r="10" customFormat="false" ht="17.25" hidden="false" customHeight="true" outlineLevel="0" collapsed="false">
      <c r="B10" s="16" t="s">
        <v>748</v>
      </c>
      <c r="C10" s="16"/>
      <c r="D10" s="16" t="s">
        <v>1325</v>
      </c>
      <c r="E10" s="16"/>
      <c r="F10" s="16"/>
      <c r="G10" s="16"/>
      <c r="H10" s="16"/>
      <c r="I10" s="16"/>
      <c r="J10" s="17" t="n">
        <v>8</v>
      </c>
      <c r="K10" s="17"/>
      <c r="L10" s="17" t="n">
        <v>16</v>
      </c>
      <c r="M10" s="17"/>
      <c r="N10" s="17"/>
    </row>
    <row r="11" customFormat="false" ht="17.25" hidden="false" customHeight="true" outlineLevel="0" collapsed="false">
      <c r="B11" s="13" t="s">
        <v>751</v>
      </c>
      <c r="C11" s="13"/>
      <c r="D11" s="13" t="s">
        <v>1326</v>
      </c>
      <c r="E11" s="13"/>
      <c r="F11" s="13"/>
      <c r="G11" s="13"/>
      <c r="H11" s="13"/>
      <c r="I11" s="13"/>
      <c r="J11" s="14" t="n">
        <v>64</v>
      </c>
      <c r="K11" s="14"/>
      <c r="L11" s="14" t="n">
        <v>64</v>
      </c>
      <c r="M11" s="14"/>
      <c r="N11" s="14"/>
    </row>
    <row r="12" customFormat="false" ht="17.25" hidden="false" customHeight="true" outlineLevel="0" collapsed="false">
      <c r="B12" s="16" t="s">
        <v>1218</v>
      </c>
      <c r="C12" s="16"/>
      <c r="D12" s="16" t="s">
        <v>1327</v>
      </c>
      <c r="E12" s="16"/>
      <c r="F12" s="16"/>
      <c r="G12" s="16"/>
      <c r="H12" s="16"/>
      <c r="I12" s="16"/>
      <c r="J12" s="17" t="n">
        <v>0.1</v>
      </c>
      <c r="K12" s="17"/>
      <c r="L12" s="17" t="n">
        <v>0.3</v>
      </c>
      <c r="M12" s="17"/>
      <c r="N12" s="17"/>
    </row>
    <row r="13" customFormat="false" ht="17.25" hidden="false" customHeight="true" outlineLevel="0" collapsed="false">
      <c r="B13" s="13" t="s">
        <v>1089</v>
      </c>
      <c r="C13" s="13"/>
      <c r="D13" s="13" t="s">
        <v>1328</v>
      </c>
      <c r="E13" s="13"/>
      <c r="F13" s="13"/>
      <c r="G13" s="13"/>
      <c r="H13" s="13"/>
      <c r="I13" s="13"/>
      <c r="J13" s="14" t="n">
        <v>0.1</v>
      </c>
      <c r="K13" s="14"/>
      <c r="L13" s="14" t="n">
        <v>0.1</v>
      </c>
      <c r="M13" s="14"/>
      <c r="N13" s="14"/>
    </row>
    <row r="14" customFormat="false" ht="17.25" hidden="false" customHeight="true" outlineLevel="0" collapsed="false">
      <c r="B14" s="16" t="s">
        <v>1329</v>
      </c>
      <c r="C14" s="16"/>
      <c r="D14" s="16" t="s">
        <v>1330</v>
      </c>
      <c r="E14" s="16"/>
      <c r="F14" s="16"/>
      <c r="G14" s="16"/>
      <c r="H14" s="16"/>
      <c r="I14" s="16"/>
      <c r="J14" s="17" t="s">
        <v>1331</v>
      </c>
      <c r="K14" s="17"/>
      <c r="L14" s="17" t="s">
        <v>1332</v>
      </c>
      <c r="M14" s="17"/>
      <c r="N14" s="17"/>
    </row>
    <row r="15" customFormat="false" ht="17.25" hidden="false" customHeight="true" outlineLevel="0" collapsed="false">
      <c r="B15" s="13" t="s">
        <v>1333</v>
      </c>
      <c r="C15" s="13"/>
      <c r="D15" s="13" t="s">
        <v>1334</v>
      </c>
      <c r="E15" s="13"/>
      <c r="F15" s="13"/>
      <c r="G15" s="13"/>
      <c r="H15" s="13"/>
      <c r="I15" s="13"/>
      <c r="J15" s="14" t="s">
        <v>1335</v>
      </c>
      <c r="K15" s="14"/>
      <c r="L15" s="14" t="s">
        <v>1336</v>
      </c>
      <c r="M15" s="14"/>
      <c r="N15" s="14"/>
    </row>
    <row r="16" customFormat="false" ht="21.75" hidden="false" customHeight="true" outlineLevel="0" collapsed="false">
      <c r="B16" s="4" t="s">
        <v>1337</v>
      </c>
      <c r="C16" s="4"/>
      <c r="D16" s="4"/>
      <c r="E16" s="4"/>
      <c r="F16" s="4"/>
      <c r="G16" s="4"/>
      <c r="H16" s="4"/>
      <c r="I16" s="4"/>
      <c r="J16" s="4"/>
      <c r="K16" s="4"/>
      <c r="L16" s="4"/>
      <c r="M16" s="4"/>
      <c r="N16" s="4"/>
    </row>
    <row r="17" customFormat="false" ht="15.75" hidden="false" customHeight="true" outlineLevel="0" collapsed="false">
      <c r="B17" s="22" t="s">
        <v>1338</v>
      </c>
      <c r="C17" s="23" t="n">
        <v>10</v>
      </c>
    </row>
    <row r="18" customFormat="false" ht="15.75" hidden="false" customHeight="true" outlineLevel="0" collapsed="false">
      <c r="B18" s="22" t="s">
        <v>1339</v>
      </c>
      <c r="C18" s="23" t="n">
        <v>9</v>
      </c>
    </row>
    <row r="19" customFormat="false" ht="15.75" hidden="false" customHeight="true" outlineLevel="0" collapsed="false">
      <c r="B19" s="22" t="s">
        <v>380</v>
      </c>
      <c r="C19" s="23" t="n">
        <v>512</v>
      </c>
    </row>
    <row r="20" customFormat="false" ht="15.75" hidden="false" customHeight="true" outlineLevel="0" collapsed="false">
      <c r="B20" s="22" t="s">
        <v>748</v>
      </c>
      <c r="C20" s="23" t="n">
        <v>8</v>
      </c>
    </row>
    <row r="21" customFormat="false" ht="15.75" hidden="false" customHeight="true" outlineLevel="0" collapsed="false">
      <c r="B21" s="22" t="s">
        <v>1004</v>
      </c>
      <c r="C21" s="61" t="n">
        <v>2048</v>
      </c>
    </row>
    <row r="22" customFormat="false" ht="15.75" hidden="false" customHeight="true" outlineLevel="0" collapsed="false">
      <c r="B22" s="22" t="s">
        <v>1340</v>
      </c>
      <c r="C22" s="61" t="n">
        <v>37000</v>
      </c>
    </row>
    <row r="23" customFormat="false" ht="17.25" hidden="false" customHeight="true" outlineLevel="0" collapsed="false">
      <c r="B23" s="11" t="s">
        <v>1341</v>
      </c>
      <c r="C23" s="11"/>
      <c r="D23" s="11"/>
      <c r="E23" s="11"/>
      <c r="F23" s="11" t="s">
        <v>1342</v>
      </c>
      <c r="G23" s="11"/>
      <c r="H23" s="11"/>
      <c r="I23" s="11" t="s">
        <v>1343</v>
      </c>
      <c r="J23" s="11"/>
      <c r="K23" s="11"/>
      <c r="L23" s="11"/>
      <c r="M23" s="11"/>
      <c r="N23" s="11"/>
    </row>
    <row r="24" customFormat="false" ht="17.25" hidden="false" customHeight="true" outlineLevel="0" collapsed="false">
      <c r="B24" s="13" t="s">
        <v>1344</v>
      </c>
      <c r="C24" s="13"/>
      <c r="D24" s="13"/>
      <c r="E24" s="13"/>
      <c r="F24" s="114" t="str">
        <f aca="false">C17&amp;" numbers"</f>
        <v>10 numbers</v>
      </c>
      <c r="G24" s="114"/>
      <c r="H24" s="114"/>
      <c r="I24" s="13" t="s">
        <v>1345</v>
      </c>
      <c r="J24" s="13"/>
      <c r="K24" s="13"/>
      <c r="L24" s="13"/>
      <c r="M24" s="13"/>
      <c r="N24" s="13"/>
    </row>
    <row r="25" customFormat="false" ht="17.25" hidden="false" customHeight="true" outlineLevel="0" collapsed="false">
      <c r="B25" s="16" t="s">
        <v>1346</v>
      </c>
      <c r="C25" s="16"/>
      <c r="D25" s="16"/>
      <c r="E25" s="16"/>
      <c r="F25" s="21" t="str">
        <f aca="false">C17&amp;" × "&amp;C19</f>
        <v>10 × 512</v>
      </c>
      <c r="G25" s="21"/>
      <c r="H25" s="21"/>
      <c r="I25" s="16" t="s">
        <v>1347</v>
      </c>
      <c r="J25" s="16"/>
      <c r="K25" s="16"/>
      <c r="L25" s="16"/>
      <c r="M25" s="16"/>
      <c r="N25" s="16"/>
    </row>
    <row r="26" customFormat="false" ht="17.25" hidden="false" customHeight="true" outlineLevel="0" collapsed="false">
      <c r="B26" s="13" t="s">
        <v>1348</v>
      </c>
      <c r="C26" s="13"/>
      <c r="D26" s="13"/>
      <c r="E26" s="13"/>
      <c r="F26" s="114" t="str">
        <f aca="false">C17&amp;" × "&amp;C19</f>
        <v>10 × 512</v>
      </c>
      <c r="G26" s="114"/>
      <c r="H26" s="114"/>
      <c r="I26" s="13" t="s">
        <v>1349</v>
      </c>
      <c r="J26" s="13"/>
      <c r="K26" s="13"/>
      <c r="L26" s="13"/>
      <c r="M26" s="13"/>
      <c r="N26" s="13"/>
    </row>
    <row r="27" customFormat="false" ht="17.25" hidden="false" customHeight="true" outlineLevel="0" collapsed="false">
      <c r="B27" s="16" t="s">
        <v>1350</v>
      </c>
      <c r="C27" s="16"/>
      <c r="D27" s="16"/>
      <c r="E27" s="16"/>
      <c r="F27" s="21" t="str">
        <f aca="false">C17&amp;" × "&amp;(C19/C20)</f>
        <v>10 × 64</v>
      </c>
      <c r="G27" s="21"/>
      <c r="H27" s="21"/>
      <c r="I27" s="16" t="s">
        <v>1351</v>
      </c>
      <c r="J27" s="16"/>
      <c r="K27" s="16"/>
      <c r="L27" s="16"/>
      <c r="M27" s="16"/>
      <c r="N27" s="16"/>
    </row>
    <row r="28" customFormat="false" ht="17.25" hidden="false" customHeight="true" outlineLevel="0" collapsed="false">
      <c r="B28" s="13" t="s">
        <v>1352</v>
      </c>
      <c r="C28" s="13"/>
      <c r="D28" s="13"/>
      <c r="E28" s="13"/>
      <c r="F28" s="114" t="str">
        <f aca="false">C17&amp;" × "&amp;C17</f>
        <v>10 × 10</v>
      </c>
      <c r="G28" s="114"/>
      <c r="H28" s="114"/>
      <c r="I28" s="13" t="s">
        <v>1353</v>
      </c>
      <c r="J28" s="13"/>
      <c r="K28" s="13"/>
      <c r="L28" s="13"/>
      <c r="M28" s="13"/>
      <c r="N28" s="13"/>
    </row>
    <row r="29" customFormat="false" ht="17.25" hidden="false" customHeight="true" outlineLevel="0" collapsed="false">
      <c r="B29" s="16" t="s">
        <v>1354</v>
      </c>
      <c r="C29" s="16"/>
      <c r="D29" s="16"/>
      <c r="E29" s="16"/>
      <c r="F29" s="21" t="str">
        <f aca="false">C17&amp;" × "&amp;(C19/C20)</f>
        <v>10 × 64</v>
      </c>
      <c r="G29" s="21"/>
      <c r="H29" s="21"/>
      <c r="I29" s="16" t="s">
        <v>1355</v>
      </c>
      <c r="J29" s="16"/>
      <c r="K29" s="16"/>
      <c r="L29" s="16"/>
      <c r="M29" s="16"/>
      <c r="N29" s="16"/>
    </row>
    <row r="30" customFormat="false" ht="17.25" hidden="false" customHeight="true" outlineLevel="0" collapsed="false">
      <c r="B30" s="13" t="s">
        <v>1356</v>
      </c>
      <c r="C30" s="13"/>
      <c r="D30" s="13"/>
      <c r="E30" s="13"/>
      <c r="F30" s="114" t="str">
        <f aca="false">C17&amp;" × "&amp;C20*(C19/C20)</f>
        <v>10 × 512</v>
      </c>
      <c r="G30" s="114"/>
      <c r="H30" s="114"/>
      <c r="I30" s="13" t="s">
        <v>1357</v>
      </c>
      <c r="J30" s="13"/>
      <c r="K30" s="13"/>
      <c r="L30" s="13"/>
      <c r="M30" s="13"/>
      <c r="N30" s="13"/>
    </row>
    <row r="31" customFormat="false" ht="17.25" hidden="false" customHeight="true" outlineLevel="0" collapsed="false">
      <c r="B31" s="16" t="s">
        <v>1358</v>
      </c>
      <c r="C31" s="16"/>
      <c r="D31" s="16"/>
      <c r="E31" s="16"/>
      <c r="F31" s="21" t="str">
        <f aca="false">C17&amp;" × "&amp;C19</f>
        <v>10 × 512</v>
      </c>
      <c r="G31" s="21"/>
      <c r="H31" s="21"/>
      <c r="I31" s="16" t="s">
        <v>1359</v>
      </c>
      <c r="J31" s="16"/>
      <c r="K31" s="16"/>
      <c r="L31" s="16"/>
      <c r="M31" s="16"/>
      <c r="N31" s="16"/>
    </row>
    <row r="32" customFormat="false" ht="17.25" hidden="false" customHeight="true" outlineLevel="0" collapsed="false">
      <c r="B32" s="13" t="s">
        <v>1360</v>
      </c>
      <c r="C32" s="13"/>
      <c r="D32" s="13"/>
      <c r="E32" s="13"/>
      <c r="F32" s="114" t="str">
        <f aca="false">C17&amp;" × "&amp;C21</f>
        <v>10 × 2048</v>
      </c>
      <c r="G32" s="114"/>
      <c r="H32" s="114"/>
      <c r="I32" s="13" t="s">
        <v>1361</v>
      </c>
      <c r="J32" s="13"/>
      <c r="K32" s="13"/>
      <c r="L32" s="13"/>
      <c r="M32" s="13"/>
      <c r="N32" s="13"/>
    </row>
    <row r="33" customFormat="false" ht="17.25" hidden="false" customHeight="true" outlineLevel="0" collapsed="false">
      <c r="B33" s="16" t="s">
        <v>1362</v>
      </c>
      <c r="C33" s="16"/>
      <c r="D33" s="16"/>
      <c r="E33" s="16"/>
      <c r="F33" s="21" t="str">
        <f aca="false">C17&amp;" × "&amp;C19</f>
        <v>10 × 512</v>
      </c>
      <c r="G33" s="21"/>
      <c r="H33" s="21"/>
      <c r="I33" s="16" t="s">
        <v>1363</v>
      </c>
      <c r="J33" s="16"/>
      <c r="K33" s="16"/>
      <c r="L33" s="16"/>
      <c r="M33" s="16"/>
      <c r="N33" s="16"/>
    </row>
    <row r="34" customFormat="false" ht="17.25" hidden="false" customHeight="true" outlineLevel="0" collapsed="false">
      <c r="B34" s="13" t="s">
        <v>1364</v>
      </c>
      <c r="C34" s="13"/>
      <c r="D34" s="13"/>
      <c r="E34" s="13"/>
      <c r="F34" s="114" t="str">
        <f aca="false">C18&amp;" × "&amp;C18</f>
        <v>9 × 9</v>
      </c>
      <c r="G34" s="114"/>
      <c r="H34" s="114"/>
      <c r="I34" s="13" t="s">
        <v>1365</v>
      </c>
      <c r="J34" s="13"/>
      <c r="K34" s="13"/>
      <c r="L34" s="13"/>
      <c r="M34" s="13"/>
      <c r="N34" s="13"/>
    </row>
    <row r="35" customFormat="false" ht="17.25" hidden="false" customHeight="true" outlineLevel="0" collapsed="false">
      <c r="B35" s="16" t="s">
        <v>1366</v>
      </c>
      <c r="C35" s="16"/>
      <c r="D35" s="16"/>
      <c r="E35" s="16"/>
      <c r="F35" s="21" t="str">
        <f aca="false">C18&amp;" × "&amp;C17</f>
        <v>9 × 10</v>
      </c>
      <c r="G35" s="21"/>
      <c r="H35" s="21"/>
      <c r="I35" s="16" t="s">
        <v>1367</v>
      </c>
      <c r="J35" s="16"/>
      <c r="K35" s="16"/>
      <c r="L35" s="16"/>
      <c r="M35" s="16"/>
      <c r="N35" s="16"/>
    </row>
    <row r="36" customFormat="false" ht="17.25" hidden="false" customHeight="true" outlineLevel="0" collapsed="false">
      <c r="B36" s="13" t="s">
        <v>1368</v>
      </c>
      <c r="C36" s="13"/>
      <c r="D36" s="13"/>
      <c r="E36" s="13"/>
      <c r="F36" s="114" t="str">
        <f aca="false">C18&amp;" × "&amp;C19</f>
        <v>9 × 512</v>
      </c>
      <c r="G36" s="114"/>
      <c r="H36" s="114"/>
      <c r="I36" s="13" t="s">
        <v>1369</v>
      </c>
      <c r="J36" s="13"/>
      <c r="K36" s="13"/>
      <c r="L36" s="13"/>
      <c r="M36" s="13"/>
      <c r="N36" s="13"/>
    </row>
    <row r="37" customFormat="false" ht="17.25" hidden="false" customHeight="true" outlineLevel="0" collapsed="false">
      <c r="B37" s="16" t="s">
        <v>1370</v>
      </c>
      <c r="C37" s="16"/>
      <c r="D37" s="16"/>
      <c r="E37" s="16"/>
      <c r="F37" s="21" t="str">
        <f aca="false">C18&amp;" × "&amp;TEXT(C22,"#,##0")</f>
        <v>9 × 37,000</v>
      </c>
      <c r="G37" s="21"/>
      <c r="H37" s="21"/>
      <c r="I37" s="16" t="s">
        <v>1371</v>
      </c>
      <c r="J37" s="16"/>
      <c r="K37" s="16"/>
      <c r="L37" s="16"/>
      <c r="M37" s="16"/>
      <c r="N37" s="16"/>
    </row>
    <row r="38" customFormat="false" ht="17.25" hidden="false" customHeight="true" outlineLevel="0" collapsed="false">
      <c r="B38" s="13" t="s">
        <v>1372</v>
      </c>
      <c r="C38" s="13"/>
      <c r="D38" s="13"/>
      <c r="E38" s="13"/>
      <c r="F38" s="114" t="str">
        <f aca="false">C18&amp;" × "&amp;TEXT(C22,"#,##0")</f>
        <v>9 × 37,000</v>
      </c>
      <c r="G38" s="114"/>
      <c r="H38" s="114"/>
      <c r="I38" s="13" t="s">
        <v>1373</v>
      </c>
      <c r="J38" s="13"/>
      <c r="K38" s="13"/>
      <c r="L38" s="13"/>
      <c r="M38" s="13"/>
      <c r="N38" s="13"/>
    </row>
    <row r="40" customFormat="false" ht="21.75" hidden="false" customHeight="true" outlineLevel="0" collapsed="false">
      <c r="B40" s="4" t="s">
        <v>1374</v>
      </c>
      <c r="C40" s="4"/>
      <c r="D40" s="4"/>
      <c r="E40" s="4"/>
      <c r="F40" s="4"/>
      <c r="G40" s="4"/>
      <c r="H40" s="4"/>
      <c r="I40" s="4"/>
      <c r="J40" s="4"/>
      <c r="K40" s="4"/>
      <c r="L40" s="4"/>
      <c r="M40" s="4"/>
      <c r="N40" s="4"/>
    </row>
    <row r="41" customFormat="false" ht="31.5" hidden="false" customHeight="true" outlineLevel="0" collapsed="false">
      <c r="B41" s="19" t="s">
        <v>1375</v>
      </c>
      <c r="C41" s="19"/>
      <c r="D41" s="19"/>
      <c r="E41" s="19"/>
      <c r="F41" s="19"/>
      <c r="G41" s="19"/>
      <c r="H41" s="19"/>
      <c r="I41" s="19"/>
      <c r="J41" s="19"/>
      <c r="K41" s="19"/>
      <c r="L41" s="19"/>
      <c r="M41" s="19"/>
      <c r="N41" s="19"/>
    </row>
    <row r="42" customFormat="false" ht="17.25" hidden="false" customHeight="true" outlineLevel="0" collapsed="false">
      <c r="B42" s="11" t="s">
        <v>1376</v>
      </c>
      <c r="C42" s="11"/>
      <c r="D42" s="11"/>
      <c r="E42" s="11" t="s">
        <v>1377</v>
      </c>
      <c r="F42" s="11"/>
      <c r="G42" s="11"/>
      <c r="H42" s="11"/>
      <c r="I42" s="11"/>
      <c r="J42" s="11" t="s">
        <v>822</v>
      </c>
      <c r="K42" s="11"/>
      <c r="L42" s="11" t="s">
        <v>1130</v>
      </c>
      <c r="M42" s="11"/>
      <c r="N42" s="11"/>
    </row>
    <row r="43" customFormat="false" ht="17.25" hidden="false" customHeight="true" outlineLevel="0" collapsed="false">
      <c r="B43" s="13" t="s">
        <v>380</v>
      </c>
      <c r="C43" s="13"/>
      <c r="D43" s="13"/>
      <c r="E43" s="13" t="s">
        <v>1378</v>
      </c>
      <c r="F43" s="13"/>
      <c r="G43" s="13"/>
      <c r="H43" s="13"/>
      <c r="I43" s="13"/>
      <c r="J43" s="108" t="n">
        <v>512</v>
      </c>
      <c r="K43" s="108"/>
      <c r="L43" s="108" t="n">
        <v>1024</v>
      </c>
      <c r="M43" s="108"/>
      <c r="N43" s="108"/>
    </row>
    <row r="44" customFormat="false" ht="17.25" hidden="false" customHeight="true" outlineLevel="0" collapsed="false">
      <c r="B44" s="16" t="s">
        <v>1004</v>
      </c>
      <c r="C44" s="16"/>
      <c r="D44" s="16"/>
      <c r="E44" s="16" t="s">
        <v>1378</v>
      </c>
      <c r="F44" s="16"/>
      <c r="G44" s="16"/>
      <c r="H44" s="16"/>
      <c r="I44" s="16"/>
      <c r="J44" s="108" t="n">
        <v>2048</v>
      </c>
      <c r="K44" s="108"/>
      <c r="L44" s="108" t="n">
        <v>4096</v>
      </c>
      <c r="M44" s="108"/>
      <c r="N44" s="108"/>
    </row>
    <row r="45" customFormat="false" ht="17.25" hidden="false" customHeight="true" outlineLevel="0" collapsed="false">
      <c r="B45" s="13" t="s">
        <v>1321</v>
      </c>
      <c r="C45" s="13"/>
      <c r="D45" s="13"/>
      <c r="E45" s="13" t="s">
        <v>1378</v>
      </c>
      <c r="F45" s="13"/>
      <c r="G45" s="13"/>
      <c r="H45" s="13"/>
      <c r="I45" s="13"/>
      <c r="J45" s="108" t="n">
        <v>6</v>
      </c>
      <c r="K45" s="108"/>
      <c r="L45" s="108" t="n">
        <v>6</v>
      </c>
      <c r="M45" s="108"/>
      <c r="N45" s="108"/>
    </row>
    <row r="46" customFormat="false" ht="17.25" hidden="false" customHeight="true" outlineLevel="0" collapsed="false">
      <c r="B46" s="16" t="s">
        <v>1340</v>
      </c>
      <c r="C46" s="16"/>
      <c r="D46" s="16"/>
      <c r="E46" s="16" t="s">
        <v>1378</v>
      </c>
      <c r="F46" s="16"/>
      <c r="G46" s="16"/>
      <c r="H46" s="16"/>
      <c r="I46" s="16"/>
      <c r="J46" s="47" t="n">
        <f aca="false">C22</f>
        <v>37000</v>
      </c>
      <c r="K46" s="47"/>
      <c r="L46" s="47" t="n">
        <f aca="false">C22</f>
        <v>37000</v>
      </c>
      <c r="M46" s="47"/>
      <c r="N46" s="47"/>
    </row>
    <row r="47" customFormat="false" ht="17.25" hidden="false" customHeight="true" outlineLevel="0" collapsed="false">
      <c r="B47" s="13" t="s">
        <v>1379</v>
      </c>
      <c r="C47" s="13"/>
      <c r="D47" s="13"/>
      <c r="E47" s="13" t="s">
        <v>1380</v>
      </c>
      <c r="F47" s="13"/>
      <c r="G47" s="13"/>
      <c r="H47" s="13"/>
      <c r="I47" s="13"/>
      <c r="J47" s="46" t="n">
        <f aca="false">J46*J43</f>
        <v>18944000</v>
      </c>
      <c r="K47" s="46"/>
      <c r="L47" s="46" t="n">
        <f aca="false">L46*L43</f>
        <v>37888000</v>
      </c>
      <c r="M47" s="46"/>
      <c r="N47" s="46"/>
    </row>
    <row r="48" customFormat="false" ht="17.25" hidden="false" customHeight="true" outlineLevel="0" collapsed="false">
      <c r="B48" s="16" t="s">
        <v>1381</v>
      </c>
      <c r="C48" s="16"/>
      <c r="D48" s="16"/>
      <c r="E48" s="16" t="s">
        <v>1382</v>
      </c>
      <c r="F48" s="16"/>
      <c r="G48" s="16"/>
      <c r="H48" s="16"/>
      <c r="I48" s="16"/>
      <c r="J48" s="47" t="n">
        <f aca="false">4*J43^2+4*J43</f>
        <v>1050624</v>
      </c>
      <c r="K48" s="47"/>
      <c r="L48" s="47" t="n">
        <f aca="false">4*L43^2+4*L43</f>
        <v>4198400</v>
      </c>
      <c r="M48" s="47"/>
      <c r="N48" s="47"/>
    </row>
    <row r="49" customFormat="false" ht="17.25" hidden="false" customHeight="true" outlineLevel="0" collapsed="false">
      <c r="B49" s="13" t="s">
        <v>1383</v>
      </c>
      <c r="C49" s="13"/>
      <c r="D49" s="13"/>
      <c r="E49" s="13" t="s">
        <v>1384</v>
      </c>
      <c r="F49" s="13"/>
      <c r="G49" s="13"/>
      <c r="H49" s="13"/>
      <c r="I49" s="13"/>
      <c r="J49" s="46" t="n">
        <f aca="false">2*J43*J44+J44+J43</f>
        <v>2099712</v>
      </c>
      <c r="K49" s="46"/>
      <c r="L49" s="46" t="n">
        <f aca="false">2*L43*L44+L44+L43</f>
        <v>8393728</v>
      </c>
      <c r="M49" s="46"/>
      <c r="N49" s="46"/>
    </row>
    <row r="50" customFormat="false" ht="17.25" hidden="false" customHeight="true" outlineLevel="0" collapsed="false">
      <c r="B50" s="16" t="s">
        <v>1385</v>
      </c>
      <c r="C50" s="16"/>
      <c r="D50" s="16"/>
      <c r="E50" s="16" t="s">
        <v>1386</v>
      </c>
      <c r="F50" s="16"/>
      <c r="G50" s="16"/>
      <c r="H50" s="16"/>
      <c r="I50" s="16"/>
      <c r="J50" s="47" t="n">
        <f aca="false">2*J43</f>
        <v>1024</v>
      </c>
      <c r="K50" s="47"/>
      <c r="L50" s="47" t="n">
        <f aca="false">2*L43</f>
        <v>2048</v>
      </c>
      <c r="M50" s="47"/>
      <c r="N50" s="47"/>
    </row>
    <row r="51" customFormat="false" ht="17.25" hidden="false" customHeight="true" outlineLevel="0" collapsed="false">
      <c r="B51" s="13" t="s">
        <v>1387</v>
      </c>
      <c r="C51" s="13"/>
      <c r="D51" s="13"/>
      <c r="E51" s="13" t="s">
        <v>1388</v>
      </c>
      <c r="F51" s="13"/>
      <c r="G51" s="13"/>
      <c r="H51" s="13"/>
      <c r="I51" s="13"/>
      <c r="J51" s="46" t="n">
        <f aca="false">J48+J49+2*J50</f>
        <v>3152384</v>
      </c>
      <c r="K51" s="46"/>
      <c r="L51" s="46" t="n">
        <f aca="false">L48+L49+2*L50</f>
        <v>12596224</v>
      </c>
      <c r="M51" s="46"/>
      <c r="N51" s="46"/>
    </row>
    <row r="52" customFormat="false" ht="17.25" hidden="false" customHeight="true" outlineLevel="0" collapsed="false">
      <c r="B52" s="16" t="s">
        <v>1389</v>
      </c>
      <c r="C52" s="16"/>
      <c r="D52" s="16"/>
      <c r="E52" s="16" t="s">
        <v>1390</v>
      </c>
      <c r="F52" s="16"/>
      <c r="G52" s="16"/>
      <c r="H52" s="16"/>
      <c r="I52" s="16"/>
      <c r="J52" s="47" t="n">
        <f aca="false">2*J48+J49+3*J50</f>
        <v>4204032</v>
      </c>
      <c r="K52" s="47"/>
      <c r="L52" s="47" t="n">
        <f aca="false">2*L48+L49+3*L50</f>
        <v>16796672</v>
      </c>
      <c r="M52" s="47"/>
      <c r="N52" s="47"/>
    </row>
    <row r="53" customFormat="false" ht="17.25" hidden="false" customHeight="true" outlineLevel="0" collapsed="false">
      <c r="B53" s="13" t="s">
        <v>1391</v>
      </c>
      <c r="C53" s="13"/>
      <c r="D53" s="13"/>
      <c r="E53" s="13" t="s">
        <v>1392</v>
      </c>
      <c r="F53" s="13"/>
      <c r="G53" s="13"/>
      <c r="H53" s="13"/>
      <c r="I53" s="13"/>
      <c r="J53" s="46" t="n">
        <f aca="false">J45*J51</f>
        <v>18914304</v>
      </c>
      <c r="K53" s="46"/>
      <c r="L53" s="46" t="n">
        <f aca="false">L45*L51</f>
        <v>75577344</v>
      </c>
      <c r="M53" s="46"/>
      <c r="N53" s="46"/>
    </row>
    <row r="54" customFormat="false" ht="17.25" hidden="false" customHeight="true" outlineLevel="0" collapsed="false">
      <c r="B54" s="16" t="s">
        <v>1393</v>
      </c>
      <c r="C54" s="16"/>
      <c r="D54" s="16"/>
      <c r="E54" s="16" t="s">
        <v>1394</v>
      </c>
      <c r="F54" s="16"/>
      <c r="G54" s="16"/>
      <c r="H54" s="16"/>
      <c r="I54" s="16"/>
      <c r="J54" s="47" t="n">
        <f aca="false">J45*J52</f>
        <v>25224192</v>
      </c>
      <c r="K54" s="47"/>
      <c r="L54" s="47" t="n">
        <f aca="false">L45*L52</f>
        <v>100780032</v>
      </c>
      <c r="M54" s="47"/>
      <c r="N54" s="47"/>
    </row>
    <row r="55" customFormat="false" ht="17.25" hidden="false" customHeight="true" outlineLevel="0" collapsed="false">
      <c r="B55" s="13" t="s">
        <v>1395</v>
      </c>
      <c r="C55" s="13"/>
      <c r="D55" s="13"/>
      <c r="E55" s="13" t="s">
        <v>1396</v>
      </c>
      <c r="F55" s="13"/>
      <c r="G55" s="13"/>
      <c r="H55" s="13"/>
      <c r="I55" s="13"/>
      <c r="J55" s="115" t="n">
        <f aca="false">J47+J53+J54</f>
        <v>63082496</v>
      </c>
      <c r="K55" s="115"/>
      <c r="L55" s="115" t="n">
        <f aca="false">L47+L53+L54</f>
        <v>214245376</v>
      </c>
      <c r="M55" s="115"/>
      <c r="N55" s="115"/>
    </row>
    <row r="56" customFormat="false" ht="17.25" hidden="false" customHeight="true" outlineLevel="0" collapsed="false">
      <c r="B56" s="16" t="s">
        <v>1397</v>
      </c>
      <c r="C56" s="16"/>
      <c r="D56" s="16"/>
      <c r="E56" s="16" t="s">
        <v>1398</v>
      </c>
      <c r="F56" s="16"/>
      <c r="G56" s="16"/>
      <c r="H56" s="16"/>
      <c r="I56" s="16"/>
      <c r="J56" s="47" t="n">
        <v>65000000</v>
      </c>
      <c r="K56" s="47"/>
      <c r="L56" s="47" t="n">
        <v>213000000</v>
      </c>
      <c r="M56" s="47"/>
      <c r="N56" s="47"/>
    </row>
    <row r="57" customFormat="false" ht="17.25" hidden="false" customHeight="true" outlineLevel="0" collapsed="false">
      <c r="B57" s="13" t="s">
        <v>1399</v>
      </c>
      <c r="C57" s="13"/>
      <c r="D57" s="13"/>
      <c r="E57" s="13" t="s">
        <v>1400</v>
      </c>
      <c r="F57" s="13"/>
      <c r="G57" s="13"/>
      <c r="H57" s="13"/>
      <c r="I57" s="13"/>
      <c r="J57" s="116" t="n">
        <f aca="false">J55/J56-1</f>
        <v>-0.0295000615384615</v>
      </c>
      <c r="K57" s="116"/>
      <c r="L57" s="116" t="n">
        <f aca="false">L55/L56-1</f>
        <v>0.00584683568075128</v>
      </c>
      <c r="M57" s="116"/>
      <c r="N57" s="116"/>
    </row>
    <row r="58" customFormat="false" ht="31.5" hidden="false" customHeight="true" outlineLevel="0" collapsed="false">
      <c r="B58" s="5" t="s">
        <v>1401</v>
      </c>
      <c r="C58" s="5"/>
      <c r="D58" s="5"/>
      <c r="E58" s="5"/>
      <c r="F58" s="5"/>
      <c r="G58" s="5"/>
      <c r="H58" s="5"/>
      <c r="I58" s="5"/>
      <c r="J58" s="5"/>
      <c r="K58" s="5"/>
      <c r="L58" s="5"/>
      <c r="M58" s="5"/>
      <c r="N58" s="5"/>
    </row>
    <row r="59" customFormat="false" ht="18.75" hidden="false" customHeight="true" outlineLevel="0" collapsed="false">
      <c r="B59" s="25" t="s">
        <v>279</v>
      </c>
      <c r="C59" s="25"/>
      <c r="D59" s="25"/>
      <c r="E59" s="25"/>
      <c r="F59" s="25"/>
      <c r="G59" s="25"/>
      <c r="H59" s="25"/>
      <c r="I59" s="25"/>
      <c r="J59" s="25"/>
      <c r="K59" s="25"/>
      <c r="L59" s="25"/>
      <c r="M59" s="25"/>
      <c r="N59" s="25"/>
    </row>
    <row r="60" customFormat="false" ht="17.25" hidden="false" customHeight="true" outlineLevel="0" collapsed="false">
      <c r="B60" s="43" t="s">
        <v>1402</v>
      </c>
      <c r="C60" s="43"/>
      <c r="D60" s="43"/>
      <c r="E60" s="43"/>
      <c r="F60" s="43"/>
      <c r="G60" s="43"/>
      <c r="H60" s="43"/>
      <c r="I60" s="43"/>
      <c r="J60" s="43"/>
      <c r="K60" s="43"/>
      <c r="L60" s="43"/>
      <c r="M60" s="43"/>
      <c r="N60" s="43"/>
    </row>
    <row r="61" customFormat="false" ht="17.25" hidden="false" customHeight="true" outlineLevel="0" collapsed="false">
      <c r="B61" s="44" t="s">
        <v>1403</v>
      </c>
      <c r="C61" s="44"/>
      <c r="D61" s="44"/>
      <c r="E61" s="44"/>
      <c r="F61" s="44"/>
      <c r="G61" s="44"/>
      <c r="H61" s="44"/>
      <c r="I61" s="44"/>
      <c r="J61" s="44"/>
      <c r="K61" s="44"/>
      <c r="L61" s="44"/>
      <c r="M61" s="44"/>
      <c r="N61" s="44"/>
    </row>
    <row r="62" customFormat="false" ht="17.25" hidden="false" customHeight="true" outlineLevel="0" collapsed="false">
      <c r="B62" s="43" t="s">
        <v>1404</v>
      </c>
      <c r="C62" s="43"/>
      <c r="D62" s="43"/>
      <c r="E62" s="43"/>
      <c r="F62" s="43"/>
      <c r="G62" s="43"/>
      <c r="H62" s="43"/>
      <c r="I62" s="43"/>
      <c r="J62" s="43"/>
      <c r="K62" s="43"/>
      <c r="L62" s="43"/>
      <c r="M62" s="43"/>
      <c r="N62" s="43"/>
    </row>
    <row r="63" customFormat="false" ht="17.25" hidden="false" customHeight="true" outlineLevel="0" collapsed="false">
      <c r="B63" s="44" t="s">
        <v>1405</v>
      </c>
      <c r="C63" s="44"/>
      <c r="D63" s="44"/>
      <c r="E63" s="44"/>
      <c r="F63" s="44"/>
      <c r="G63" s="44"/>
      <c r="H63" s="44"/>
      <c r="I63" s="44"/>
      <c r="J63" s="44"/>
      <c r="K63" s="44"/>
      <c r="L63" s="44"/>
      <c r="M63" s="44"/>
      <c r="N63" s="44"/>
    </row>
  </sheetData>
  <mergeCells count="165">
    <mergeCell ref="B1:N1"/>
    <mergeCell ref="B2:N2"/>
    <mergeCell ref="B4:N4"/>
    <mergeCell ref="B5:N5"/>
    <mergeCell ref="B6:C6"/>
    <mergeCell ref="D6:I6"/>
    <mergeCell ref="J6:K6"/>
    <mergeCell ref="L6:N6"/>
    <mergeCell ref="B7:C7"/>
    <mergeCell ref="D7:I7"/>
    <mergeCell ref="J7:K7"/>
    <mergeCell ref="L7:N7"/>
    <mergeCell ref="B8:C8"/>
    <mergeCell ref="D8:I8"/>
    <mergeCell ref="J8:K8"/>
    <mergeCell ref="L8:N8"/>
    <mergeCell ref="B9:C9"/>
    <mergeCell ref="D9:I9"/>
    <mergeCell ref="J9:K9"/>
    <mergeCell ref="L9:N9"/>
    <mergeCell ref="B10:C10"/>
    <mergeCell ref="D10:I10"/>
    <mergeCell ref="J10:K10"/>
    <mergeCell ref="L10:N10"/>
    <mergeCell ref="B11:C11"/>
    <mergeCell ref="D11:I11"/>
    <mergeCell ref="J11:K11"/>
    <mergeCell ref="L11:N11"/>
    <mergeCell ref="B12:C12"/>
    <mergeCell ref="D12:I12"/>
    <mergeCell ref="J12:K12"/>
    <mergeCell ref="L12:N12"/>
    <mergeCell ref="B13:C13"/>
    <mergeCell ref="D13:I13"/>
    <mergeCell ref="J13:K13"/>
    <mergeCell ref="L13:N13"/>
    <mergeCell ref="B14:C14"/>
    <mergeCell ref="D14:I14"/>
    <mergeCell ref="J14:K14"/>
    <mergeCell ref="L14:N14"/>
    <mergeCell ref="B15:C15"/>
    <mergeCell ref="D15:I15"/>
    <mergeCell ref="J15:K15"/>
    <mergeCell ref="L15:N15"/>
    <mergeCell ref="B16:N16"/>
    <mergeCell ref="B23:E23"/>
    <mergeCell ref="F23:H23"/>
    <mergeCell ref="I23:N23"/>
    <mergeCell ref="B24:E24"/>
    <mergeCell ref="F24:H24"/>
    <mergeCell ref="I24:N24"/>
    <mergeCell ref="B25:E25"/>
    <mergeCell ref="F25:H25"/>
    <mergeCell ref="I25:N25"/>
    <mergeCell ref="B26:E26"/>
    <mergeCell ref="F26:H26"/>
    <mergeCell ref="I26:N26"/>
    <mergeCell ref="B27:E27"/>
    <mergeCell ref="F27:H27"/>
    <mergeCell ref="I27:N27"/>
    <mergeCell ref="B28:E28"/>
    <mergeCell ref="F28:H28"/>
    <mergeCell ref="I28:N28"/>
    <mergeCell ref="B29:E29"/>
    <mergeCell ref="F29:H29"/>
    <mergeCell ref="I29:N29"/>
    <mergeCell ref="B30:E30"/>
    <mergeCell ref="F30:H30"/>
    <mergeCell ref="I30:N30"/>
    <mergeCell ref="B31:E31"/>
    <mergeCell ref="F31:H31"/>
    <mergeCell ref="I31:N31"/>
    <mergeCell ref="B32:E32"/>
    <mergeCell ref="F32:H32"/>
    <mergeCell ref="I32:N32"/>
    <mergeCell ref="B33:E33"/>
    <mergeCell ref="F33:H33"/>
    <mergeCell ref="I33:N33"/>
    <mergeCell ref="B34:E34"/>
    <mergeCell ref="F34:H34"/>
    <mergeCell ref="I34:N34"/>
    <mergeCell ref="B35:E35"/>
    <mergeCell ref="F35:H35"/>
    <mergeCell ref="I35:N35"/>
    <mergeCell ref="B36:E36"/>
    <mergeCell ref="F36:H36"/>
    <mergeCell ref="I36:N36"/>
    <mergeCell ref="B37:E37"/>
    <mergeCell ref="F37:H37"/>
    <mergeCell ref="I37:N37"/>
    <mergeCell ref="B38:E38"/>
    <mergeCell ref="F38:H38"/>
    <mergeCell ref="I38:N38"/>
    <mergeCell ref="B40:N40"/>
    <mergeCell ref="B41:N41"/>
    <mergeCell ref="B42:D42"/>
    <mergeCell ref="E42:I42"/>
    <mergeCell ref="J42:K42"/>
    <mergeCell ref="L42:N42"/>
    <mergeCell ref="B43:D43"/>
    <mergeCell ref="E43:I43"/>
    <mergeCell ref="J43:K43"/>
    <mergeCell ref="L43:N43"/>
    <mergeCell ref="B44:D44"/>
    <mergeCell ref="E44:I44"/>
    <mergeCell ref="J44:K44"/>
    <mergeCell ref="L44:N44"/>
    <mergeCell ref="B45:D45"/>
    <mergeCell ref="E45:I45"/>
    <mergeCell ref="J45:K45"/>
    <mergeCell ref="L45:N45"/>
    <mergeCell ref="B46:D46"/>
    <mergeCell ref="E46:I46"/>
    <mergeCell ref="J46:K46"/>
    <mergeCell ref="L46:N46"/>
    <mergeCell ref="B47:D47"/>
    <mergeCell ref="E47:I47"/>
    <mergeCell ref="J47:K47"/>
    <mergeCell ref="L47:N47"/>
    <mergeCell ref="B48:D48"/>
    <mergeCell ref="E48:I48"/>
    <mergeCell ref="J48:K48"/>
    <mergeCell ref="L48:N48"/>
    <mergeCell ref="B49:D49"/>
    <mergeCell ref="E49:I49"/>
    <mergeCell ref="J49:K49"/>
    <mergeCell ref="L49:N49"/>
    <mergeCell ref="B50:D50"/>
    <mergeCell ref="E50:I50"/>
    <mergeCell ref="J50:K50"/>
    <mergeCell ref="L50:N50"/>
    <mergeCell ref="B51:D51"/>
    <mergeCell ref="E51:I51"/>
    <mergeCell ref="J51:K51"/>
    <mergeCell ref="L51:N51"/>
    <mergeCell ref="B52:D52"/>
    <mergeCell ref="E52:I52"/>
    <mergeCell ref="J52:K52"/>
    <mergeCell ref="L52:N52"/>
    <mergeCell ref="B53:D53"/>
    <mergeCell ref="E53:I53"/>
    <mergeCell ref="J53:K53"/>
    <mergeCell ref="L53:N53"/>
    <mergeCell ref="B54:D54"/>
    <mergeCell ref="E54:I54"/>
    <mergeCell ref="J54:K54"/>
    <mergeCell ref="L54:N54"/>
    <mergeCell ref="B55:D55"/>
    <mergeCell ref="E55:I55"/>
    <mergeCell ref="J55:K55"/>
    <mergeCell ref="L55:N55"/>
    <mergeCell ref="B56:D56"/>
    <mergeCell ref="E56:I56"/>
    <mergeCell ref="J56:K56"/>
    <mergeCell ref="L56:N56"/>
    <mergeCell ref="B57:D57"/>
    <mergeCell ref="E57:I57"/>
    <mergeCell ref="J57:K57"/>
    <mergeCell ref="L57:N57"/>
    <mergeCell ref="B58:N58"/>
    <mergeCell ref="B59:N59"/>
    <mergeCell ref="B60:N60"/>
    <mergeCell ref="B61:N61"/>
    <mergeCell ref="B62:N62"/>
    <mergeCell ref="B63:N6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pageSetUpPr fitToPage="true"/>
  </sheetPr>
  <dimension ref="B1:N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1406</v>
      </c>
      <c r="C1" s="1"/>
      <c r="D1" s="1"/>
      <c r="E1" s="1"/>
      <c r="F1" s="1"/>
      <c r="G1" s="1"/>
      <c r="H1" s="1"/>
      <c r="I1" s="1"/>
      <c r="J1" s="1"/>
      <c r="K1" s="1"/>
      <c r="L1" s="1"/>
      <c r="M1" s="1"/>
      <c r="N1" s="1"/>
    </row>
    <row r="2" customFormat="false" ht="17.25" hidden="false" customHeight="true" outlineLevel="0" collapsed="false">
      <c r="B2" s="2" t="s">
        <v>1407</v>
      </c>
      <c r="C2" s="2"/>
      <c r="D2" s="2"/>
      <c r="E2" s="2"/>
      <c r="F2" s="2"/>
      <c r="G2" s="2"/>
      <c r="H2" s="2"/>
      <c r="I2" s="2"/>
      <c r="J2" s="2"/>
      <c r="K2" s="2"/>
      <c r="L2" s="2"/>
      <c r="M2" s="2"/>
      <c r="N2" s="2"/>
    </row>
    <row r="4" customFormat="false" ht="34.5" hidden="false" customHeight="true" outlineLevel="0" collapsed="false">
      <c r="B4" s="3" t="s">
        <v>1408</v>
      </c>
      <c r="C4" s="3"/>
      <c r="D4" s="3"/>
      <c r="E4" s="3"/>
      <c r="F4" s="3"/>
      <c r="G4" s="3"/>
      <c r="H4" s="3"/>
      <c r="I4" s="3"/>
      <c r="J4" s="3"/>
      <c r="K4" s="3"/>
      <c r="L4" s="3"/>
      <c r="M4" s="3"/>
      <c r="N4" s="3"/>
    </row>
    <row r="5" customFormat="false" ht="20.25" hidden="false" customHeight="true" outlineLevel="0" collapsed="false">
      <c r="B5" s="24" t="s">
        <v>1409</v>
      </c>
      <c r="C5" s="24"/>
      <c r="D5" s="24"/>
      <c r="E5" s="24"/>
      <c r="F5" s="24"/>
      <c r="G5" s="24"/>
      <c r="H5" s="24"/>
      <c r="I5" s="24"/>
      <c r="J5" s="24"/>
      <c r="K5" s="24"/>
      <c r="L5" s="24"/>
      <c r="M5" s="24"/>
      <c r="N5" s="24"/>
    </row>
    <row r="6" customFormat="false" ht="17.25" hidden="false" customHeight="true" outlineLevel="0" collapsed="false">
      <c r="B6" s="11" t="s">
        <v>374</v>
      </c>
      <c r="C6" s="11" t="s">
        <v>375</v>
      </c>
      <c r="D6" s="11"/>
      <c r="E6" s="11"/>
      <c r="F6" s="11"/>
      <c r="G6" s="11"/>
      <c r="H6" s="11"/>
      <c r="I6" s="11"/>
      <c r="J6" s="11"/>
      <c r="K6" s="11"/>
      <c r="L6" s="11" t="s">
        <v>376</v>
      </c>
      <c r="M6" s="11"/>
      <c r="N6" s="11"/>
    </row>
    <row r="7" customFormat="false" ht="17.25" hidden="false" customHeight="true" outlineLevel="0" collapsed="false">
      <c r="B7" s="55" t="s">
        <v>1410</v>
      </c>
      <c r="C7" s="13" t="s">
        <v>1411</v>
      </c>
      <c r="D7" s="13"/>
      <c r="E7" s="13"/>
      <c r="F7" s="13"/>
      <c r="G7" s="13"/>
      <c r="H7" s="13"/>
      <c r="I7" s="13"/>
      <c r="J7" s="13"/>
      <c r="K7" s="13"/>
      <c r="L7" s="13" t="s">
        <v>86</v>
      </c>
      <c r="M7" s="13"/>
      <c r="N7" s="13"/>
    </row>
    <row r="8" customFormat="false" ht="17.25" hidden="false" customHeight="true" outlineLevel="0" collapsed="false">
      <c r="B8" s="10" t="s">
        <v>1412</v>
      </c>
      <c r="C8" s="16" t="s">
        <v>1413</v>
      </c>
      <c r="D8" s="16"/>
      <c r="E8" s="16"/>
      <c r="F8" s="16"/>
      <c r="G8" s="16"/>
      <c r="H8" s="16"/>
      <c r="I8" s="16"/>
      <c r="J8" s="16"/>
      <c r="K8" s="16"/>
      <c r="L8" s="16" t="s">
        <v>86</v>
      </c>
      <c r="M8" s="16"/>
      <c r="N8" s="16"/>
    </row>
    <row r="9" customFormat="false" ht="17.25" hidden="false" customHeight="true" outlineLevel="0" collapsed="false">
      <c r="B9" s="55" t="s">
        <v>1414</v>
      </c>
      <c r="C9" s="13" t="s">
        <v>1415</v>
      </c>
      <c r="D9" s="13"/>
      <c r="E9" s="13"/>
      <c r="F9" s="13"/>
      <c r="G9" s="13"/>
      <c r="H9" s="13"/>
      <c r="I9" s="13"/>
      <c r="J9" s="13"/>
      <c r="K9" s="13"/>
      <c r="L9" s="13" t="s">
        <v>86</v>
      </c>
      <c r="M9" s="13"/>
      <c r="N9" s="13"/>
    </row>
    <row r="10" customFormat="false" ht="17.25" hidden="false" customHeight="true" outlineLevel="0" collapsed="false">
      <c r="B10" s="10" t="s">
        <v>1416</v>
      </c>
      <c r="C10" s="16" t="s">
        <v>1417</v>
      </c>
      <c r="D10" s="16"/>
      <c r="E10" s="16"/>
      <c r="F10" s="16"/>
      <c r="G10" s="16"/>
      <c r="H10" s="16"/>
      <c r="I10" s="16"/>
      <c r="J10" s="16"/>
      <c r="K10" s="16"/>
      <c r="L10" s="16" t="s">
        <v>86</v>
      </c>
      <c r="M10" s="16"/>
      <c r="N10" s="16"/>
    </row>
    <row r="11" customFormat="false" ht="21.75" hidden="false" customHeight="true" outlineLevel="0" collapsed="false">
      <c r="B11" s="4" t="s">
        <v>1418</v>
      </c>
      <c r="C11" s="4"/>
      <c r="D11" s="4"/>
      <c r="E11" s="4"/>
      <c r="F11" s="4"/>
      <c r="G11" s="4"/>
      <c r="H11" s="4"/>
      <c r="I11" s="4"/>
      <c r="J11" s="4"/>
      <c r="K11" s="4"/>
      <c r="L11" s="4"/>
      <c r="M11" s="4"/>
      <c r="N11" s="4"/>
    </row>
    <row r="12" customFormat="false" ht="31.5" hidden="false" customHeight="true" outlineLevel="0" collapsed="false">
      <c r="B12" s="5" t="s">
        <v>1419</v>
      </c>
      <c r="C12" s="5"/>
      <c r="D12" s="5"/>
      <c r="E12" s="5"/>
      <c r="F12" s="5"/>
      <c r="G12" s="5"/>
      <c r="H12" s="5"/>
      <c r="I12" s="5"/>
      <c r="J12" s="5"/>
      <c r="K12" s="5"/>
      <c r="L12" s="5"/>
      <c r="M12" s="5"/>
      <c r="N12" s="5"/>
    </row>
    <row r="13" customFormat="false" ht="15" hidden="false" customHeight="false" outlineLevel="0" collapsed="false">
      <c r="B13" s="22" t="s">
        <v>1420</v>
      </c>
      <c r="C13" s="6" t="s">
        <v>360</v>
      </c>
      <c r="D13" s="6" t="s">
        <v>395</v>
      </c>
      <c r="E13" s="6" t="s">
        <v>1421</v>
      </c>
      <c r="F13" s="6" t="s">
        <v>1422</v>
      </c>
      <c r="G13" s="6" t="s">
        <v>360</v>
      </c>
      <c r="H13" s="6" t="s">
        <v>1423</v>
      </c>
    </row>
    <row r="14" customFormat="false" ht="15" hidden="false" customHeight="false" outlineLevel="0" collapsed="false">
      <c r="B14" s="22" t="s">
        <v>1424</v>
      </c>
      <c r="C14" s="6" t="s">
        <v>360</v>
      </c>
      <c r="D14" s="6" t="s">
        <v>360</v>
      </c>
      <c r="E14" s="6" t="s">
        <v>360</v>
      </c>
      <c r="F14" s="6" t="s">
        <v>360</v>
      </c>
    </row>
    <row r="16" customFormat="false" ht="17.25" hidden="false" customHeight="true" outlineLevel="0" collapsed="false">
      <c r="B16" s="22" t="s">
        <v>1425</v>
      </c>
      <c r="C16" s="86" t="n">
        <f aca="false">SUMPRODUCT(--(COUNTIF(C13:H13,C14:F14)&gt;0))</f>
        <v>4</v>
      </c>
      <c r="D16" s="27" t="s">
        <v>1426</v>
      </c>
      <c r="E16" s="27"/>
      <c r="F16" s="27"/>
      <c r="G16" s="27"/>
      <c r="H16" s="27"/>
      <c r="I16" s="27"/>
      <c r="J16" s="27"/>
      <c r="K16" s="27"/>
      <c r="L16" s="27"/>
      <c r="M16" s="27"/>
      <c r="N16" s="27"/>
    </row>
    <row r="17" customFormat="false" ht="15.75" hidden="false" customHeight="true" outlineLevel="0" collapsed="false">
      <c r="B17" s="22" t="s">
        <v>1427</v>
      </c>
      <c r="C17" s="86" t="n">
        <f aca="false">COUNTIF(C14:F14,"the")</f>
        <v>4</v>
      </c>
    </row>
    <row r="18" customFormat="false" ht="15.75" hidden="false" customHeight="true" outlineLevel="0" collapsed="false">
      <c r="B18" s="22" t="s">
        <v>1428</v>
      </c>
      <c r="C18" s="86" t="n">
        <f aca="false">COUNTIF(C13:H13,"the")</f>
        <v>2</v>
      </c>
    </row>
    <row r="19" customFormat="false" ht="15.75" hidden="false" customHeight="true" outlineLevel="0" collapsed="false">
      <c r="B19" s="22" t="s">
        <v>1429</v>
      </c>
      <c r="C19" s="117" t="n">
        <f aca="false">SUMPRODUCT(--(COUNTIF(C13:H13,C14:F14)&gt;0))/4</f>
        <v>1</v>
      </c>
    </row>
    <row r="20" customFormat="false" ht="17.25" hidden="false" customHeight="true" outlineLevel="0" collapsed="false">
      <c r="B20" s="22" t="s">
        <v>1430</v>
      </c>
      <c r="C20" s="118" t="n">
        <f aca="false">MIN(C17,C18)/4</f>
        <v>0.5</v>
      </c>
      <c r="D20" s="27" t="s">
        <v>1431</v>
      </c>
      <c r="E20" s="27"/>
      <c r="F20" s="27"/>
      <c r="G20" s="27"/>
      <c r="H20" s="27"/>
      <c r="I20" s="27"/>
      <c r="J20" s="27"/>
      <c r="K20" s="27"/>
      <c r="L20" s="27"/>
      <c r="M20" s="27"/>
      <c r="N20" s="27"/>
    </row>
    <row r="22" customFormat="false" ht="21.75" hidden="false" customHeight="true" outlineLevel="0" collapsed="false">
      <c r="B22" s="4" t="s">
        <v>1432</v>
      </c>
      <c r="C22" s="4"/>
      <c r="D22" s="4"/>
      <c r="E22" s="4"/>
      <c r="F22" s="4"/>
      <c r="G22" s="4"/>
      <c r="H22" s="4"/>
      <c r="I22" s="4"/>
      <c r="J22" s="4"/>
      <c r="K22" s="4"/>
      <c r="L22" s="4"/>
      <c r="M22" s="4"/>
      <c r="N22" s="4"/>
    </row>
    <row r="23" customFormat="false" ht="17.25" hidden="false" customHeight="true" outlineLevel="0" collapsed="false">
      <c r="B23" s="19" t="s">
        <v>1433</v>
      </c>
      <c r="C23" s="19"/>
      <c r="D23" s="19"/>
      <c r="E23" s="19"/>
      <c r="F23" s="19"/>
      <c r="G23" s="19"/>
      <c r="H23" s="19"/>
      <c r="I23" s="19"/>
      <c r="J23" s="19"/>
      <c r="K23" s="19"/>
      <c r="L23" s="19"/>
      <c r="M23" s="19"/>
      <c r="N23" s="19"/>
    </row>
    <row r="24" customFormat="false" ht="30" hidden="false" customHeight="true" outlineLevel="0" collapsed="false">
      <c r="B24" s="21" t="s">
        <v>1434</v>
      </c>
      <c r="C24" s="21" t="s">
        <v>1435</v>
      </c>
      <c r="D24" s="21" t="s">
        <v>1436</v>
      </c>
      <c r="E24" s="21" t="s">
        <v>1437</v>
      </c>
      <c r="F24" s="21" t="s">
        <v>1438</v>
      </c>
      <c r="H24" s="21" t="s">
        <v>1439</v>
      </c>
      <c r="I24" s="21" t="s">
        <v>1440</v>
      </c>
      <c r="J24" s="21" t="s">
        <v>1441</v>
      </c>
      <c r="K24" s="21" t="s">
        <v>1442</v>
      </c>
    </row>
    <row r="25" customFormat="false" ht="15" hidden="false" customHeight="false" outlineLevel="0" collapsed="false">
      <c r="B25" s="14" t="n">
        <v>1</v>
      </c>
      <c r="C25" s="6" t="s">
        <v>360</v>
      </c>
      <c r="D25" s="14" t="str">
        <f aca="false">IF(AND(C25&lt;&gt;"",C26&lt;&gt;""),C25&amp;" "&amp;C26,"")</f>
        <v>the cat</v>
      </c>
      <c r="E25" s="14" t="str">
        <f aca="false">IF(AND(C25&lt;&gt;"",C26&lt;&gt;"",C27&lt;&gt;""),C25&amp;" "&amp;C26&amp;" "&amp;C27,"")</f>
        <v>the cat sat</v>
      </c>
      <c r="F25" s="14" t="str">
        <f aca="false">IF(AND(C25&lt;&gt;"",C26&lt;&gt;"",C27&lt;&gt;"",C28&lt;&gt;""),C25&amp;" "&amp;C26&amp;" "&amp;C27&amp;" "&amp;C28,"")</f>
        <v>the cat sat on</v>
      </c>
      <c r="H25" s="6" t="s">
        <v>360</v>
      </c>
      <c r="I25" s="14" t="str">
        <f aca="false">IF(AND(H25&lt;&gt;"",H26&lt;&gt;""),H25&amp;" "&amp;H26,"")</f>
        <v>the cat</v>
      </c>
      <c r="J25" s="14" t="str">
        <f aca="false">IF(AND(H25&lt;&gt;"",H26&lt;&gt;"",H27&lt;&gt;""),H25&amp;" "&amp;H26&amp;" "&amp;H27,"")</f>
        <v>the cat sat</v>
      </c>
      <c r="K25" s="14" t="str">
        <f aca="false">IF(AND(H25&lt;&gt;"",H26&lt;&gt;"",H27&lt;&gt;"",H28&lt;&gt;""),H25&amp;" "&amp;H26&amp;" "&amp;H27&amp;" "&amp;H28,"")</f>
        <v>the cat sat on</v>
      </c>
    </row>
    <row r="26" customFormat="false" ht="15" hidden="false" customHeight="false" outlineLevel="0" collapsed="false">
      <c r="B26" s="14" t="n">
        <v>2</v>
      </c>
      <c r="C26" s="6" t="s">
        <v>395</v>
      </c>
      <c r="D26" s="14" t="str">
        <f aca="false">IF(AND(C26&lt;&gt;"",C27&lt;&gt;""),C26&amp;" "&amp;C27,"")</f>
        <v>cat sat</v>
      </c>
      <c r="E26" s="14" t="str">
        <f aca="false">IF(AND(C26&lt;&gt;"",C27&lt;&gt;"",C28&lt;&gt;""),C26&amp;" "&amp;C27&amp;" "&amp;C28,"")</f>
        <v>cat sat on</v>
      </c>
      <c r="F26" s="14" t="str">
        <f aca="false">IF(AND(C26&lt;&gt;"",C27&lt;&gt;"",C28&lt;&gt;"",C29&lt;&gt;""),C26&amp;" "&amp;C27&amp;" "&amp;C28&amp;" "&amp;C29,"")</f>
        <v>cat sat on mat</v>
      </c>
      <c r="H26" s="6" t="s">
        <v>395</v>
      </c>
      <c r="I26" s="14" t="str">
        <f aca="false">IF(AND(H26&lt;&gt;"",H27&lt;&gt;""),H26&amp;" "&amp;H27,"")</f>
        <v>cat sat</v>
      </c>
      <c r="J26" s="14" t="str">
        <f aca="false">IF(AND(H26&lt;&gt;"",H27&lt;&gt;"",H28&lt;&gt;""),H26&amp;" "&amp;H27&amp;" "&amp;H28,"")</f>
        <v>cat sat on</v>
      </c>
      <c r="K26" s="14" t="str">
        <f aca="false">IF(AND(H26&lt;&gt;"",H27&lt;&gt;"",H28&lt;&gt;"",H29&lt;&gt;""),H26&amp;" "&amp;H27&amp;" "&amp;H28&amp;" "&amp;H29,"")</f>
        <v>cat sat on the</v>
      </c>
    </row>
    <row r="27" customFormat="false" ht="15" hidden="false" customHeight="false" outlineLevel="0" collapsed="false">
      <c r="B27" s="14" t="n">
        <v>3</v>
      </c>
      <c r="C27" s="6" t="s">
        <v>396</v>
      </c>
      <c r="D27" s="14" t="str">
        <f aca="false">IF(AND(C27&lt;&gt;"",C28&lt;&gt;""),C27&amp;" "&amp;C28,"")</f>
        <v>sat on</v>
      </c>
      <c r="E27" s="14" t="str">
        <f aca="false">IF(AND(C27&lt;&gt;"",C28&lt;&gt;"",C29&lt;&gt;""),C27&amp;" "&amp;C28&amp;" "&amp;C29,"")</f>
        <v>sat on mat</v>
      </c>
      <c r="F27" s="14" t="str">
        <f aca="false">IF(AND(C27&lt;&gt;"",C28&lt;&gt;"",C29&lt;&gt;"",C30&lt;&gt;""),C27&amp;" "&amp;C28&amp;" "&amp;C29&amp;" "&amp;C30,"")</f>
        <v/>
      </c>
      <c r="H27" s="6" t="s">
        <v>396</v>
      </c>
      <c r="I27" s="14" t="str">
        <f aca="false">IF(AND(H27&lt;&gt;"",H28&lt;&gt;""),H27&amp;" "&amp;H28,"")</f>
        <v>sat on</v>
      </c>
      <c r="J27" s="14" t="str">
        <f aca="false">IF(AND(H27&lt;&gt;"",H28&lt;&gt;"",H29&lt;&gt;""),H27&amp;" "&amp;H28&amp;" "&amp;H29,"")</f>
        <v>sat on the</v>
      </c>
      <c r="K27" s="14" t="str">
        <f aca="false">IF(AND(H27&lt;&gt;"",H28&lt;&gt;"",H29&lt;&gt;"",H30&lt;&gt;""),H27&amp;" "&amp;H28&amp;" "&amp;H29&amp;" "&amp;H30,"")</f>
        <v>sat on the mat</v>
      </c>
    </row>
    <row r="28" customFormat="false" ht="15" hidden="false" customHeight="false" outlineLevel="0" collapsed="false">
      <c r="B28" s="14" t="n">
        <v>4</v>
      </c>
      <c r="C28" s="6" t="s">
        <v>1422</v>
      </c>
      <c r="D28" s="14" t="str">
        <f aca="false">IF(AND(C28&lt;&gt;"",C29&lt;&gt;""),C28&amp;" "&amp;C29,"")</f>
        <v>on mat</v>
      </c>
      <c r="E28" s="14" t="str">
        <f aca="false">IF(AND(C28&lt;&gt;"",C29&lt;&gt;"",C30&lt;&gt;""),C28&amp;" "&amp;C29&amp;" "&amp;C30,"")</f>
        <v/>
      </c>
      <c r="F28" s="14" t="str">
        <f aca="false">IF(AND(C28&lt;&gt;"",C29&lt;&gt;"",C30&lt;&gt;"",C31&lt;&gt;""),C28&amp;" "&amp;C29&amp;" "&amp;C30&amp;" "&amp;C31,"")</f>
        <v/>
      </c>
      <c r="H28" s="6" t="s">
        <v>1422</v>
      </c>
      <c r="I28" s="14" t="str">
        <f aca="false">IF(AND(H28&lt;&gt;"",H29&lt;&gt;""),H28&amp;" "&amp;H29,"")</f>
        <v>on the</v>
      </c>
      <c r="J28" s="14" t="str">
        <f aca="false">IF(AND(H28&lt;&gt;"",H29&lt;&gt;"",H30&lt;&gt;""),H28&amp;" "&amp;H29&amp;" "&amp;H30,"")</f>
        <v>on the mat</v>
      </c>
      <c r="K28" s="14" t="str">
        <f aca="false">IF(AND(H28&lt;&gt;"",H29&lt;&gt;"",H30&lt;&gt;"",H31&lt;&gt;""),H28&amp;" "&amp;H29&amp;" "&amp;H30&amp;" "&amp;H31,"")</f>
        <v/>
      </c>
    </row>
    <row r="29" customFormat="false" ht="15" hidden="false" customHeight="false" outlineLevel="0" collapsed="false">
      <c r="B29" s="14" t="n">
        <v>5</v>
      </c>
      <c r="C29" s="6" t="s">
        <v>1423</v>
      </c>
      <c r="D29" s="14" t="str">
        <f aca="false">IF(AND(C29&lt;&gt;"",C30&lt;&gt;""),C29&amp;" "&amp;C30,"")</f>
        <v/>
      </c>
      <c r="E29" s="14" t="str">
        <f aca="false">IF(AND(C29&lt;&gt;"",C30&lt;&gt;"",C31&lt;&gt;""),C29&amp;" "&amp;C30&amp;" "&amp;C31,"")</f>
        <v/>
      </c>
      <c r="F29" s="14" t="str">
        <f aca="false">IF(AND(C29&lt;&gt;"",C30&lt;&gt;"",C31&lt;&gt;"",C32&lt;&gt;""),C29&amp;" "&amp;C30&amp;" "&amp;C31&amp;" "&amp;C32,"")</f>
        <v/>
      </c>
      <c r="H29" s="6" t="s">
        <v>360</v>
      </c>
      <c r="I29" s="14" t="str">
        <f aca="false">IF(AND(H29&lt;&gt;"",H30&lt;&gt;""),H29&amp;" "&amp;H30,"")</f>
        <v>the mat</v>
      </c>
      <c r="J29" s="14" t="str">
        <f aca="false">IF(AND(H29&lt;&gt;"",H30&lt;&gt;"",H31&lt;&gt;""),H29&amp;" "&amp;H30&amp;" "&amp;H31,"")</f>
        <v/>
      </c>
      <c r="K29" s="14" t="str">
        <f aca="false">IF(AND(H29&lt;&gt;"",H30&lt;&gt;"",H31&lt;&gt;"",H32&lt;&gt;""),H29&amp;" "&amp;H30&amp;" "&amp;H31&amp;" "&amp;H32,"")</f>
        <v/>
      </c>
    </row>
    <row r="30" customFormat="false" ht="15" hidden="false" customHeight="false" outlineLevel="0" collapsed="false">
      <c r="B30" s="14" t="n">
        <v>6</v>
      </c>
      <c r="C30" s="6"/>
      <c r="D30" s="14" t="str">
        <f aca="false">IF(AND(C30&lt;&gt;"",C31&lt;&gt;""),C30&amp;" "&amp;C31,"")</f>
        <v/>
      </c>
      <c r="E30" s="14" t="str">
        <f aca="false">IF(AND(C30&lt;&gt;"",C31&lt;&gt;"",C32&lt;&gt;""),C30&amp;" "&amp;C31&amp;" "&amp;C32,"")</f>
        <v/>
      </c>
      <c r="F30" s="14" t="str">
        <f aca="false">""</f>
        <v/>
      </c>
      <c r="H30" s="6" t="s">
        <v>1423</v>
      </c>
      <c r="I30" s="14" t="str">
        <f aca="false">IF(AND(H30&lt;&gt;"",H31&lt;&gt;""),H30&amp;" "&amp;H31,"")</f>
        <v/>
      </c>
      <c r="J30" s="14" t="str">
        <f aca="false">IF(AND(H30&lt;&gt;"",H31&lt;&gt;"",H32&lt;&gt;""),H30&amp;" "&amp;H31&amp;" "&amp;H32,"")</f>
        <v/>
      </c>
      <c r="K30" s="14" t="str">
        <f aca="false">""</f>
        <v/>
      </c>
    </row>
    <row r="31" customFormat="false" ht="15" hidden="false" customHeight="false" outlineLevel="0" collapsed="false">
      <c r="B31" s="14" t="n">
        <v>7</v>
      </c>
      <c r="C31" s="6"/>
      <c r="D31" s="14" t="str">
        <f aca="false">IF(AND(C31&lt;&gt;"",C32&lt;&gt;""),C31&amp;" "&amp;C32,"")</f>
        <v/>
      </c>
      <c r="E31" s="14" t="str">
        <f aca="false">""</f>
        <v/>
      </c>
      <c r="F31" s="14" t="str">
        <f aca="false">""</f>
        <v/>
      </c>
      <c r="H31" s="6"/>
      <c r="I31" s="14" t="str">
        <f aca="false">IF(AND(H31&lt;&gt;"",H32&lt;&gt;""),H31&amp;" "&amp;H32,"")</f>
        <v/>
      </c>
      <c r="J31" s="14" t="str">
        <f aca="false">""</f>
        <v/>
      </c>
      <c r="K31" s="14" t="str">
        <f aca="false">""</f>
        <v/>
      </c>
    </row>
    <row r="32" customFormat="false" ht="15" hidden="false" customHeight="false" outlineLevel="0" collapsed="false">
      <c r="B32" s="14" t="n">
        <v>8</v>
      </c>
      <c r="C32" s="6"/>
      <c r="D32" s="14" t="str">
        <f aca="false">""</f>
        <v/>
      </c>
      <c r="E32" s="14" t="str">
        <f aca="false">""</f>
        <v/>
      </c>
      <c r="F32" s="14" t="str">
        <f aca="false">""</f>
        <v/>
      </c>
      <c r="H32" s="6"/>
      <c r="I32" s="14" t="str">
        <f aca="false">""</f>
        <v/>
      </c>
      <c r="J32" s="14" t="str">
        <f aca="false">""</f>
        <v/>
      </c>
      <c r="K32" s="14" t="str">
        <f aca="false">""</f>
        <v/>
      </c>
    </row>
    <row r="34" customFormat="false" ht="17.25" hidden="false" customHeight="true" outlineLevel="0" collapsed="false">
      <c r="B34" s="43" t="s">
        <v>1443</v>
      </c>
      <c r="C34" s="43"/>
      <c r="D34" s="43"/>
      <c r="E34" s="43"/>
      <c r="F34" s="43"/>
      <c r="G34" s="43"/>
      <c r="H34" s="43"/>
      <c r="I34" s="43"/>
      <c r="J34" s="43"/>
      <c r="K34" s="43"/>
      <c r="L34" s="43"/>
      <c r="M34" s="43"/>
      <c r="N34" s="43"/>
    </row>
    <row r="35" customFormat="false" ht="15" hidden="false" customHeight="false" outlineLevel="0" collapsed="false">
      <c r="B35" s="21" t="s">
        <v>1434</v>
      </c>
      <c r="C35" s="21" t="s">
        <v>1444</v>
      </c>
      <c r="D35" s="21" t="s">
        <v>1445</v>
      </c>
      <c r="E35" s="21" t="s">
        <v>1446</v>
      </c>
      <c r="F35" s="21" t="s">
        <v>1447</v>
      </c>
    </row>
    <row r="36" customFormat="false" ht="15" hidden="false" customHeight="false" outlineLevel="0" collapsed="false">
      <c r="B36" s="14" t="n">
        <v>1</v>
      </c>
      <c r="C36" s="69" t="n">
        <f aca="false">IF(C25="",0,MIN(COUNTIF($C$25:$C$32,C25),COUNTIF($H$25:$H$32,C25))/COUNTIF($C$25:$C$32,C25))</f>
        <v>1</v>
      </c>
      <c r="D36" s="69" t="n">
        <f aca="false">IF(D25="",0,MIN(COUNTIF($D$25:$D$32,D25),COUNTIF($I$25:$I$32,D25))/COUNTIF($D$25:$D$32,D25))</f>
        <v>1</v>
      </c>
      <c r="E36" s="69" t="n">
        <f aca="false">IF(E25="",0,MIN(COUNTIF($E$25:$E$32,E25),COUNTIF($J$25:$J$32,E25))/COUNTIF($E$25:$E$32,E25))</f>
        <v>1</v>
      </c>
      <c r="F36" s="69" t="n">
        <f aca="false">IF(F25="",0,MIN(COUNTIF($F$25:$F$32,F25),COUNTIF($K$25:$K$32,F25))/COUNTIF($F$25:$F$32,F25))</f>
        <v>1</v>
      </c>
    </row>
    <row r="37" customFormat="false" ht="15" hidden="false" customHeight="false" outlineLevel="0" collapsed="false">
      <c r="B37" s="14" t="n">
        <v>2</v>
      </c>
      <c r="C37" s="69" t="n">
        <f aca="false">IF(C26="",0,MIN(COUNTIF($C$25:$C$32,C26),COUNTIF($H$25:$H$32,C26))/COUNTIF($C$25:$C$32,C26))</f>
        <v>1</v>
      </c>
      <c r="D37" s="69" t="n">
        <f aca="false">IF(D26="",0,MIN(COUNTIF($D$25:$D$32,D26),COUNTIF($I$25:$I$32,D26))/COUNTIF($D$25:$D$32,D26))</f>
        <v>1</v>
      </c>
      <c r="E37" s="69" t="n">
        <f aca="false">IF(E26="",0,MIN(COUNTIF($E$25:$E$32,E26),COUNTIF($J$25:$J$32,E26))/COUNTIF($E$25:$E$32,E26))</f>
        <v>1</v>
      </c>
      <c r="F37" s="69" t="n">
        <f aca="false">IF(F26="",0,MIN(COUNTIF($F$25:$F$32,F26),COUNTIF($K$25:$K$32,F26))/COUNTIF($F$25:$F$32,F26))</f>
        <v>0</v>
      </c>
    </row>
    <row r="38" customFormat="false" ht="15" hidden="false" customHeight="false" outlineLevel="0" collapsed="false">
      <c r="B38" s="14" t="n">
        <v>3</v>
      </c>
      <c r="C38" s="69" t="n">
        <f aca="false">IF(C27="",0,MIN(COUNTIF($C$25:$C$32,C27),COUNTIF($H$25:$H$32,C27))/COUNTIF($C$25:$C$32,C27))</f>
        <v>1</v>
      </c>
      <c r="D38" s="69" t="n">
        <f aca="false">IF(D27="",0,MIN(COUNTIF($D$25:$D$32,D27),COUNTIF($I$25:$I$32,D27))/COUNTIF($D$25:$D$32,D27))</f>
        <v>1</v>
      </c>
      <c r="E38" s="69" t="n">
        <f aca="false">IF(E27="",0,MIN(COUNTIF($E$25:$E$32,E27),COUNTIF($J$25:$J$32,E27))/COUNTIF($E$25:$E$32,E27))</f>
        <v>0</v>
      </c>
      <c r="F38" s="69" t="n">
        <f aca="false">IF(F27="",0,MIN(COUNTIF($F$25:$F$32,F27),COUNTIF($K$25:$K$32,F27))/COUNTIF($F$25:$F$32,F27))</f>
        <v>0</v>
      </c>
    </row>
    <row r="39" customFormat="false" ht="15" hidden="false" customHeight="false" outlineLevel="0" collapsed="false">
      <c r="B39" s="14" t="n">
        <v>4</v>
      </c>
      <c r="C39" s="69" t="n">
        <f aca="false">IF(C28="",0,MIN(COUNTIF($C$25:$C$32,C28),COUNTIF($H$25:$H$32,C28))/COUNTIF($C$25:$C$32,C28))</f>
        <v>1</v>
      </c>
      <c r="D39" s="69" t="n">
        <f aca="false">IF(D28="",0,MIN(COUNTIF($D$25:$D$32,D28),COUNTIF($I$25:$I$32,D28))/COUNTIF($D$25:$D$32,D28))</f>
        <v>0</v>
      </c>
      <c r="E39" s="69" t="n">
        <f aca="false">IF(E28="",0,MIN(COUNTIF($E$25:$E$32,E28),COUNTIF($J$25:$J$32,E28))/COUNTIF($E$25:$E$32,E28))</f>
        <v>0</v>
      </c>
      <c r="F39" s="69" t="n">
        <f aca="false">IF(F28="",0,MIN(COUNTIF($F$25:$F$32,F28),COUNTIF($K$25:$K$32,F28))/COUNTIF($F$25:$F$32,F28))</f>
        <v>0</v>
      </c>
    </row>
    <row r="40" customFormat="false" ht="15" hidden="false" customHeight="false" outlineLevel="0" collapsed="false">
      <c r="B40" s="14" t="n">
        <v>5</v>
      </c>
      <c r="C40" s="69" t="n">
        <f aca="false">IF(C29="",0,MIN(COUNTIF($C$25:$C$32,C29),COUNTIF($H$25:$H$32,C29))/COUNTIF($C$25:$C$32,C29))</f>
        <v>1</v>
      </c>
      <c r="D40" s="69" t="n">
        <f aca="false">IF(D29="",0,MIN(COUNTIF($D$25:$D$32,D29),COUNTIF($I$25:$I$32,D29))/COUNTIF($D$25:$D$32,D29))</f>
        <v>0</v>
      </c>
      <c r="E40" s="69" t="n">
        <f aca="false">IF(E29="",0,MIN(COUNTIF($E$25:$E$32,E29),COUNTIF($J$25:$J$32,E29))/COUNTIF($E$25:$E$32,E29))</f>
        <v>0</v>
      </c>
      <c r="F40" s="69" t="n">
        <f aca="false">IF(F29="",0,MIN(COUNTIF($F$25:$F$32,F29),COUNTIF($K$25:$K$32,F29))/COUNTIF($F$25:$F$32,F29))</f>
        <v>0</v>
      </c>
    </row>
    <row r="41" customFormat="false" ht="15" hidden="false" customHeight="false" outlineLevel="0" collapsed="false">
      <c r="B41" s="14" t="n">
        <v>6</v>
      </c>
      <c r="C41" s="69" t="n">
        <f aca="false">IF(C30="",0,MIN(COUNTIF($C$25:$C$32,C30),COUNTIF($H$25:$H$32,C30))/COUNTIF($C$25:$C$32,C30))</f>
        <v>0</v>
      </c>
      <c r="D41" s="69" t="n">
        <f aca="false">IF(D30="",0,MIN(COUNTIF($D$25:$D$32,D30),COUNTIF($I$25:$I$32,D30))/COUNTIF($D$25:$D$32,D30))</f>
        <v>0</v>
      </c>
      <c r="E41" s="69" t="n">
        <f aca="false">IF(E30="",0,MIN(COUNTIF($E$25:$E$32,E30),COUNTIF($J$25:$J$32,E30))/COUNTIF($E$25:$E$32,E30))</f>
        <v>0</v>
      </c>
      <c r="F41" s="69" t="n">
        <f aca="false">IF(F30="",0,MIN(COUNTIF($F$25:$F$32,F30),COUNTIF($K$25:$K$32,F30))/COUNTIF($F$25:$F$32,F30))</f>
        <v>0</v>
      </c>
    </row>
    <row r="42" customFormat="false" ht="15" hidden="false" customHeight="false" outlineLevel="0" collapsed="false">
      <c r="B42" s="14" t="n">
        <v>7</v>
      </c>
      <c r="C42" s="69" t="n">
        <f aca="false">IF(C31="",0,MIN(COUNTIF($C$25:$C$32,C31),COUNTIF($H$25:$H$32,C31))/COUNTIF($C$25:$C$32,C31))</f>
        <v>0</v>
      </c>
      <c r="D42" s="69" t="n">
        <f aca="false">IF(D31="",0,MIN(COUNTIF($D$25:$D$32,D31),COUNTIF($I$25:$I$32,D31))/COUNTIF($D$25:$D$32,D31))</f>
        <v>0</v>
      </c>
      <c r="E42" s="69" t="n">
        <f aca="false">IF(E31="",0,MIN(COUNTIF($E$25:$E$32,E31),COUNTIF($J$25:$J$32,E31))/COUNTIF($E$25:$E$32,E31))</f>
        <v>0</v>
      </c>
      <c r="F42" s="69" t="n">
        <f aca="false">IF(F31="",0,MIN(COUNTIF($F$25:$F$32,F31),COUNTIF($K$25:$K$32,F31))/COUNTIF($F$25:$F$32,F31))</f>
        <v>0</v>
      </c>
    </row>
    <row r="43" customFormat="false" ht="15" hidden="false" customHeight="false" outlineLevel="0" collapsed="false">
      <c r="B43" s="14" t="n">
        <v>8</v>
      </c>
      <c r="C43" s="69" t="n">
        <f aca="false">IF(C32="",0,MIN(COUNTIF($C$25:$C$32,C32),COUNTIF($H$25:$H$32,C32))/COUNTIF($C$25:$C$32,C32))</f>
        <v>0</v>
      </c>
      <c r="D43" s="69" t="n">
        <f aca="false">IF(D32="",0,MIN(COUNTIF($D$25:$D$32,D32),COUNTIF($I$25:$I$32,D32))/COUNTIF($D$25:$D$32,D32))</f>
        <v>0</v>
      </c>
      <c r="E43" s="69" t="n">
        <f aca="false">IF(E32="",0,MIN(COUNTIF($E$25:$E$32,E32),COUNTIF($J$25:$J$32,E32))/COUNTIF($E$25:$E$32,E32))</f>
        <v>0</v>
      </c>
      <c r="F43" s="69" t="n">
        <f aca="false">IF(F32="",0,MIN(COUNTIF($F$25:$F$32,F32),COUNTIF($K$25:$K$32,F32))/COUNTIF($F$25:$F$32,F32))</f>
        <v>0</v>
      </c>
    </row>
    <row r="45" customFormat="false" ht="17.25" hidden="false" customHeight="true" outlineLevel="0" collapsed="false">
      <c r="B45" s="11" t="s">
        <v>1295</v>
      </c>
      <c r="C45" s="11"/>
      <c r="D45" s="11" t="s">
        <v>1448</v>
      </c>
      <c r="E45" s="11"/>
      <c r="F45" s="11" t="s">
        <v>1449</v>
      </c>
      <c r="G45" s="11"/>
      <c r="H45" s="11" t="s">
        <v>1450</v>
      </c>
      <c r="I45" s="11"/>
      <c r="J45" s="11" t="s">
        <v>1451</v>
      </c>
      <c r="K45" s="11"/>
    </row>
    <row r="46" customFormat="false" ht="17.25" hidden="false" customHeight="true" outlineLevel="0" collapsed="false">
      <c r="B46" s="13" t="s">
        <v>1452</v>
      </c>
      <c r="C46" s="13"/>
      <c r="D46" s="119" t="n">
        <f aca="false">SUM(C36:C43)</f>
        <v>5</v>
      </c>
      <c r="E46" s="119"/>
      <c r="F46" s="57" t="n">
        <f aca="false">COUNTIF(C25:C32,"?*")</f>
        <v>5</v>
      </c>
      <c r="G46" s="57"/>
      <c r="H46" s="59" t="n">
        <f aca="false">IF(F46=0,0,D46/F46)</f>
        <v>1</v>
      </c>
      <c r="I46" s="59"/>
      <c r="J46" s="31" t="n">
        <f aca="false">IF(H46&gt;0,LN(H46),"p=0 → BLEU 0")</f>
        <v>0</v>
      </c>
      <c r="K46" s="31"/>
    </row>
    <row r="47" customFormat="false" ht="17.25" hidden="false" customHeight="true" outlineLevel="0" collapsed="false">
      <c r="B47" s="16" t="s">
        <v>1453</v>
      </c>
      <c r="C47" s="16"/>
      <c r="D47" s="120" t="n">
        <f aca="false">SUM(D36:D43)</f>
        <v>3</v>
      </c>
      <c r="E47" s="120"/>
      <c r="F47" s="87" t="n">
        <f aca="false">COUNTIF(D25:D32,"?*")</f>
        <v>4</v>
      </c>
      <c r="G47" s="87"/>
      <c r="H47" s="60" t="n">
        <f aca="false">IF(F47=0,0,D47/F47)</f>
        <v>0.75</v>
      </c>
      <c r="I47" s="60"/>
      <c r="J47" s="33" t="n">
        <f aca="false">IF(H47&gt;0,LN(H47),"p=0 → BLEU 0")</f>
        <v>-0.287682072451781</v>
      </c>
      <c r="K47" s="33"/>
    </row>
    <row r="48" customFormat="false" ht="17.25" hidden="false" customHeight="true" outlineLevel="0" collapsed="false">
      <c r="B48" s="13" t="s">
        <v>1454</v>
      </c>
      <c r="C48" s="13"/>
      <c r="D48" s="119" t="n">
        <f aca="false">SUM(E36:E43)</f>
        <v>2</v>
      </c>
      <c r="E48" s="119"/>
      <c r="F48" s="57" t="n">
        <f aca="false">COUNTIF(E25:E32,"?*")</f>
        <v>3</v>
      </c>
      <c r="G48" s="57"/>
      <c r="H48" s="59" t="n">
        <f aca="false">IF(F48=0,0,D48/F48)</f>
        <v>0.666666666666667</v>
      </c>
      <c r="I48" s="59"/>
      <c r="J48" s="31" t="n">
        <f aca="false">IF(H48&gt;0,LN(H48),"p=0 → BLEU 0")</f>
        <v>-0.405465108108164</v>
      </c>
      <c r="K48" s="31"/>
    </row>
    <row r="49" customFormat="false" ht="17.25" hidden="false" customHeight="true" outlineLevel="0" collapsed="false">
      <c r="B49" s="16" t="s">
        <v>1455</v>
      </c>
      <c r="C49" s="16"/>
      <c r="D49" s="120" t="n">
        <f aca="false">SUM(F36:F43)</f>
        <v>1</v>
      </c>
      <c r="E49" s="120"/>
      <c r="F49" s="87" t="n">
        <f aca="false">COUNTIF(F25:F32,"?*")</f>
        <v>2</v>
      </c>
      <c r="G49" s="87"/>
      <c r="H49" s="60" t="n">
        <f aca="false">IF(F49=0,0,D49/F49)</f>
        <v>0.5</v>
      </c>
      <c r="I49" s="60"/>
      <c r="J49" s="33" t="n">
        <f aca="false">IF(H49&gt;0,LN(H49),"p=0 → BLEU 0")</f>
        <v>-0.693147180559945</v>
      </c>
      <c r="K49" s="33"/>
    </row>
    <row r="50" customFormat="false" ht="15.75" hidden="false" customHeight="true" outlineLevel="0" collapsed="false">
      <c r="B50" s="22" t="s">
        <v>1456</v>
      </c>
      <c r="C50" s="86" t="n">
        <f aca="false">COUNTIF(C25:C32,"?*")</f>
        <v>5</v>
      </c>
    </row>
    <row r="51" customFormat="false" ht="15.75" hidden="false" customHeight="true" outlineLevel="0" collapsed="false">
      <c r="B51" s="22" t="s">
        <v>1457</v>
      </c>
      <c r="C51" s="86" t="n">
        <f aca="false">COUNTIF(H25:H32,"?*")</f>
        <v>6</v>
      </c>
    </row>
    <row r="52" customFormat="false" ht="17.25" hidden="false" customHeight="true" outlineLevel="0" collapsed="false">
      <c r="B52" s="22" t="s">
        <v>1458</v>
      </c>
      <c r="C52" s="102" t="n">
        <f aca="false">IF(C50&gt;C51,1,EXP(1-C51/C50))</f>
        <v>0.818730753077982</v>
      </c>
      <c r="D52" s="27" t="s">
        <v>1459</v>
      </c>
      <c r="E52" s="27"/>
      <c r="F52" s="27"/>
      <c r="G52" s="27"/>
      <c r="H52" s="27"/>
      <c r="I52" s="27"/>
      <c r="J52" s="27"/>
      <c r="K52" s="27"/>
      <c r="L52" s="27"/>
      <c r="M52" s="27"/>
      <c r="N52" s="27"/>
    </row>
    <row r="53" customFormat="false" ht="15.75" hidden="false" customHeight="true" outlineLevel="0" collapsed="false">
      <c r="B53" s="22" t="s">
        <v>1257</v>
      </c>
      <c r="C53" s="111" t="n">
        <f aca="false">IF(MIN(H46:H49)=0,0,C52*EXP(AVERAGE(J46:J49)))</f>
        <v>0.57893006746741</v>
      </c>
    </row>
    <row r="54" customFormat="false" ht="17.25" hidden="false" customHeight="true" outlineLevel="0" collapsed="false">
      <c r="B54" s="22" t="s">
        <v>1460</v>
      </c>
      <c r="C54" s="121" t="n">
        <f aca="false">C53*100</f>
        <v>57.893006746741</v>
      </c>
      <c r="D54" s="27" t="s">
        <v>1461</v>
      </c>
      <c r="E54" s="27"/>
      <c r="F54" s="27"/>
      <c r="G54" s="27"/>
      <c r="H54" s="27"/>
      <c r="I54" s="27"/>
      <c r="J54" s="27"/>
      <c r="K54" s="27"/>
      <c r="L54" s="27"/>
      <c r="M54" s="27"/>
      <c r="N54" s="27"/>
    </row>
    <row r="55" customFormat="false" ht="15.75" hidden="false" customHeight="true" outlineLevel="0" collapsed="false">
      <c r="B55" s="10" t="s">
        <v>15</v>
      </c>
      <c r="C55" s="29" t="str">
        <f aca="false">"BLEU = "&amp;IF(ROUND(C52,3)&lt;0,"("&amp;ROUND(C52,3)&amp;")",ROUND(C52,3)&amp;"")&amp;" × exp( ("&amp;IF(ROUND(J46,3)&lt;0,"("&amp;ROUND(J46,3)&amp;")",ROUND(J46,3)&amp;"")&amp;" + "&amp;IF(ROUND(J47,3)&lt;0,"("&amp;ROUND(J47,3)&amp;")",ROUND(J47,3)&amp;"")&amp;" + "&amp;IF(ROUND(J48,3)&lt;0,"("&amp;ROUND(J48,3)&amp;")",ROUND(J48,3)&amp;"")&amp;" + "&amp;IF(ROUND(J49,3)&lt;0,"("&amp;ROUND(J49,3)&amp;")",ROUND(J49,3)&amp;"")&amp;") ÷ 4 ) = "&amp;IF(ROUND(C53,3)&lt;0,"("&amp;ROUND(C53,3)&amp;")",ROUND(C53,3)&amp;"")</f>
        <v>BLEU = 0.819 × exp( (0 + (-0.288) + (-0.405) + (-0.693)) ÷ 4 ) = 0.579</v>
      </c>
      <c r="D55" s="29"/>
      <c r="E55" s="29"/>
      <c r="F55" s="29"/>
      <c r="G55" s="29"/>
      <c r="H55" s="29"/>
      <c r="I55" s="29"/>
      <c r="J55" s="29"/>
      <c r="K55" s="29"/>
      <c r="L55" s="29"/>
      <c r="M55" s="29"/>
      <c r="N55" s="29"/>
    </row>
    <row r="56" customFormat="false" ht="31.5" hidden="false" customHeight="true" outlineLevel="0" collapsed="false">
      <c r="B56" s="18" t="s">
        <v>1462</v>
      </c>
      <c r="C56" s="18"/>
      <c r="D56" s="18"/>
      <c r="E56" s="18"/>
      <c r="F56" s="18"/>
      <c r="G56" s="18"/>
      <c r="H56" s="18"/>
      <c r="I56" s="18"/>
      <c r="J56" s="18"/>
      <c r="K56" s="18"/>
      <c r="L56" s="18"/>
      <c r="M56" s="18"/>
      <c r="N56" s="18"/>
    </row>
    <row r="57" customFormat="false" ht="18.75" hidden="false" customHeight="true" outlineLevel="0" collapsed="false">
      <c r="B57" s="25" t="s">
        <v>279</v>
      </c>
      <c r="C57" s="25"/>
      <c r="D57" s="25"/>
      <c r="E57" s="25"/>
      <c r="F57" s="25"/>
      <c r="G57" s="25"/>
      <c r="H57" s="25"/>
      <c r="I57" s="25"/>
      <c r="J57" s="25"/>
      <c r="K57" s="25"/>
      <c r="L57" s="25"/>
      <c r="M57" s="25"/>
      <c r="N57" s="25"/>
    </row>
    <row r="58" customFormat="false" ht="17.25" hidden="false" customHeight="true" outlineLevel="0" collapsed="false">
      <c r="B58" s="43" t="s">
        <v>1463</v>
      </c>
      <c r="C58" s="43"/>
      <c r="D58" s="43"/>
      <c r="E58" s="43"/>
      <c r="F58" s="43"/>
      <c r="G58" s="43"/>
      <c r="H58" s="43"/>
      <c r="I58" s="43"/>
      <c r="J58" s="43"/>
      <c r="K58" s="43"/>
      <c r="L58" s="43"/>
      <c r="M58" s="43"/>
      <c r="N58" s="43"/>
    </row>
    <row r="59" customFormat="false" ht="17.25" hidden="false" customHeight="true" outlineLevel="0" collapsed="false">
      <c r="B59" s="44" t="s">
        <v>1464</v>
      </c>
      <c r="C59" s="44"/>
      <c r="D59" s="44"/>
      <c r="E59" s="44"/>
      <c r="F59" s="44"/>
      <c r="G59" s="44"/>
      <c r="H59" s="44"/>
      <c r="I59" s="44"/>
      <c r="J59" s="44"/>
      <c r="K59" s="44"/>
      <c r="L59" s="44"/>
      <c r="M59" s="44"/>
      <c r="N59" s="44"/>
    </row>
    <row r="60" customFormat="false" ht="17.25" hidden="false" customHeight="true" outlineLevel="0" collapsed="false">
      <c r="B60" s="43" t="s">
        <v>1465</v>
      </c>
      <c r="C60" s="43"/>
      <c r="D60" s="43"/>
      <c r="E60" s="43"/>
      <c r="F60" s="43"/>
      <c r="G60" s="43"/>
      <c r="H60" s="43"/>
      <c r="I60" s="43"/>
      <c r="J60" s="43"/>
      <c r="K60" s="43"/>
      <c r="L60" s="43"/>
      <c r="M60" s="43"/>
      <c r="N60" s="43"/>
    </row>
    <row r="61" customFormat="false" ht="17.25" hidden="false" customHeight="true" outlineLevel="0" collapsed="false">
      <c r="B61" s="44" t="s">
        <v>1466</v>
      </c>
      <c r="C61" s="44"/>
      <c r="D61" s="44"/>
      <c r="E61" s="44"/>
      <c r="F61" s="44"/>
      <c r="G61" s="44"/>
      <c r="H61" s="44"/>
      <c r="I61" s="44"/>
      <c r="J61" s="44"/>
      <c r="K61" s="44"/>
      <c r="L61" s="44"/>
      <c r="M61" s="44"/>
      <c r="N61" s="44"/>
    </row>
  </sheetData>
  <mergeCells count="55">
    <mergeCell ref="B1:N1"/>
    <mergeCell ref="B2:N2"/>
    <mergeCell ref="B4:N4"/>
    <mergeCell ref="B5:N5"/>
    <mergeCell ref="C6:K6"/>
    <mergeCell ref="L6:N6"/>
    <mergeCell ref="C7:K7"/>
    <mergeCell ref="L7:N7"/>
    <mergeCell ref="C8:K8"/>
    <mergeCell ref="L8:N8"/>
    <mergeCell ref="C9:K9"/>
    <mergeCell ref="L9:N9"/>
    <mergeCell ref="C10:K10"/>
    <mergeCell ref="L10:N10"/>
    <mergeCell ref="B11:N11"/>
    <mergeCell ref="B12:N12"/>
    <mergeCell ref="D16:N16"/>
    <mergeCell ref="D20:N20"/>
    <mergeCell ref="B22:N22"/>
    <mergeCell ref="B23:N23"/>
    <mergeCell ref="B34:N34"/>
    <mergeCell ref="B45:C45"/>
    <mergeCell ref="D45:E45"/>
    <mergeCell ref="F45:G45"/>
    <mergeCell ref="H45:I45"/>
    <mergeCell ref="J45:K45"/>
    <mergeCell ref="B46:C46"/>
    <mergeCell ref="D46:E46"/>
    <mergeCell ref="F46:G46"/>
    <mergeCell ref="H46:I46"/>
    <mergeCell ref="J46:K46"/>
    <mergeCell ref="B47:C47"/>
    <mergeCell ref="D47:E47"/>
    <mergeCell ref="F47:G47"/>
    <mergeCell ref="H47:I47"/>
    <mergeCell ref="J47:K47"/>
    <mergeCell ref="B48:C48"/>
    <mergeCell ref="D48:E48"/>
    <mergeCell ref="F48:G48"/>
    <mergeCell ref="H48:I48"/>
    <mergeCell ref="J48:K48"/>
    <mergeCell ref="B49:C49"/>
    <mergeCell ref="D49:E49"/>
    <mergeCell ref="F49:G49"/>
    <mergeCell ref="H49:I49"/>
    <mergeCell ref="J49:K49"/>
    <mergeCell ref="D52:N52"/>
    <mergeCell ref="D54:N54"/>
    <mergeCell ref="C55:N55"/>
    <mergeCell ref="B56:N56"/>
    <mergeCell ref="B57:N57"/>
    <mergeCell ref="B58:N58"/>
    <mergeCell ref="B59:N59"/>
    <mergeCell ref="B60:N60"/>
    <mergeCell ref="B61:N6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pageSetUpPr fitToPage="true"/>
  </sheetPr>
  <dimension ref="B1:N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1467</v>
      </c>
      <c r="C1" s="1"/>
      <c r="D1" s="1"/>
      <c r="E1" s="1"/>
      <c r="F1" s="1"/>
      <c r="G1" s="1"/>
      <c r="H1" s="1"/>
      <c r="I1" s="1"/>
      <c r="J1" s="1"/>
      <c r="K1" s="1"/>
      <c r="L1" s="1"/>
      <c r="M1" s="1"/>
      <c r="N1" s="1"/>
    </row>
    <row r="2" customFormat="false" ht="17.25" hidden="false" customHeight="true" outlineLevel="0" collapsed="false">
      <c r="B2" s="2" t="s">
        <v>1468</v>
      </c>
      <c r="C2" s="2"/>
      <c r="D2" s="2"/>
      <c r="E2" s="2"/>
      <c r="F2" s="2"/>
      <c r="G2" s="2"/>
      <c r="H2" s="2"/>
      <c r="I2" s="2"/>
      <c r="J2" s="2"/>
      <c r="K2" s="2"/>
      <c r="L2" s="2"/>
      <c r="M2" s="2"/>
      <c r="N2" s="2"/>
    </row>
    <row r="4" customFormat="false" ht="34.5" hidden="false" customHeight="true" outlineLevel="0" collapsed="false">
      <c r="B4" s="3" t="s">
        <v>1469</v>
      </c>
      <c r="C4" s="3"/>
      <c r="D4" s="3"/>
      <c r="E4" s="3"/>
      <c r="F4" s="3"/>
      <c r="G4" s="3"/>
      <c r="H4" s="3"/>
      <c r="I4" s="3"/>
      <c r="J4" s="3"/>
      <c r="K4" s="3"/>
      <c r="L4" s="3"/>
      <c r="M4" s="3"/>
      <c r="N4" s="3"/>
    </row>
    <row r="5" customFormat="false" ht="21.75" hidden="false" customHeight="true" outlineLevel="0" collapsed="false">
      <c r="B5" s="4" t="s">
        <v>1470</v>
      </c>
      <c r="C5" s="4"/>
      <c r="D5" s="4"/>
      <c r="E5" s="4"/>
      <c r="F5" s="4"/>
      <c r="G5" s="4"/>
      <c r="H5" s="4"/>
      <c r="I5" s="4"/>
      <c r="J5" s="4"/>
      <c r="K5" s="4"/>
      <c r="L5" s="4"/>
      <c r="M5" s="4"/>
      <c r="N5" s="4"/>
    </row>
    <row r="6" customFormat="false" ht="17.25" hidden="false" customHeight="true" outlineLevel="0" collapsed="false">
      <c r="B6" s="11" t="s">
        <v>1108</v>
      </c>
      <c r="C6" s="11"/>
      <c r="D6" s="11"/>
      <c r="E6" s="11"/>
      <c r="F6" s="11" t="s">
        <v>1471</v>
      </c>
      <c r="G6" s="11"/>
      <c r="H6" s="11" t="s">
        <v>1472</v>
      </c>
      <c r="I6" s="11"/>
      <c r="J6" s="11" t="s">
        <v>1473</v>
      </c>
      <c r="K6" s="11"/>
      <c r="L6" s="11" t="s">
        <v>1474</v>
      </c>
      <c r="M6" s="11"/>
      <c r="N6" s="11"/>
    </row>
    <row r="7" customFormat="false" ht="17.25" hidden="false" customHeight="true" outlineLevel="0" collapsed="false">
      <c r="B7" s="13" t="s">
        <v>1475</v>
      </c>
      <c r="C7" s="13"/>
      <c r="D7" s="13"/>
      <c r="E7" s="13"/>
      <c r="F7" s="69" t="n">
        <v>23.75</v>
      </c>
      <c r="G7" s="69"/>
      <c r="H7" s="69"/>
      <c r="I7" s="69"/>
      <c r="J7" s="122"/>
      <c r="K7" s="122"/>
      <c r="L7" s="122"/>
      <c r="M7" s="122"/>
      <c r="N7" s="122"/>
    </row>
    <row r="8" customFormat="false" ht="17.25" hidden="false" customHeight="true" outlineLevel="0" collapsed="false">
      <c r="B8" s="16" t="s">
        <v>1476</v>
      </c>
      <c r="C8" s="16"/>
      <c r="D8" s="16"/>
      <c r="E8" s="16"/>
      <c r="F8" s="82"/>
      <c r="G8" s="82"/>
      <c r="H8" s="82" t="n">
        <v>39.2</v>
      </c>
      <c r="I8" s="82"/>
      <c r="J8" s="123"/>
      <c r="K8" s="123"/>
      <c r="L8" s="123" t="n">
        <v>1E+020</v>
      </c>
      <c r="M8" s="123"/>
      <c r="N8" s="123"/>
    </row>
    <row r="9" customFormat="false" ht="17.25" hidden="false" customHeight="true" outlineLevel="0" collapsed="false">
      <c r="B9" s="13" t="s">
        <v>1477</v>
      </c>
      <c r="C9" s="13"/>
      <c r="D9" s="13"/>
      <c r="E9" s="13"/>
      <c r="F9" s="69" t="n">
        <v>24.6</v>
      </c>
      <c r="G9" s="69"/>
      <c r="H9" s="69" t="n">
        <v>39.92</v>
      </c>
      <c r="I9" s="69"/>
      <c r="J9" s="122" t="n">
        <v>2.3E+019</v>
      </c>
      <c r="K9" s="122"/>
      <c r="L9" s="122" t="n">
        <v>1.4E+020</v>
      </c>
      <c r="M9" s="122"/>
      <c r="N9" s="122"/>
    </row>
    <row r="10" customFormat="false" ht="17.25" hidden="false" customHeight="true" outlineLevel="0" collapsed="false">
      <c r="B10" s="16" t="s">
        <v>1478</v>
      </c>
      <c r="C10" s="16"/>
      <c r="D10" s="16"/>
      <c r="E10" s="16"/>
      <c r="F10" s="82" t="n">
        <v>25.16</v>
      </c>
      <c r="G10" s="82"/>
      <c r="H10" s="82" t="n">
        <v>40.46</v>
      </c>
      <c r="I10" s="82"/>
      <c r="J10" s="123" t="n">
        <v>9.6E+018</v>
      </c>
      <c r="K10" s="123"/>
      <c r="L10" s="123" t="n">
        <v>1.5E+020</v>
      </c>
      <c r="M10" s="123"/>
      <c r="N10" s="123"/>
    </row>
    <row r="11" customFormat="false" ht="17.25" hidden="false" customHeight="true" outlineLevel="0" collapsed="false">
      <c r="B11" s="13" t="s">
        <v>1479</v>
      </c>
      <c r="C11" s="13"/>
      <c r="D11" s="13"/>
      <c r="E11" s="13"/>
      <c r="F11" s="69" t="n">
        <v>26.03</v>
      </c>
      <c r="G11" s="69"/>
      <c r="H11" s="69" t="n">
        <v>40.56</v>
      </c>
      <c r="I11" s="69"/>
      <c r="J11" s="122" t="n">
        <v>2E+019</v>
      </c>
      <c r="K11" s="122"/>
      <c r="L11" s="122" t="n">
        <v>1.2E+020</v>
      </c>
      <c r="M11" s="122"/>
      <c r="N11" s="122"/>
    </row>
    <row r="12" customFormat="false" ht="17.25" hidden="false" customHeight="true" outlineLevel="0" collapsed="false">
      <c r="B12" s="16" t="s">
        <v>1480</v>
      </c>
      <c r="C12" s="16"/>
      <c r="D12" s="16"/>
      <c r="E12" s="16"/>
      <c r="F12" s="82"/>
      <c r="G12" s="82"/>
      <c r="H12" s="82" t="n">
        <v>40.4</v>
      </c>
      <c r="I12" s="82"/>
      <c r="J12" s="123"/>
      <c r="K12" s="123"/>
      <c r="L12" s="123" t="n">
        <v>8E+020</v>
      </c>
      <c r="M12" s="123"/>
      <c r="N12" s="123"/>
    </row>
    <row r="13" customFormat="false" ht="17.25" hidden="false" customHeight="true" outlineLevel="0" collapsed="false">
      <c r="B13" s="13" t="s">
        <v>1481</v>
      </c>
      <c r="C13" s="13"/>
      <c r="D13" s="13"/>
      <c r="E13" s="13"/>
      <c r="F13" s="69" t="n">
        <v>26.3</v>
      </c>
      <c r="G13" s="69"/>
      <c r="H13" s="69" t="n">
        <v>41.16</v>
      </c>
      <c r="I13" s="69"/>
      <c r="J13" s="122" t="n">
        <v>1.8E+020</v>
      </c>
      <c r="K13" s="122"/>
      <c r="L13" s="122" t="n">
        <v>1.1E+021</v>
      </c>
      <c r="M13" s="122"/>
      <c r="N13" s="122"/>
    </row>
    <row r="14" customFormat="false" ht="17.25" hidden="false" customHeight="true" outlineLevel="0" collapsed="false">
      <c r="B14" s="16" t="s">
        <v>1482</v>
      </c>
      <c r="C14" s="16"/>
      <c r="D14" s="16"/>
      <c r="E14" s="16"/>
      <c r="F14" s="82" t="n">
        <v>26.36</v>
      </c>
      <c r="G14" s="82"/>
      <c r="H14" s="82" t="n">
        <v>41.29</v>
      </c>
      <c r="I14" s="82"/>
      <c r="J14" s="123" t="n">
        <v>7.7E+019</v>
      </c>
      <c r="K14" s="123"/>
      <c r="L14" s="123" t="n">
        <v>1.2E+021</v>
      </c>
      <c r="M14" s="123"/>
      <c r="N14" s="123"/>
    </row>
    <row r="15" customFormat="false" ht="17.25" hidden="false" customHeight="true" outlineLevel="0" collapsed="false">
      <c r="B15" s="13" t="s">
        <v>1483</v>
      </c>
      <c r="C15" s="13"/>
      <c r="D15" s="13"/>
      <c r="E15" s="13"/>
      <c r="F15" s="69" t="n">
        <v>27.3</v>
      </c>
      <c r="G15" s="69"/>
      <c r="H15" s="69" t="n">
        <v>38.1</v>
      </c>
      <c r="I15" s="69"/>
      <c r="J15" s="122" t="n">
        <v>3.3E+018</v>
      </c>
      <c r="K15" s="122"/>
      <c r="L15" s="122" t="n">
        <v>3.3E+018</v>
      </c>
      <c r="M15" s="122"/>
      <c r="N15" s="122"/>
    </row>
    <row r="16" customFormat="false" ht="17.25" hidden="false" customHeight="true" outlineLevel="0" collapsed="false">
      <c r="B16" s="16" t="s">
        <v>1484</v>
      </c>
      <c r="C16" s="16"/>
      <c r="D16" s="16"/>
      <c r="E16" s="16"/>
      <c r="F16" s="82" t="n">
        <v>28.4</v>
      </c>
      <c r="G16" s="82"/>
      <c r="H16" s="82" t="n">
        <v>41.8</v>
      </c>
      <c r="I16" s="82"/>
      <c r="J16" s="123" t="n">
        <v>2.3E+019</v>
      </c>
      <c r="K16" s="123"/>
      <c r="L16" s="123" t="n">
        <v>2.3E+019</v>
      </c>
      <c r="M16" s="123"/>
      <c r="N16" s="123"/>
    </row>
    <row r="17" customFormat="false" ht="17.25" hidden="false" customHeight="true" outlineLevel="0" collapsed="false">
      <c r="B17" s="19" t="s">
        <v>1485</v>
      </c>
      <c r="C17" s="19"/>
      <c r="D17" s="19"/>
      <c r="E17" s="19"/>
      <c r="F17" s="19"/>
      <c r="G17" s="19"/>
      <c r="H17" s="19"/>
      <c r="I17" s="19"/>
      <c r="J17" s="19"/>
      <c r="K17" s="19"/>
      <c r="L17" s="19"/>
      <c r="M17" s="19"/>
      <c r="N17" s="19"/>
    </row>
    <row r="18" customFormat="false" ht="18.75" hidden="false" customHeight="true" outlineLevel="0" collapsed="false">
      <c r="B18" s="25" t="s">
        <v>1486</v>
      </c>
      <c r="C18" s="25"/>
      <c r="D18" s="25"/>
      <c r="E18" s="25"/>
      <c r="F18" s="25"/>
      <c r="G18" s="25"/>
      <c r="H18" s="25"/>
      <c r="I18" s="25"/>
      <c r="J18" s="25"/>
      <c r="K18" s="25"/>
      <c r="L18" s="25"/>
      <c r="M18" s="25"/>
      <c r="N18" s="25"/>
    </row>
    <row r="19" customFormat="false" ht="17.25" hidden="false" customHeight="true" outlineLevel="0" collapsed="false">
      <c r="B19" s="22" t="s">
        <v>1487</v>
      </c>
      <c r="C19" s="79" t="n">
        <f aca="false">MAX(F7:F14)</f>
        <v>26.36</v>
      </c>
      <c r="D19" s="27" t="s">
        <v>1488</v>
      </c>
      <c r="E19" s="27"/>
      <c r="F19" s="27"/>
      <c r="G19" s="27"/>
      <c r="H19" s="27"/>
      <c r="I19" s="27"/>
      <c r="J19" s="27"/>
      <c r="K19" s="27"/>
      <c r="L19" s="27"/>
      <c r="M19" s="27"/>
      <c r="N19" s="27"/>
    </row>
    <row r="20" customFormat="false" ht="17.25" hidden="false" customHeight="true" outlineLevel="0" collapsed="false">
      <c r="B20" s="22" t="s">
        <v>1489</v>
      </c>
      <c r="C20" s="124" t="n">
        <f aca="false">F16-MAX(F7:F14)</f>
        <v>2.04</v>
      </c>
      <c r="D20" s="27" t="s">
        <v>1490</v>
      </c>
      <c r="E20" s="27"/>
      <c r="F20" s="27"/>
      <c r="G20" s="27"/>
      <c r="H20" s="27"/>
      <c r="I20" s="27"/>
      <c r="J20" s="27"/>
      <c r="K20" s="27"/>
      <c r="L20" s="27"/>
      <c r="M20" s="27"/>
      <c r="N20" s="27"/>
    </row>
    <row r="21" customFormat="false" ht="17.25" hidden="false" customHeight="true" outlineLevel="0" collapsed="false">
      <c r="B21" s="22" t="s">
        <v>1491</v>
      </c>
      <c r="C21" s="125" t="n">
        <f aca="false">F15-MAX(F7:F14)</f>
        <v>0.940000000000001</v>
      </c>
      <c r="D21" s="27" t="s">
        <v>1492</v>
      </c>
      <c r="E21" s="27"/>
      <c r="F21" s="27"/>
      <c r="G21" s="27"/>
      <c r="H21" s="27"/>
      <c r="I21" s="27"/>
      <c r="J21" s="27"/>
      <c r="K21" s="27"/>
      <c r="L21" s="27"/>
      <c r="M21" s="27"/>
      <c r="N21" s="27"/>
    </row>
    <row r="22" customFormat="false" ht="17.25" hidden="false" customHeight="true" outlineLevel="0" collapsed="false">
      <c r="B22" s="22" t="s">
        <v>1493</v>
      </c>
      <c r="C22" s="125" t="n">
        <f aca="false">H16-MAX(H7:H11)</f>
        <v>1.23999999999999</v>
      </c>
      <c r="D22" s="27" t="s">
        <v>1494</v>
      </c>
      <c r="E22" s="27"/>
      <c r="F22" s="27"/>
      <c r="G22" s="27"/>
      <c r="H22" s="27"/>
      <c r="I22" s="27"/>
      <c r="J22" s="27"/>
      <c r="K22" s="27"/>
      <c r="L22" s="27"/>
      <c r="M22" s="27"/>
      <c r="N22" s="27"/>
    </row>
    <row r="23" customFormat="false" ht="17.25" hidden="false" customHeight="true" outlineLevel="0" collapsed="false">
      <c r="B23" s="22" t="s">
        <v>1495</v>
      </c>
      <c r="C23" s="121" t="n">
        <f aca="false">J14/J15</f>
        <v>23.3333333333333</v>
      </c>
      <c r="D23" s="27" t="s">
        <v>1496</v>
      </c>
      <c r="E23" s="27"/>
      <c r="F23" s="27"/>
      <c r="G23" s="27"/>
      <c r="H23" s="27"/>
      <c r="I23" s="27"/>
      <c r="J23" s="27"/>
      <c r="K23" s="27"/>
      <c r="L23" s="27"/>
      <c r="M23" s="27"/>
      <c r="N23" s="27"/>
    </row>
    <row r="24" customFormat="false" ht="17.25" hidden="false" customHeight="true" outlineLevel="0" collapsed="false">
      <c r="B24" s="22" t="s">
        <v>1497</v>
      </c>
      <c r="C24" s="65" t="n">
        <f aca="false">L16/L11</f>
        <v>0.191666666666667</v>
      </c>
      <c r="D24" s="27" t="s">
        <v>1498</v>
      </c>
      <c r="E24" s="27"/>
      <c r="F24" s="27"/>
      <c r="G24" s="27"/>
      <c r="H24" s="27"/>
      <c r="I24" s="27"/>
      <c r="J24" s="27"/>
      <c r="K24" s="27"/>
      <c r="L24" s="27"/>
      <c r="M24" s="27"/>
      <c r="N24" s="27"/>
    </row>
    <row r="25" customFormat="false" ht="17.25" hidden="false" customHeight="true" outlineLevel="0" collapsed="false">
      <c r="B25" s="18" t="s">
        <v>1499</v>
      </c>
      <c r="C25" s="18"/>
      <c r="D25" s="18"/>
      <c r="E25" s="18"/>
      <c r="F25" s="18"/>
      <c r="G25" s="18"/>
      <c r="H25" s="18"/>
      <c r="I25" s="18"/>
      <c r="J25" s="18"/>
      <c r="K25" s="18"/>
      <c r="L25" s="18"/>
      <c r="M25" s="18"/>
      <c r="N25" s="18"/>
    </row>
    <row r="26" customFormat="false" ht="18.75" hidden="false" customHeight="true" outlineLevel="0" collapsed="false">
      <c r="B26" s="25" t="s">
        <v>1500</v>
      </c>
      <c r="C26" s="25"/>
      <c r="D26" s="25"/>
      <c r="E26" s="25"/>
      <c r="F26" s="25"/>
      <c r="G26" s="25"/>
      <c r="H26" s="25"/>
      <c r="I26" s="25"/>
      <c r="J26" s="25"/>
      <c r="K26" s="25"/>
      <c r="L26" s="25"/>
      <c r="M26" s="25"/>
      <c r="N26" s="25"/>
    </row>
    <row r="27" customFormat="false" ht="17.25" hidden="false" customHeight="true" outlineLevel="0" collapsed="false">
      <c r="B27" s="5" t="s">
        <v>1501</v>
      </c>
      <c r="C27" s="5"/>
      <c r="D27" s="5"/>
      <c r="E27" s="5"/>
      <c r="F27" s="5"/>
      <c r="G27" s="5"/>
      <c r="H27" s="5"/>
      <c r="I27" s="5"/>
      <c r="J27" s="5"/>
      <c r="K27" s="5"/>
      <c r="L27" s="5"/>
      <c r="M27" s="5"/>
      <c r="N27" s="5"/>
    </row>
    <row r="28" customFormat="false" ht="17.25" hidden="false" customHeight="true" outlineLevel="0" collapsed="false">
      <c r="B28" s="11" t="s">
        <v>1108</v>
      </c>
      <c r="C28" s="11"/>
      <c r="D28" s="11" t="s">
        <v>1502</v>
      </c>
      <c r="E28" s="11"/>
      <c r="F28" s="11" t="s">
        <v>1503</v>
      </c>
      <c r="G28" s="11"/>
      <c r="H28" s="11" t="s">
        <v>1504</v>
      </c>
      <c r="I28" s="11"/>
      <c r="J28" s="11" t="s">
        <v>1505</v>
      </c>
      <c r="K28" s="11"/>
      <c r="L28" s="11" t="s">
        <v>1506</v>
      </c>
      <c r="M28" s="11"/>
      <c r="N28" s="11"/>
    </row>
    <row r="29" customFormat="false" ht="17.25" hidden="false" customHeight="true" outlineLevel="0" collapsed="false">
      <c r="B29" s="13" t="s">
        <v>822</v>
      </c>
      <c r="C29" s="13"/>
      <c r="D29" s="6" t="n">
        <v>12</v>
      </c>
      <c r="E29" s="6"/>
      <c r="F29" s="6" t="n">
        <v>8</v>
      </c>
      <c r="G29" s="6"/>
      <c r="H29" s="6" t="n">
        <v>9.5</v>
      </c>
      <c r="I29" s="6"/>
      <c r="J29" s="126" t="n">
        <f aca="false">D29*3600*F29*H29*10^12</f>
        <v>3.2832E+018</v>
      </c>
      <c r="K29" s="126"/>
      <c r="L29" s="122" t="n">
        <v>3.3E+018</v>
      </c>
      <c r="M29" s="122"/>
      <c r="N29" s="122"/>
    </row>
    <row r="30" customFormat="false" ht="17.25" hidden="false" customHeight="true" outlineLevel="0" collapsed="false">
      <c r="B30" s="16" t="s">
        <v>1130</v>
      </c>
      <c r="C30" s="16"/>
      <c r="D30" s="6" t="n">
        <v>84</v>
      </c>
      <c r="E30" s="6"/>
      <c r="F30" s="6" t="n">
        <v>8</v>
      </c>
      <c r="G30" s="6"/>
      <c r="H30" s="6" t="n">
        <v>9.5</v>
      </c>
      <c r="I30" s="6"/>
      <c r="J30" s="126" t="n">
        <f aca="false">D30*3600*F30*H30*10^12</f>
        <v>2.29824E+019</v>
      </c>
      <c r="K30" s="126"/>
      <c r="L30" s="123" t="n">
        <v>2.3E+019</v>
      </c>
      <c r="M30" s="123"/>
      <c r="N30" s="123"/>
    </row>
    <row r="31" customFormat="false" ht="17.25" hidden="false" customHeight="true" outlineLevel="0" collapsed="false">
      <c r="B31" s="19" t="s">
        <v>1507</v>
      </c>
      <c r="C31" s="19"/>
      <c r="D31" s="19"/>
      <c r="E31" s="19"/>
      <c r="F31" s="19"/>
      <c r="G31" s="19"/>
      <c r="H31" s="19"/>
      <c r="I31" s="19"/>
      <c r="J31" s="19"/>
      <c r="K31" s="19"/>
      <c r="L31" s="19"/>
      <c r="M31" s="19"/>
      <c r="N31" s="19"/>
    </row>
    <row r="33" customFormat="false" ht="21.75" hidden="false" customHeight="true" outlineLevel="0" collapsed="false">
      <c r="B33" s="4" t="s">
        <v>1508</v>
      </c>
      <c r="C33" s="4"/>
      <c r="D33" s="4"/>
      <c r="E33" s="4"/>
      <c r="F33" s="4"/>
      <c r="G33" s="4"/>
      <c r="H33" s="4"/>
      <c r="I33" s="4"/>
      <c r="J33" s="4"/>
      <c r="K33" s="4"/>
      <c r="L33" s="4"/>
      <c r="M33" s="4"/>
      <c r="N33" s="4"/>
    </row>
    <row r="34" customFormat="false" ht="31.5" hidden="false" customHeight="true" outlineLevel="0" collapsed="false">
      <c r="B34" s="5" t="s">
        <v>1509</v>
      </c>
      <c r="C34" s="5"/>
      <c r="D34" s="5"/>
      <c r="E34" s="5"/>
      <c r="F34" s="5"/>
      <c r="G34" s="5"/>
      <c r="H34" s="5"/>
      <c r="I34" s="5"/>
      <c r="J34" s="5"/>
      <c r="K34" s="5"/>
      <c r="L34" s="5"/>
      <c r="M34" s="5"/>
      <c r="N34" s="5"/>
    </row>
    <row r="35" customFormat="false" ht="17.25" hidden="false" customHeight="true" outlineLevel="0" collapsed="false">
      <c r="B35" s="11" t="s">
        <v>1510</v>
      </c>
      <c r="C35" s="11"/>
      <c r="D35" s="11"/>
      <c r="E35" s="11"/>
      <c r="F35" s="11"/>
      <c r="G35" s="11" t="s">
        <v>1511</v>
      </c>
      <c r="H35" s="11"/>
      <c r="I35" s="11"/>
      <c r="J35" s="11"/>
      <c r="K35" s="11"/>
      <c r="L35" s="11" t="s">
        <v>1512</v>
      </c>
      <c r="M35" s="11"/>
      <c r="N35" s="11"/>
    </row>
    <row r="36" customFormat="false" ht="17.25" hidden="false" customHeight="true" outlineLevel="0" collapsed="false">
      <c r="B36" s="13" t="s">
        <v>1513</v>
      </c>
      <c r="C36" s="13"/>
      <c r="D36" s="13"/>
      <c r="E36" s="13"/>
      <c r="F36" s="13"/>
      <c r="G36" s="13" t="s">
        <v>1514</v>
      </c>
      <c r="H36" s="13"/>
      <c r="I36" s="13"/>
      <c r="J36" s="13"/>
      <c r="K36" s="13"/>
      <c r="L36" s="7" t="n">
        <v>88.3</v>
      </c>
      <c r="M36" s="7"/>
      <c r="N36" s="7"/>
    </row>
    <row r="37" customFormat="false" ht="17.25" hidden="false" customHeight="true" outlineLevel="0" collapsed="false">
      <c r="B37" s="16" t="s">
        <v>1515</v>
      </c>
      <c r="C37" s="16"/>
      <c r="D37" s="16"/>
      <c r="E37" s="16"/>
      <c r="F37" s="16"/>
      <c r="G37" s="16" t="s">
        <v>1514</v>
      </c>
      <c r="H37" s="16"/>
      <c r="I37" s="16"/>
      <c r="J37" s="16"/>
      <c r="K37" s="16"/>
      <c r="L37" s="89" t="n">
        <v>90.4</v>
      </c>
      <c r="M37" s="89"/>
      <c r="N37" s="89"/>
    </row>
    <row r="38" customFormat="false" ht="17.25" hidden="false" customHeight="true" outlineLevel="0" collapsed="false">
      <c r="B38" s="13" t="s">
        <v>1516</v>
      </c>
      <c r="C38" s="13"/>
      <c r="D38" s="13"/>
      <c r="E38" s="13"/>
      <c r="F38" s="13"/>
      <c r="G38" s="13" t="s">
        <v>1514</v>
      </c>
      <c r="H38" s="13"/>
      <c r="I38" s="13"/>
      <c r="J38" s="13"/>
      <c r="K38" s="13"/>
      <c r="L38" s="7" t="n">
        <v>90.4</v>
      </c>
      <c r="M38" s="7"/>
      <c r="N38" s="7"/>
    </row>
    <row r="39" customFormat="false" ht="17.25" hidden="false" customHeight="true" outlineLevel="0" collapsed="false">
      <c r="B39" s="16" t="s">
        <v>1517</v>
      </c>
      <c r="C39" s="16"/>
      <c r="D39" s="16"/>
      <c r="E39" s="16"/>
      <c r="F39" s="16"/>
      <c r="G39" s="16" t="s">
        <v>1514</v>
      </c>
      <c r="H39" s="16"/>
      <c r="I39" s="16"/>
      <c r="J39" s="16"/>
      <c r="K39" s="16"/>
      <c r="L39" s="89" t="n">
        <v>91.7</v>
      </c>
      <c r="M39" s="89"/>
      <c r="N39" s="89"/>
    </row>
    <row r="40" customFormat="false" ht="17.25" hidden="false" customHeight="true" outlineLevel="0" collapsed="false">
      <c r="B40" s="13" t="s">
        <v>1518</v>
      </c>
      <c r="C40" s="13"/>
      <c r="D40" s="13"/>
      <c r="E40" s="13"/>
      <c r="F40" s="13"/>
      <c r="G40" s="13" t="s">
        <v>1514</v>
      </c>
      <c r="H40" s="13"/>
      <c r="I40" s="13"/>
      <c r="J40" s="13"/>
      <c r="K40" s="13"/>
      <c r="L40" s="7" t="n">
        <v>91.3</v>
      </c>
      <c r="M40" s="7"/>
      <c r="N40" s="7"/>
    </row>
    <row r="41" customFormat="false" ht="17.25" hidden="false" customHeight="true" outlineLevel="0" collapsed="false">
      <c r="B41" s="16" t="s">
        <v>1516</v>
      </c>
      <c r="C41" s="16"/>
      <c r="D41" s="16"/>
      <c r="E41" s="16"/>
      <c r="F41" s="16"/>
      <c r="G41" s="16" t="s">
        <v>1519</v>
      </c>
      <c r="H41" s="16"/>
      <c r="I41" s="16"/>
      <c r="J41" s="16"/>
      <c r="K41" s="16"/>
      <c r="L41" s="89" t="n">
        <v>91.3</v>
      </c>
      <c r="M41" s="89"/>
      <c r="N41" s="89"/>
    </row>
    <row r="42" customFormat="false" ht="17.25" hidden="false" customHeight="true" outlineLevel="0" collapsed="false">
      <c r="B42" s="13" t="s">
        <v>1520</v>
      </c>
      <c r="C42" s="13"/>
      <c r="D42" s="13"/>
      <c r="E42" s="13"/>
      <c r="F42" s="13"/>
      <c r="G42" s="13" t="s">
        <v>1519</v>
      </c>
      <c r="H42" s="13"/>
      <c r="I42" s="13"/>
      <c r="J42" s="13"/>
      <c r="K42" s="13"/>
      <c r="L42" s="7" t="n">
        <v>91.3</v>
      </c>
      <c r="M42" s="7"/>
      <c r="N42" s="7"/>
    </row>
    <row r="43" customFormat="false" ht="17.25" hidden="false" customHeight="true" outlineLevel="0" collapsed="false">
      <c r="B43" s="16" t="s">
        <v>1521</v>
      </c>
      <c r="C43" s="16"/>
      <c r="D43" s="16"/>
      <c r="E43" s="16"/>
      <c r="F43" s="16"/>
      <c r="G43" s="16" t="s">
        <v>1519</v>
      </c>
      <c r="H43" s="16"/>
      <c r="I43" s="16"/>
      <c r="J43" s="16"/>
      <c r="K43" s="16"/>
      <c r="L43" s="89" t="n">
        <v>92.1</v>
      </c>
      <c r="M43" s="89"/>
      <c r="N43" s="89"/>
    </row>
    <row r="44" customFormat="false" ht="17.25" hidden="false" customHeight="true" outlineLevel="0" collapsed="false">
      <c r="B44" s="13" t="s">
        <v>1513</v>
      </c>
      <c r="C44" s="13"/>
      <c r="D44" s="13"/>
      <c r="E44" s="13"/>
      <c r="F44" s="13"/>
      <c r="G44" s="13" t="s">
        <v>1519</v>
      </c>
      <c r="H44" s="13"/>
      <c r="I44" s="13"/>
      <c r="J44" s="13"/>
      <c r="K44" s="13"/>
      <c r="L44" s="7" t="n">
        <v>92.1</v>
      </c>
      <c r="M44" s="7"/>
      <c r="N44" s="7"/>
    </row>
    <row r="45" customFormat="false" ht="17.25" hidden="false" customHeight="true" outlineLevel="0" collapsed="false">
      <c r="B45" s="16" t="s">
        <v>1518</v>
      </c>
      <c r="C45" s="16"/>
      <c r="D45" s="16"/>
      <c r="E45" s="16"/>
      <c r="F45" s="16"/>
      <c r="G45" s="16" t="s">
        <v>1519</v>
      </c>
      <c r="H45" s="16"/>
      <c r="I45" s="16"/>
      <c r="J45" s="16"/>
      <c r="K45" s="16"/>
      <c r="L45" s="89" t="n">
        <v>92.7</v>
      </c>
      <c r="M45" s="89"/>
      <c r="N45" s="89"/>
    </row>
    <row r="46" customFormat="false" ht="17.25" hidden="false" customHeight="true" outlineLevel="0" collapsed="false">
      <c r="B46" s="13" t="s">
        <v>1522</v>
      </c>
      <c r="C46" s="13"/>
      <c r="D46" s="13"/>
      <c r="E46" s="13"/>
      <c r="F46" s="13"/>
      <c r="G46" s="13" t="s">
        <v>1523</v>
      </c>
      <c r="H46" s="13"/>
      <c r="I46" s="13"/>
      <c r="J46" s="13"/>
      <c r="K46" s="13"/>
      <c r="L46" s="7" t="n">
        <v>93</v>
      </c>
      <c r="M46" s="7"/>
      <c r="N46" s="7"/>
    </row>
    <row r="47" customFormat="false" ht="17.25" hidden="false" customHeight="true" outlineLevel="0" collapsed="false">
      <c r="B47" s="16" t="s">
        <v>1517</v>
      </c>
      <c r="C47" s="16"/>
      <c r="D47" s="16"/>
      <c r="E47" s="16"/>
      <c r="F47" s="16"/>
      <c r="G47" s="16" t="s">
        <v>1524</v>
      </c>
      <c r="H47" s="16"/>
      <c r="I47" s="16"/>
      <c r="J47" s="16"/>
      <c r="K47" s="16"/>
      <c r="L47" s="89" t="n">
        <v>93.3</v>
      </c>
      <c r="M47" s="89"/>
      <c r="N47" s="89"/>
    </row>
    <row r="48" customFormat="false" ht="31.5" hidden="false" customHeight="true" outlineLevel="0" collapsed="false">
      <c r="B48" s="19" t="s">
        <v>1525</v>
      </c>
      <c r="C48" s="19"/>
      <c r="D48" s="19"/>
      <c r="E48" s="19"/>
      <c r="F48" s="19"/>
      <c r="G48" s="19"/>
      <c r="H48" s="19"/>
      <c r="I48" s="19"/>
      <c r="J48" s="19"/>
      <c r="K48" s="19"/>
      <c r="L48" s="19"/>
      <c r="M48" s="19"/>
      <c r="N48" s="19"/>
    </row>
    <row r="49" customFormat="false" ht="21.75" hidden="false" customHeight="true" outlineLevel="0" collapsed="false">
      <c r="B49" s="4" t="s">
        <v>1526</v>
      </c>
      <c r="C49" s="4"/>
      <c r="D49" s="4"/>
      <c r="E49" s="4"/>
      <c r="F49" s="4"/>
      <c r="G49" s="4"/>
      <c r="H49" s="4"/>
      <c r="I49" s="4"/>
      <c r="J49" s="4"/>
      <c r="K49" s="4"/>
      <c r="L49" s="4"/>
      <c r="M49" s="4"/>
      <c r="N49" s="4"/>
    </row>
    <row r="50" customFormat="false" ht="17.25" hidden="false" customHeight="true" outlineLevel="0" collapsed="false">
      <c r="B50" s="5" t="s">
        <v>1527</v>
      </c>
      <c r="C50" s="5"/>
      <c r="D50" s="5"/>
      <c r="E50" s="5"/>
      <c r="F50" s="5"/>
      <c r="G50" s="5"/>
      <c r="H50" s="5"/>
      <c r="I50" s="5"/>
      <c r="J50" s="5"/>
      <c r="K50" s="5"/>
      <c r="L50" s="5"/>
      <c r="M50" s="5"/>
      <c r="N50" s="5"/>
    </row>
    <row r="51" customFormat="false" ht="31.5" hidden="false" customHeight="true" outlineLevel="0" collapsed="false">
      <c r="B51" s="5" t="s">
        <v>1528</v>
      </c>
      <c r="C51" s="5"/>
      <c r="D51" s="5"/>
      <c r="E51" s="5"/>
      <c r="F51" s="5"/>
      <c r="G51" s="5"/>
      <c r="H51" s="5"/>
      <c r="I51" s="5"/>
      <c r="J51" s="5"/>
      <c r="K51" s="5"/>
      <c r="L51" s="5"/>
      <c r="M51" s="5"/>
      <c r="N51" s="5"/>
    </row>
    <row r="52" customFormat="false" ht="17.25" hidden="false" customHeight="true" outlineLevel="0" collapsed="false">
      <c r="B52" s="5" t="s">
        <v>1529</v>
      </c>
      <c r="C52" s="5"/>
      <c r="D52" s="5"/>
      <c r="E52" s="5"/>
      <c r="F52" s="5"/>
      <c r="G52" s="5"/>
      <c r="H52" s="5"/>
      <c r="I52" s="5"/>
      <c r="J52" s="5"/>
      <c r="K52" s="5"/>
      <c r="L52" s="5"/>
      <c r="M52" s="5"/>
      <c r="N52" s="5"/>
    </row>
  </sheetData>
  <mergeCells count="135">
    <mergeCell ref="B1:N1"/>
    <mergeCell ref="B2:N2"/>
    <mergeCell ref="B4:N4"/>
    <mergeCell ref="B5:N5"/>
    <mergeCell ref="B6:E6"/>
    <mergeCell ref="F6:G6"/>
    <mergeCell ref="H6:I6"/>
    <mergeCell ref="J6:K6"/>
    <mergeCell ref="L6:N6"/>
    <mergeCell ref="B7:E7"/>
    <mergeCell ref="F7:G7"/>
    <mergeCell ref="H7:I7"/>
    <mergeCell ref="J7:K7"/>
    <mergeCell ref="L7:N7"/>
    <mergeCell ref="B8:E8"/>
    <mergeCell ref="F8:G8"/>
    <mergeCell ref="H8:I8"/>
    <mergeCell ref="J8:K8"/>
    <mergeCell ref="L8:N8"/>
    <mergeCell ref="B9:E9"/>
    <mergeCell ref="F9:G9"/>
    <mergeCell ref="H9:I9"/>
    <mergeCell ref="J9:K9"/>
    <mergeCell ref="L9:N9"/>
    <mergeCell ref="B10:E10"/>
    <mergeCell ref="F10:G10"/>
    <mergeCell ref="H10:I10"/>
    <mergeCell ref="J10:K10"/>
    <mergeCell ref="L10:N10"/>
    <mergeCell ref="B11:E11"/>
    <mergeCell ref="F11:G11"/>
    <mergeCell ref="H11:I11"/>
    <mergeCell ref="J11:K11"/>
    <mergeCell ref="L11:N11"/>
    <mergeCell ref="B12:E12"/>
    <mergeCell ref="F12:G12"/>
    <mergeCell ref="H12:I12"/>
    <mergeCell ref="J12:K12"/>
    <mergeCell ref="L12:N12"/>
    <mergeCell ref="B13:E13"/>
    <mergeCell ref="F13:G13"/>
    <mergeCell ref="H13:I13"/>
    <mergeCell ref="J13:K13"/>
    <mergeCell ref="L13:N13"/>
    <mergeCell ref="B14:E14"/>
    <mergeCell ref="F14:G14"/>
    <mergeCell ref="H14:I14"/>
    <mergeCell ref="J14:K14"/>
    <mergeCell ref="L14:N14"/>
    <mergeCell ref="B15:E15"/>
    <mergeCell ref="F15:G15"/>
    <mergeCell ref="H15:I15"/>
    <mergeCell ref="J15:K15"/>
    <mergeCell ref="L15:N15"/>
    <mergeCell ref="B16:E16"/>
    <mergeCell ref="F16:G16"/>
    <mergeCell ref="H16:I16"/>
    <mergeCell ref="J16:K16"/>
    <mergeCell ref="L16:N16"/>
    <mergeCell ref="B17:N17"/>
    <mergeCell ref="B18:N18"/>
    <mergeCell ref="D19:N19"/>
    <mergeCell ref="D20:N20"/>
    <mergeCell ref="D21:N21"/>
    <mergeCell ref="D22:N22"/>
    <mergeCell ref="D23:N23"/>
    <mergeCell ref="D24:N24"/>
    <mergeCell ref="B25:N25"/>
    <mergeCell ref="B26:N26"/>
    <mergeCell ref="B27:N27"/>
    <mergeCell ref="B28:C28"/>
    <mergeCell ref="D28:E28"/>
    <mergeCell ref="F28:G28"/>
    <mergeCell ref="H28:I28"/>
    <mergeCell ref="J28:K28"/>
    <mergeCell ref="L28:N28"/>
    <mergeCell ref="B29:C29"/>
    <mergeCell ref="D29:E29"/>
    <mergeCell ref="F29:G29"/>
    <mergeCell ref="H29:I29"/>
    <mergeCell ref="J29:K29"/>
    <mergeCell ref="L29:N29"/>
    <mergeCell ref="B30:C30"/>
    <mergeCell ref="D30:E30"/>
    <mergeCell ref="F30:G30"/>
    <mergeCell ref="H30:I30"/>
    <mergeCell ref="J30:K30"/>
    <mergeCell ref="L30:N30"/>
    <mergeCell ref="B31:N31"/>
    <mergeCell ref="B33:N33"/>
    <mergeCell ref="B34:N34"/>
    <mergeCell ref="B35:F35"/>
    <mergeCell ref="G35:K35"/>
    <mergeCell ref="L35:N35"/>
    <mergeCell ref="B36:F36"/>
    <mergeCell ref="G36:K36"/>
    <mergeCell ref="L36:N36"/>
    <mergeCell ref="B37:F37"/>
    <mergeCell ref="G37:K37"/>
    <mergeCell ref="L37:N37"/>
    <mergeCell ref="B38:F38"/>
    <mergeCell ref="G38:K38"/>
    <mergeCell ref="L38:N38"/>
    <mergeCell ref="B39:F39"/>
    <mergeCell ref="G39:K39"/>
    <mergeCell ref="L39:N39"/>
    <mergeCell ref="B40:F40"/>
    <mergeCell ref="G40:K40"/>
    <mergeCell ref="L40:N40"/>
    <mergeCell ref="B41:F41"/>
    <mergeCell ref="G41:K41"/>
    <mergeCell ref="L41:N41"/>
    <mergeCell ref="B42:F42"/>
    <mergeCell ref="G42:K42"/>
    <mergeCell ref="L42:N42"/>
    <mergeCell ref="B43:F43"/>
    <mergeCell ref="G43:K43"/>
    <mergeCell ref="L43:N43"/>
    <mergeCell ref="B44:F44"/>
    <mergeCell ref="G44:K44"/>
    <mergeCell ref="L44:N44"/>
    <mergeCell ref="B45:F45"/>
    <mergeCell ref="G45:K45"/>
    <mergeCell ref="L45:N45"/>
    <mergeCell ref="B46:F46"/>
    <mergeCell ref="G46:K46"/>
    <mergeCell ref="L46:N46"/>
    <mergeCell ref="B47:F47"/>
    <mergeCell ref="G47:K47"/>
    <mergeCell ref="L47:N47"/>
    <mergeCell ref="B48:N48"/>
    <mergeCell ref="B49:N49"/>
    <mergeCell ref="B50:N50"/>
    <mergeCell ref="B51:N51"/>
    <mergeCell ref="B52:N5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B1:N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1530</v>
      </c>
      <c r="C1" s="1"/>
      <c r="D1" s="1"/>
      <c r="E1" s="1"/>
      <c r="F1" s="1"/>
      <c r="G1" s="1"/>
      <c r="H1" s="1"/>
      <c r="I1" s="1"/>
      <c r="J1" s="1"/>
      <c r="K1" s="1"/>
      <c r="L1" s="1"/>
      <c r="M1" s="1"/>
      <c r="N1" s="1"/>
    </row>
    <row r="2" customFormat="false" ht="17.25" hidden="false" customHeight="true" outlineLevel="0" collapsed="false">
      <c r="B2" s="2" t="s">
        <v>1531</v>
      </c>
      <c r="C2" s="2"/>
      <c r="D2" s="2"/>
      <c r="E2" s="2"/>
      <c r="F2" s="2"/>
      <c r="G2" s="2"/>
      <c r="H2" s="2"/>
      <c r="I2" s="2"/>
      <c r="J2" s="2"/>
      <c r="K2" s="2"/>
      <c r="L2" s="2"/>
      <c r="M2" s="2"/>
      <c r="N2" s="2"/>
    </row>
    <row r="4" customFormat="false" ht="21.75" hidden="false" customHeight="true" outlineLevel="0" collapsed="false">
      <c r="B4" s="4" t="s">
        <v>1532</v>
      </c>
      <c r="C4" s="4"/>
      <c r="D4" s="4"/>
      <c r="E4" s="4"/>
      <c r="F4" s="4"/>
      <c r="G4" s="4"/>
      <c r="H4" s="4"/>
      <c r="I4" s="4"/>
      <c r="J4" s="4"/>
      <c r="K4" s="4"/>
      <c r="L4" s="4"/>
      <c r="M4" s="4"/>
      <c r="N4" s="4"/>
    </row>
    <row r="5" customFormat="false" ht="17.25" hidden="false" customHeight="true" outlineLevel="0" collapsed="false">
      <c r="B5" s="11" t="s">
        <v>374</v>
      </c>
      <c r="C5" s="11"/>
      <c r="D5" s="11"/>
      <c r="E5" s="11" t="s">
        <v>1320</v>
      </c>
      <c r="F5" s="11"/>
      <c r="G5" s="11"/>
      <c r="H5" s="11"/>
      <c r="I5" s="11"/>
      <c r="J5" s="11"/>
      <c r="K5" s="11" t="s">
        <v>1533</v>
      </c>
      <c r="L5" s="11"/>
      <c r="M5" s="11" t="s">
        <v>20</v>
      </c>
      <c r="N5" s="11"/>
    </row>
    <row r="6" customFormat="false" ht="17.25" hidden="false" customHeight="true" outlineLevel="0" collapsed="false">
      <c r="B6" s="55" t="s">
        <v>1295</v>
      </c>
      <c r="C6" s="55"/>
      <c r="D6" s="55"/>
      <c r="E6" s="13" t="s">
        <v>1534</v>
      </c>
      <c r="F6" s="13"/>
      <c r="G6" s="13"/>
      <c r="H6" s="13"/>
      <c r="I6" s="13"/>
      <c r="J6" s="13"/>
      <c r="K6" s="13" t="s">
        <v>1535</v>
      </c>
      <c r="L6" s="13"/>
      <c r="M6" s="13" t="s">
        <v>1536</v>
      </c>
      <c r="N6" s="13"/>
    </row>
    <row r="7" customFormat="false" ht="17.25" hidden="false" customHeight="true" outlineLevel="0" collapsed="false">
      <c r="B7" s="10" t="s">
        <v>1187</v>
      </c>
      <c r="C7" s="10"/>
      <c r="D7" s="10"/>
      <c r="E7" s="16" t="s">
        <v>1537</v>
      </c>
      <c r="F7" s="16"/>
      <c r="G7" s="16"/>
      <c r="H7" s="16"/>
      <c r="I7" s="16"/>
      <c r="J7" s="16"/>
      <c r="K7" s="16" t="s">
        <v>1535</v>
      </c>
      <c r="L7" s="16"/>
      <c r="M7" s="16" t="s">
        <v>1538</v>
      </c>
      <c r="N7" s="16"/>
    </row>
    <row r="8" customFormat="false" ht="17.25" hidden="false" customHeight="true" outlineLevel="0" collapsed="false">
      <c r="B8" s="55" t="s">
        <v>1321</v>
      </c>
      <c r="C8" s="55"/>
      <c r="D8" s="55"/>
      <c r="E8" s="13" t="s">
        <v>1539</v>
      </c>
      <c r="F8" s="13"/>
      <c r="G8" s="13"/>
      <c r="H8" s="13"/>
      <c r="I8" s="13"/>
      <c r="J8" s="13"/>
      <c r="K8" s="13" t="s">
        <v>1540</v>
      </c>
      <c r="L8" s="13"/>
      <c r="M8" s="13" t="s">
        <v>1541</v>
      </c>
      <c r="N8" s="13"/>
    </row>
    <row r="9" customFormat="false" ht="17.25" hidden="false" customHeight="true" outlineLevel="0" collapsed="false">
      <c r="B9" s="10" t="s">
        <v>380</v>
      </c>
      <c r="C9" s="10"/>
      <c r="D9" s="10"/>
      <c r="E9" s="16" t="s">
        <v>1542</v>
      </c>
      <c r="F9" s="16"/>
      <c r="G9" s="16"/>
      <c r="H9" s="16"/>
      <c r="I9" s="16"/>
      <c r="J9" s="16"/>
      <c r="K9" s="16" t="s">
        <v>956</v>
      </c>
      <c r="L9" s="16"/>
      <c r="M9" s="16" t="s">
        <v>1543</v>
      </c>
      <c r="N9" s="16"/>
    </row>
    <row r="10" customFormat="false" ht="17.25" hidden="false" customHeight="true" outlineLevel="0" collapsed="false">
      <c r="B10" s="55" t="s">
        <v>648</v>
      </c>
      <c r="C10" s="55"/>
      <c r="D10" s="55"/>
      <c r="E10" s="13" t="s">
        <v>1544</v>
      </c>
      <c r="F10" s="13"/>
      <c r="G10" s="13"/>
      <c r="H10" s="13"/>
      <c r="I10" s="13"/>
      <c r="J10" s="13"/>
      <c r="K10" s="13" t="s">
        <v>1545</v>
      </c>
      <c r="L10" s="13"/>
      <c r="M10" s="13" t="s">
        <v>1546</v>
      </c>
      <c r="N10" s="13"/>
    </row>
    <row r="11" customFormat="false" ht="17.25" hidden="false" customHeight="true" outlineLevel="0" collapsed="false">
      <c r="B11" s="10" t="s">
        <v>819</v>
      </c>
      <c r="C11" s="10"/>
      <c r="D11" s="10"/>
      <c r="E11" s="16" t="s">
        <v>1547</v>
      </c>
      <c r="F11" s="16"/>
      <c r="G11" s="16"/>
      <c r="H11" s="16"/>
      <c r="I11" s="16"/>
      <c r="J11" s="16"/>
      <c r="K11" s="16" t="s">
        <v>1545</v>
      </c>
      <c r="L11" s="16"/>
      <c r="M11" s="16" t="s">
        <v>1548</v>
      </c>
      <c r="N11" s="16"/>
    </row>
    <row r="12" customFormat="false" ht="17.25" hidden="false" customHeight="true" outlineLevel="0" collapsed="false">
      <c r="B12" s="55" t="s">
        <v>1004</v>
      </c>
      <c r="C12" s="55"/>
      <c r="D12" s="55"/>
      <c r="E12" s="13" t="s">
        <v>1324</v>
      </c>
      <c r="F12" s="13"/>
      <c r="G12" s="13"/>
      <c r="H12" s="13"/>
      <c r="I12" s="13"/>
      <c r="J12" s="13"/>
      <c r="K12" s="13" t="s">
        <v>1549</v>
      </c>
      <c r="L12" s="13"/>
      <c r="M12" s="13" t="s">
        <v>1550</v>
      </c>
      <c r="N12" s="13"/>
    </row>
    <row r="13" customFormat="false" ht="17.25" hidden="false" customHeight="true" outlineLevel="0" collapsed="false">
      <c r="B13" s="10" t="s">
        <v>748</v>
      </c>
      <c r="C13" s="10"/>
      <c r="D13" s="10"/>
      <c r="E13" s="16" t="s">
        <v>1551</v>
      </c>
      <c r="F13" s="16"/>
      <c r="G13" s="16"/>
      <c r="H13" s="16"/>
      <c r="I13" s="16"/>
      <c r="J13" s="16"/>
      <c r="K13" s="16" t="s">
        <v>1552</v>
      </c>
      <c r="L13" s="16"/>
      <c r="M13" s="16" t="s">
        <v>1548</v>
      </c>
      <c r="N13" s="16"/>
    </row>
    <row r="14" customFormat="false" ht="17.25" hidden="false" customHeight="true" outlineLevel="0" collapsed="false">
      <c r="B14" s="55" t="s">
        <v>569</v>
      </c>
      <c r="C14" s="55"/>
      <c r="D14" s="55"/>
      <c r="E14" s="13" t="s">
        <v>1553</v>
      </c>
      <c r="F14" s="13"/>
      <c r="G14" s="13"/>
      <c r="H14" s="13"/>
      <c r="I14" s="13"/>
      <c r="J14" s="13"/>
      <c r="K14" s="13" t="s">
        <v>86</v>
      </c>
      <c r="L14" s="13"/>
      <c r="M14" s="13" t="s">
        <v>1554</v>
      </c>
      <c r="N14" s="13"/>
    </row>
    <row r="15" customFormat="false" ht="17.25" hidden="false" customHeight="true" outlineLevel="0" collapsed="false">
      <c r="B15" s="10" t="s">
        <v>1555</v>
      </c>
      <c r="C15" s="10"/>
      <c r="D15" s="10"/>
      <c r="E15" s="16" t="s">
        <v>1556</v>
      </c>
      <c r="F15" s="16"/>
      <c r="G15" s="16"/>
      <c r="H15" s="16"/>
      <c r="I15" s="16"/>
      <c r="J15" s="16"/>
      <c r="K15" s="16" t="s">
        <v>86</v>
      </c>
      <c r="L15" s="16"/>
      <c r="M15" s="16" t="s">
        <v>1557</v>
      </c>
      <c r="N15" s="16"/>
    </row>
    <row r="16" customFormat="false" ht="17.25" hidden="false" customHeight="true" outlineLevel="0" collapsed="false">
      <c r="B16" s="55" t="s">
        <v>1558</v>
      </c>
      <c r="C16" s="55"/>
      <c r="D16" s="55"/>
      <c r="E16" s="13" t="s">
        <v>1559</v>
      </c>
      <c r="F16" s="13"/>
      <c r="G16" s="13"/>
      <c r="H16" s="13"/>
      <c r="I16" s="13"/>
      <c r="J16" s="13"/>
      <c r="K16" s="13" t="s">
        <v>86</v>
      </c>
      <c r="L16" s="13"/>
      <c r="M16" s="13" t="s">
        <v>1560</v>
      </c>
      <c r="N16" s="13"/>
    </row>
    <row r="17" customFormat="false" ht="17.25" hidden="false" customHeight="true" outlineLevel="0" collapsed="false">
      <c r="B17" s="10" t="s">
        <v>1218</v>
      </c>
      <c r="C17" s="10"/>
      <c r="D17" s="10"/>
      <c r="E17" s="16" t="s">
        <v>1327</v>
      </c>
      <c r="F17" s="16"/>
      <c r="G17" s="16"/>
      <c r="H17" s="16"/>
      <c r="I17" s="16"/>
      <c r="J17" s="16"/>
      <c r="K17" s="16" t="s">
        <v>1091</v>
      </c>
      <c r="L17" s="16"/>
      <c r="M17" s="16" t="s">
        <v>1561</v>
      </c>
      <c r="N17" s="16"/>
    </row>
    <row r="18" customFormat="false" ht="17.25" hidden="false" customHeight="true" outlineLevel="0" collapsed="false">
      <c r="B18" s="55" t="s">
        <v>1089</v>
      </c>
      <c r="C18" s="55"/>
      <c r="D18" s="55"/>
      <c r="E18" s="13" t="s">
        <v>1562</v>
      </c>
      <c r="F18" s="13"/>
      <c r="G18" s="13"/>
      <c r="H18" s="13"/>
      <c r="I18" s="13"/>
      <c r="J18" s="13"/>
      <c r="K18" s="13" t="s">
        <v>1091</v>
      </c>
      <c r="L18" s="13"/>
      <c r="M18" s="13" t="s">
        <v>1563</v>
      </c>
      <c r="N18" s="13"/>
    </row>
    <row r="19" customFormat="false" ht="17.25" hidden="false" customHeight="true" outlineLevel="0" collapsed="false">
      <c r="B19" s="10" t="s">
        <v>1564</v>
      </c>
      <c r="C19" s="10"/>
      <c r="D19" s="10"/>
      <c r="E19" s="16" t="s">
        <v>1565</v>
      </c>
      <c r="F19" s="16"/>
      <c r="G19" s="16"/>
      <c r="H19" s="16"/>
      <c r="I19" s="16"/>
      <c r="J19" s="16"/>
      <c r="K19" s="16" t="s">
        <v>1566</v>
      </c>
      <c r="L19" s="16"/>
      <c r="M19" s="16" t="s">
        <v>1567</v>
      </c>
      <c r="N19" s="16"/>
    </row>
    <row r="20" customFormat="false" ht="17.25" hidden="false" customHeight="true" outlineLevel="0" collapsed="false">
      <c r="B20" s="55" t="s">
        <v>1568</v>
      </c>
      <c r="C20" s="55"/>
      <c r="D20" s="55"/>
      <c r="E20" s="13" t="s">
        <v>1569</v>
      </c>
      <c r="F20" s="13"/>
      <c r="G20" s="13"/>
      <c r="H20" s="13"/>
      <c r="I20" s="13"/>
      <c r="J20" s="13"/>
      <c r="K20" s="13" t="s">
        <v>1159</v>
      </c>
      <c r="L20" s="13"/>
      <c r="M20" s="13" t="s">
        <v>1567</v>
      </c>
      <c r="N20" s="13"/>
    </row>
    <row r="21" customFormat="false" ht="17.25" hidden="false" customHeight="true" outlineLevel="0" collapsed="false">
      <c r="B21" s="10" t="s">
        <v>1065</v>
      </c>
      <c r="C21" s="10"/>
      <c r="D21" s="10"/>
      <c r="E21" s="16" t="s">
        <v>1570</v>
      </c>
      <c r="F21" s="16"/>
      <c r="G21" s="16"/>
      <c r="H21" s="16"/>
      <c r="I21" s="16"/>
      <c r="J21" s="16"/>
      <c r="K21" s="16" t="s">
        <v>1571</v>
      </c>
      <c r="L21" s="16"/>
      <c r="M21" s="16" t="s">
        <v>1572</v>
      </c>
      <c r="N21" s="16"/>
    </row>
    <row r="22" customFormat="false" ht="21.75" hidden="false" customHeight="true" outlineLevel="0" collapsed="false">
      <c r="B22" s="4" t="s">
        <v>1573</v>
      </c>
      <c r="C22" s="4"/>
      <c r="D22" s="4"/>
      <c r="E22" s="4"/>
      <c r="F22" s="4"/>
      <c r="G22" s="4"/>
      <c r="H22" s="4"/>
      <c r="I22" s="4"/>
      <c r="J22" s="4"/>
      <c r="K22" s="4"/>
      <c r="L22" s="4"/>
      <c r="M22" s="4"/>
      <c r="N22" s="4"/>
    </row>
    <row r="23" customFormat="false" ht="17.25" hidden="false" customHeight="true" outlineLevel="0" collapsed="false">
      <c r="B23" s="11" t="s">
        <v>1574</v>
      </c>
      <c r="C23" s="11"/>
      <c r="D23" s="11"/>
      <c r="E23" s="11" t="s">
        <v>1575</v>
      </c>
      <c r="F23" s="11"/>
      <c r="G23" s="11"/>
      <c r="H23" s="11"/>
      <c r="I23" s="11"/>
      <c r="J23" s="11"/>
      <c r="K23" s="11"/>
      <c r="L23" s="11"/>
      <c r="M23" s="11" t="s">
        <v>20</v>
      </c>
      <c r="N23" s="11"/>
    </row>
    <row r="24" customFormat="false" ht="17.25" hidden="false" customHeight="true" outlineLevel="0" collapsed="false">
      <c r="B24" s="55" t="s">
        <v>1576</v>
      </c>
      <c r="C24" s="55"/>
      <c r="D24" s="55"/>
      <c r="E24" s="13" t="s">
        <v>1577</v>
      </c>
      <c r="F24" s="13"/>
      <c r="G24" s="13"/>
      <c r="H24" s="13"/>
      <c r="I24" s="13"/>
      <c r="J24" s="13"/>
      <c r="K24" s="13"/>
      <c r="L24" s="13"/>
      <c r="M24" s="13" t="s">
        <v>1578</v>
      </c>
      <c r="N24" s="13"/>
    </row>
    <row r="25" customFormat="false" ht="17.25" hidden="false" customHeight="true" outlineLevel="0" collapsed="false">
      <c r="B25" s="10" t="s">
        <v>1579</v>
      </c>
      <c r="C25" s="10"/>
      <c r="D25" s="10"/>
      <c r="E25" s="16" t="s">
        <v>1580</v>
      </c>
      <c r="F25" s="16"/>
      <c r="G25" s="16"/>
      <c r="H25" s="16"/>
      <c r="I25" s="16"/>
      <c r="J25" s="16"/>
      <c r="K25" s="16"/>
      <c r="L25" s="16"/>
      <c r="M25" s="16" t="s">
        <v>1581</v>
      </c>
      <c r="N25" s="16"/>
    </row>
    <row r="26" customFormat="false" ht="17.25" hidden="false" customHeight="true" outlineLevel="0" collapsed="false">
      <c r="B26" s="55" t="s">
        <v>1582</v>
      </c>
      <c r="C26" s="55"/>
      <c r="D26" s="55"/>
      <c r="E26" s="13" t="s">
        <v>1583</v>
      </c>
      <c r="F26" s="13"/>
      <c r="G26" s="13"/>
      <c r="H26" s="13"/>
      <c r="I26" s="13"/>
      <c r="J26" s="13"/>
      <c r="K26" s="13"/>
      <c r="L26" s="13"/>
      <c r="M26" s="13" t="s">
        <v>1572</v>
      </c>
      <c r="N26" s="13"/>
    </row>
    <row r="27" customFormat="false" ht="17.25" hidden="false" customHeight="true" outlineLevel="0" collapsed="false">
      <c r="B27" s="10" t="s">
        <v>1257</v>
      </c>
      <c r="C27" s="10"/>
      <c r="D27" s="10"/>
      <c r="E27" s="16" t="s">
        <v>1584</v>
      </c>
      <c r="F27" s="16"/>
      <c r="G27" s="16"/>
      <c r="H27" s="16"/>
      <c r="I27" s="16"/>
      <c r="J27" s="16"/>
      <c r="K27" s="16"/>
      <c r="L27" s="16"/>
      <c r="M27" s="16" t="s">
        <v>1585</v>
      </c>
      <c r="N27" s="16"/>
    </row>
    <row r="28" customFormat="false" ht="17.25" hidden="false" customHeight="true" outlineLevel="0" collapsed="false">
      <c r="B28" s="55" t="s">
        <v>1586</v>
      </c>
      <c r="C28" s="55"/>
      <c r="D28" s="55"/>
      <c r="E28" s="13" t="s">
        <v>1587</v>
      </c>
      <c r="F28" s="13"/>
      <c r="G28" s="13"/>
      <c r="H28" s="13"/>
      <c r="I28" s="13"/>
      <c r="J28" s="13"/>
      <c r="K28" s="13"/>
      <c r="L28" s="13"/>
      <c r="M28" s="13" t="s">
        <v>1543</v>
      </c>
      <c r="N28" s="13"/>
    </row>
    <row r="29" customFormat="false" ht="17.25" hidden="false" customHeight="true" outlineLevel="0" collapsed="false">
      <c r="B29" s="10" t="s">
        <v>1588</v>
      </c>
      <c r="C29" s="10"/>
      <c r="D29" s="10"/>
      <c r="E29" s="16" t="s">
        <v>1589</v>
      </c>
      <c r="F29" s="16"/>
      <c r="G29" s="16"/>
      <c r="H29" s="16"/>
      <c r="I29" s="16"/>
      <c r="J29" s="16"/>
      <c r="K29" s="16"/>
      <c r="L29" s="16"/>
      <c r="M29" s="16" t="s">
        <v>1561</v>
      </c>
      <c r="N29" s="16"/>
    </row>
    <row r="30" customFormat="false" ht="17.25" hidden="false" customHeight="true" outlineLevel="0" collapsed="false">
      <c r="B30" s="55" t="s">
        <v>1590</v>
      </c>
      <c r="C30" s="55"/>
      <c r="D30" s="55"/>
      <c r="E30" s="13" t="s">
        <v>1591</v>
      </c>
      <c r="F30" s="13"/>
      <c r="G30" s="13"/>
      <c r="H30" s="13"/>
      <c r="I30" s="13"/>
      <c r="J30" s="13"/>
      <c r="K30" s="13"/>
      <c r="L30" s="13"/>
      <c r="M30" s="13" t="s">
        <v>1538</v>
      </c>
      <c r="N30" s="13"/>
    </row>
    <row r="31" customFormat="false" ht="17.25" hidden="false" customHeight="true" outlineLevel="0" collapsed="false">
      <c r="B31" s="10" t="s">
        <v>1592</v>
      </c>
      <c r="C31" s="10"/>
      <c r="D31" s="10"/>
      <c r="E31" s="16" t="s">
        <v>1593</v>
      </c>
      <c r="F31" s="16"/>
      <c r="G31" s="16"/>
      <c r="H31" s="16"/>
      <c r="I31" s="16"/>
      <c r="J31" s="16"/>
      <c r="K31" s="16"/>
      <c r="L31" s="16"/>
      <c r="M31" s="16" t="s">
        <v>1563</v>
      </c>
      <c r="N31" s="16"/>
    </row>
    <row r="32" customFormat="false" ht="17.25" hidden="false" customHeight="true" outlineLevel="0" collapsed="false">
      <c r="B32" s="55" t="s">
        <v>1594</v>
      </c>
      <c r="C32" s="55"/>
      <c r="D32" s="55"/>
      <c r="E32" s="13" t="s">
        <v>1595</v>
      </c>
      <c r="F32" s="13"/>
      <c r="G32" s="13"/>
      <c r="H32" s="13"/>
      <c r="I32" s="13"/>
      <c r="J32" s="13"/>
      <c r="K32" s="13"/>
      <c r="L32" s="13"/>
      <c r="M32" s="13" t="s">
        <v>1596</v>
      </c>
      <c r="N32" s="13"/>
    </row>
    <row r="33" customFormat="false" ht="17.25" hidden="false" customHeight="true" outlineLevel="0" collapsed="false">
      <c r="B33" s="10" t="s">
        <v>131</v>
      </c>
      <c r="C33" s="10"/>
      <c r="D33" s="10"/>
      <c r="E33" s="16" t="s">
        <v>1597</v>
      </c>
      <c r="F33" s="16"/>
      <c r="G33" s="16"/>
      <c r="H33" s="16"/>
      <c r="I33" s="16"/>
      <c r="J33" s="16"/>
      <c r="K33" s="16"/>
      <c r="L33" s="16"/>
      <c r="M33" s="16" t="s">
        <v>1598</v>
      </c>
      <c r="N33" s="16"/>
    </row>
    <row r="34" customFormat="false" ht="17.25" hidden="false" customHeight="true" outlineLevel="0" collapsed="false">
      <c r="B34" s="55" t="s">
        <v>1599</v>
      </c>
      <c r="C34" s="55"/>
      <c r="D34" s="55"/>
      <c r="E34" s="13" t="s">
        <v>1600</v>
      </c>
      <c r="F34" s="13"/>
      <c r="G34" s="13"/>
      <c r="H34" s="13"/>
      <c r="I34" s="13"/>
      <c r="J34" s="13"/>
      <c r="K34" s="13"/>
      <c r="L34" s="13"/>
      <c r="M34" s="13" t="s">
        <v>1561</v>
      </c>
      <c r="N34" s="13"/>
    </row>
    <row r="35" customFormat="false" ht="17.25" hidden="false" customHeight="true" outlineLevel="0" collapsed="false">
      <c r="B35" s="10" t="s">
        <v>1601</v>
      </c>
      <c r="C35" s="10"/>
      <c r="D35" s="10"/>
      <c r="E35" s="16" t="s">
        <v>1602</v>
      </c>
      <c r="F35" s="16"/>
      <c r="G35" s="16"/>
      <c r="H35" s="16"/>
      <c r="I35" s="16"/>
      <c r="J35" s="16"/>
      <c r="K35" s="16"/>
      <c r="L35" s="16"/>
      <c r="M35" s="16" t="s">
        <v>1543</v>
      </c>
      <c r="N35" s="16"/>
    </row>
    <row r="36" customFormat="false" ht="17.25" hidden="false" customHeight="true" outlineLevel="0" collapsed="false">
      <c r="B36" s="55" t="s">
        <v>1603</v>
      </c>
      <c r="C36" s="55"/>
      <c r="D36" s="55"/>
      <c r="E36" s="13" t="s">
        <v>1604</v>
      </c>
      <c r="F36" s="13"/>
      <c r="G36" s="13"/>
      <c r="H36" s="13"/>
      <c r="I36" s="13"/>
      <c r="J36" s="13"/>
      <c r="K36" s="13"/>
      <c r="L36" s="13"/>
      <c r="M36" s="13" t="s">
        <v>1596</v>
      </c>
      <c r="N36" s="13"/>
    </row>
    <row r="37" customFormat="false" ht="17.25" hidden="false" customHeight="true" outlineLevel="0" collapsed="false">
      <c r="B37" s="10" t="s">
        <v>1605</v>
      </c>
      <c r="C37" s="10"/>
      <c r="D37" s="10"/>
      <c r="E37" s="16" t="s">
        <v>1606</v>
      </c>
      <c r="F37" s="16"/>
      <c r="G37" s="16"/>
      <c r="H37" s="16"/>
      <c r="I37" s="16"/>
      <c r="J37" s="16"/>
      <c r="K37" s="16"/>
      <c r="L37" s="16"/>
      <c r="M37" s="16" t="s">
        <v>1550</v>
      </c>
      <c r="N37" s="16"/>
    </row>
    <row r="38" customFormat="false" ht="17.25" hidden="false" customHeight="true" outlineLevel="0" collapsed="false">
      <c r="B38" s="55" t="s">
        <v>1607</v>
      </c>
      <c r="C38" s="55"/>
      <c r="D38" s="55"/>
      <c r="E38" s="13" t="s">
        <v>1608</v>
      </c>
      <c r="F38" s="13"/>
      <c r="G38" s="13"/>
      <c r="H38" s="13"/>
      <c r="I38" s="13"/>
      <c r="J38" s="13"/>
      <c r="K38" s="13"/>
      <c r="L38" s="13"/>
      <c r="M38" s="13" t="s">
        <v>1563</v>
      </c>
      <c r="N38" s="13"/>
    </row>
    <row r="39" customFormat="false" ht="17.25" hidden="false" customHeight="true" outlineLevel="0" collapsed="false">
      <c r="B39" s="10" t="s">
        <v>1609</v>
      </c>
      <c r="C39" s="10"/>
      <c r="D39" s="10"/>
      <c r="E39" s="16" t="s">
        <v>1610</v>
      </c>
      <c r="F39" s="16"/>
      <c r="G39" s="16"/>
      <c r="H39" s="16"/>
      <c r="I39" s="16"/>
      <c r="J39" s="16"/>
      <c r="K39" s="16"/>
      <c r="L39" s="16"/>
      <c r="M39" s="16" t="s">
        <v>1611</v>
      </c>
      <c r="N39" s="16"/>
    </row>
    <row r="40" customFormat="false" ht="17.25" hidden="false" customHeight="true" outlineLevel="0" collapsed="false">
      <c r="B40" s="55" t="s">
        <v>1612</v>
      </c>
      <c r="C40" s="55"/>
      <c r="D40" s="55"/>
      <c r="E40" s="13" t="s">
        <v>1613</v>
      </c>
      <c r="F40" s="13"/>
      <c r="G40" s="13"/>
      <c r="H40" s="13"/>
      <c r="I40" s="13"/>
      <c r="J40" s="13"/>
      <c r="K40" s="13"/>
      <c r="L40" s="13"/>
      <c r="M40" s="13" t="s">
        <v>1572</v>
      </c>
      <c r="N40" s="13"/>
    </row>
    <row r="41" customFormat="false" ht="17.25" hidden="false" customHeight="true" outlineLevel="0" collapsed="false">
      <c r="B41" s="10" t="s">
        <v>1614</v>
      </c>
      <c r="C41" s="10"/>
      <c r="D41" s="10"/>
      <c r="E41" s="16" t="s">
        <v>1615</v>
      </c>
      <c r="F41" s="16"/>
      <c r="G41" s="16"/>
      <c r="H41" s="16"/>
      <c r="I41" s="16"/>
      <c r="J41" s="16"/>
      <c r="K41" s="16"/>
      <c r="L41" s="16"/>
      <c r="M41" s="16" t="s">
        <v>1616</v>
      </c>
      <c r="N41" s="16"/>
    </row>
    <row r="42" customFormat="false" ht="17.25" hidden="false" customHeight="true" outlineLevel="0" collapsed="false">
      <c r="B42" s="55" t="s">
        <v>1617</v>
      </c>
      <c r="C42" s="55"/>
      <c r="D42" s="55"/>
      <c r="E42" s="13" t="s">
        <v>1618</v>
      </c>
      <c r="F42" s="13"/>
      <c r="G42" s="13"/>
      <c r="H42" s="13"/>
      <c r="I42" s="13"/>
      <c r="J42" s="13"/>
      <c r="K42" s="13"/>
      <c r="L42" s="13"/>
      <c r="M42" s="13" t="s">
        <v>1548</v>
      </c>
      <c r="N42" s="13"/>
    </row>
    <row r="43" customFormat="false" ht="17.25" hidden="false" customHeight="true" outlineLevel="0" collapsed="false">
      <c r="B43" s="10" t="s">
        <v>1619</v>
      </c>
      <c r="C43" s="10"/>
      <c r="D43" s="10"/>
      <c r="E43" s="16" t="s">
        <v>1620</v>
      </c>
      <c r="F43" s="16"/>
      <c r="G43" s="16"/>
      <c r="H43" s="16"/>
      <c r="I43" s="16"/>
      <c r="J43" s="16"/>
      <c r="K43" s="16"/>
      <c r="L43" s="16"/>
      <c r="M43" s="16" t="s">
        <v>1563</v>
      </c>
      <c r="N43" s="16"/>
    </row>
    <row r="44" customFormat="false" ht="17.25" hidden="false" customHeight="true" outlineLevel="0" collapsed="false">
      <c r="B44" s="55" t="s">
        <v>1621</v>
      </c>
      <c r="C44" s="55"/>
      <c r="D44" s="55"/>
      <c r="E44" s="13" t="s">
        <v>1622</v>
      </c>
      <c r="F44" s="13"/>
      <c r="G44" s="13"/>
      <c r="H44" s="13"/>
      <c r="I44" s="13"/>
      <c r="J44" s="13"/>
      <c r="K44" s="13"/>
      <c r="L44" s="13"/>
      <c r="M44" s="13" t="s">
        <v>1560</v>
      </c>
      <c r="N44" s="13"/>
    </row>
    <row r="45" customFormat="false" ht="17.25" hidden="false" customHeight="true" outlineLevel="0" collapsed="false">
      <c r="B45" s="10" t="s">
        <v>1623</v>
      </c>
      <c r="C45" s="10"/>
      <c r="D45" s="10"/>
      <c r="E45" s="16" t="s">
        <v>1624</v>
      </c>
      <c r="F45" s="16"/>
      <c r="G45" s="16"/>
      <c r="H45" s="16"/>
      <c r="I45" s="16"/>
      <c r="J45" s="16"/>
      <c r="K45" s="16"/>
      <c r="L45" s="16"/>
      <c r="M45" s="16" t="s">
        <v>1611</v>
      </c>
      <c r="N45" s="16"/>
    </row>
    <row r="46" customFormat="false" ht="17.25" hidden="false" customHeight="true" outlineLevel="0" collapsed="false">
      <c r="B46" s="55" t="s">
        <v>305</v>
      </c>
      <c r="C46" s="55"/>
      <c r="D46" s="55"/>
      <c r="E46" s="13" t="s">
        <v>1625</v>
      </c>
      <c r="F46" s="13"/>
      <c r="G46" s="13"/>
      <c r="H46" s="13"/>
      <c r="I46" s="13"/>
      <c r="J46" s="13"/>
      <c r="K46" s="13"/>
      <c r="L46" s="13"/>
      <c r="M46" s="13" t="s">
        <v>1596</v>
      </c>
      <c r="N46" s="13"/>
    </row>
    <row r="47" customFormat="false" ht="17.25" hidden="false" customHeight="true" outlineLevel="0" collapsed="false">
      <c r="B47" s="10" t="s">
        <v>306</v>
      </c>
      <c r="C47" s="10"/>
      <c r="D47" s="10"/>
      <c r="E47" s="16" t="s">
        <v>1626</v>
      </c>
      <c r="F47" s="16"/>
      <c r="G47" s="16"/>
      <c r="H47" s="16"/>
      <c r="I47" s="16"/>
      <c r="J47" s="16"/>
      <c r="K47" s="16"/>
      <c r="L47" s="16"/>
      <c r="M47" s="16" t="s">
        <v>1627</v>
      </c>
      <c r="N47" s="16"/>
    </row>
    <row r="48" customFormat="false" ht="17.25" hidden="false" customHeight="true" outlineLevel="0" collapsed="false">
      <c r="B48" s="55" t="s">
        <v>1628</v>
      </c>
      <c r="C48" s="55"/>
      <c r="D48" s="55"/>
      <c r="E48" s="13" t="s">
        <v>1629</v>
      </c>
      <c r="F48" s="13"/>
      <c r="G48" s="13"/>
      <c r="H48" s="13"/>
      <c r="I48" s="13"/>
      <c r="J48" s="13"/>
      <c r="K48" s="13"/>
      <c r="L48" s="13"/>
      <c r="M48" s="13" t="s">
        <v>1598</v>
      </c>
      <c r="N48" s="13"/>
    </row>
    <row r="49" customFormat="false" ht="17.25" hidden="false" customHeight="true" outlineLevel="0" collapsed="false">
      <c r="B49" s="10" t="s">
        <v>1630</v>
      </c>
      <c r="C49" s="10"/>
      <c r="D49" s="10"/>
      <c r="E49" s="16" t="s">
        <v>1631</v>
      </c>
      <c r="F49" s="16"/>
      <c r="G49" s="16"/>
      <c r="H49" s="16"/>
      <c r="I49" s="16"/>
      <c r="J49" s="16"/>
      <c r="K49" s="16"/>
      <c r="L49" s="16"/>
      <c r="M49" s="16" t="s">
        <v>1616</v>
      </c>
      <c r="N49" s="16"/>
    </row>
    <row r="50" customFormat="false" ht="17.25" hidden="false" customHeight="true" outlineLevel="0" collapsed="false">
      <c r="B50" s="55" t="s">
        <v>401</v>
      </c>
      <c r="C50" s="55"/>
      <c r="D50" s="55"/>
      <c r="E50" s="13" t="s">
        <v>1632</v>
      </c>
      <c r="F50" s="13"/>
      <c r="G50" s="13"/>
      <c r="H50" s="13"/>
      <c r="I50" s="13"/>
      <c r="J50" s="13"/>
      <c r="K50" s="13"/>
      <c r="L50" s="13"/>
      <c r="M50" s="13" t="s">
        <v>1543</v>
      </c>
      <c r="N50" s="13"/>
    </row>
    <row r="51" customFormat="false" ht="17.25" hidden="false" customHeight="true" outlineLevel="0" collapsed="false">
      <c r="B51" s="10" t="s">
        <v>1633</v>
      </c>
      <c r="C51" s="10"/>
      <c r="D51" s="10"/>
      <c r="E51" s="16" t="s">
        <v>1634</v>
      </c>
      <c r="F51" s="16"/>
      <c r="G51" s="16"/>
      <c r="H51" s="16"/>
      <c r="I51" s="16"/>
      <c r="J51" s="16"/>
      <c r="K51" s="16"/>
      <c r="L51" s="16"/>
      <c r="M51" s="16" t="s">
        <v>1635</v>
      </c>
      <c r="N51" s="16"/>
    </row>
  </sheetData>
  <mergeCells count="159">
    <mergeCell ref="B1:N1"/>
    <mergeCell ref="B2:N2"/>
    <mergeCell ref="B4:N4"/>
    <mergeCell ref="B5:D5"/>
    <mergeCell ref="E5:J5"/>
    <mergeCell ref="K5:L5"/>
    <mergeCell ref="M5:N5"/>
    <mergeCell ref="B6:D6"/>
    <mergeCell ref="E6:J6"/>
    <mergeCell ref="K6:L6"/>
    <mergeCell ref="M6:N6"/>
    <mergeCell ref="B7:D7"/>
    <mergeCell ref="E7:J7"/>
    <mergeCell ref="K7:L7"/>
    <mergeCell ref="M7:N7"/>
    <mergeCell ref="B8:D8"/>
    <mergeCell ref="E8:J8"/>
    <mergeCell ref="K8:L8"/>
    <mergeCell ref="M8:N8"/>
    <mergeCell ref="B9:D9"/>
    <mergeCell ref="E9:J9"/>
    <mergeCell ref="K9:L9"/>
    <mergeCell ref="M9:N9"/>
    <mergeCell ref="B10:D10"/>
    <mergeCell ref="E10:J10"/>
    <mergeCell ref="K10:L10"/>
    <mergeCell ref="M10:N10"/>
    <mergeCell ref="B11:D11"/>
    <mergeCell ref="E11:J11"/>
    <mergeCell ref="K11:L11"/>
    <mergeCell ref="M11:N11"/>
    <mergeCell ref="B12:D12"/>
    <mergeCell ref="E12:J12"/>
    <mergeCell ref="K12:L12"/>
    <mergeCell ref="M12:N12"/>
    <mergeCell ref="B13:D13"/>
    <mergeCell ref="E13:J13"/>
    <mergeCell ref="K13:L13"/>
    <mergeCell ref="M13:N13"/>
    <mergeCell ref="B14:D14"/>
    <mergeCell ref="E14:J14"/>
    <mergeCell ref="K14:L14"/>
    <mergeCell ref="M14:N14"/>
    <mergeCell ref="B15:D15"/>
    <mergeCell ref="E15:J15"/>
    <mergeCell ref="K15:L15"/>
    <mergeCell ref="M15:N15"/>
    <mergeCell ref="B16:D16"/>
    <mergeCell ref="E16:J16"/>
    <mergeCell ref="K16:L16"/>
    <mergeCell ref="M16:N16"/>
    <mergeCell ref="B17:D17"/>
    <mergeCell ref="E17:J17"/>
    <mergeCell ref="K17:L17"/>
    <mergeCell ref="M17:N17"/>
    <mergeCell ref="B18:D18"/>
    <mergeCell ref="E18:J18"/>
    <mergeCell ref="K18:L18"/>
    <mergeCell ref="M18:N18"/>
    <mergeCell ref="B19:D19"/>
    <mergeCell ref="E19:J19"/>
    <mergeCell ref="K19:L19"/>
    <mergeCell ref="M19:N19"/>
    <mergeCell ref="B20:D20"/>
    <mergeCell ref="E20:J20"/>
    <mergeCell ref="K20:L20"/>
    <mergeCell ref="M20:N20"/>
    <mergeCell ref="B21:D21"/>
    <mergeCell ref="E21:J21"/>
    <mergeCell ref="K21:L21"/>
    <mergeCell ref="M21:N21"/>
    <mergeCell ref="B22:N22"/>
    <mergeCell ref="B23:D23"/>
    <mergeCell ref="E23:L23"/>
    <mergeCell ref="M23:N23"/>
    <mergeCell ref="B24:D24"/>
    <mergeCell ref="E24:L24"/>
    <mergeCell ref="M24:N24"/>
    <mergeCell ref="B25:D25"/>
    <mergeCell ref="E25:L25"/>
    <mergeCell ref="M25:N25"/>
    <mergeCell ref="B26:D26"/>
    <mergeCell ref="E26:L26"/>
    <mergeCell ref="M26:N26"/>
    <mergeCell ref="B27:D27"/>
    <mergeCell ref="E27:L27"/>
    <mergeCell ref="M27:N27"/>
    <mergeCell ref="B28:D28"/>
    <mergeCell ref="E28:L28"/>
    <mergeCell ref="M28:N28"/>
    <mergeCell ref="B29:D29"/>
    <mergeCell ref="E29:L29"/>
    <mergeCell ref="M29:N29"/>
    <mergeCell ref="B30:D30"/>
    <mergeCell ref="E30:L30"/>
    <mergeCell ref="M30:N30"/>
    <mergeCell ref="B31:D31"/>
    <mergeCell ref="E31:L31"/>
    <mergeCell ref="M31:N31"/>
    <mergeCell ref="B32:D32"/>
    <mergeCell ref="E32:L32"/>
    <mergeCell ref="M32:N32"/>
    <mergeCell ref="B33:D33"/>
    <mergeCell ref="E33:L33"/>
    <mergeCell ref="M33:N33"/>
    <mergeCell ref="B34:D34"/>
    <mergeCell ref="E34:L34"/>
    <mergeCell ref="M34:N34"/>
    <mergeCell ref="B35:D35"/>
    <mergeCell ref="E35:L35"/>
    <mergeCell ref="M35:N35"/>
    <mergeCell ref="B36:D36"/>
    <mergeCell ref="E36:L36"/>
    <mergeCell ref="M36:N36"/>
    <mergeCell ref="B37:D37"/>
    <mergeCell ref="E37:L37"/>
    <mergeCell ref="M37:N37"/>
    <mergeCell ref="B38:D38"/>
    <mergeCell ref="E38:L38"/>
    <mergeCell ref="M38:N38"/>
    <mergeCell ref="B39:D39"/>
    <mergeCell ref="E39:L39"/>
    <mergeCell ref="M39:N39"/>
    <mergeCell ref="B40:D40"/>
    <mergeCell ref="E40:L40"/>
    <mergeCell ref="M40:N40"/>
    <mergeCell ref="B41:D41"/>
    <mergeCell ref="E41:L41"/>
    <mergeCell ref="M41:N41"/>
    <mergeCell ref="B42:D42"/>
    <mergeCell ref="E42:L42"/>
    <mergeCell ref="M42:N42"/>
    <mergeCell ref="B43:D43"/>
    <mergeCell ref="E43:L43"/>
    <mergeCell ref="M43:N43"/>
    <mergeCell ref="B44:D44"/>
    <mergeCell ref="E44:L44"/>
    <mergeCell ref="M44:N44"/>
    <mergeCell ref="B45:D45"/>
    <mergeCell ref="E45:L45"/>
    <mergeCell ref="M45:N45"/>
    <mergeCell ref="B46:D46"/>
    <mergeCell ref="E46:L46"/>
    <mergeCell ref="M46:N46"/>
    <mergeCell ref="B47:D47"/>
    <mergeCell ref="E47:L47"/>
    <mergeCell ref="M47:N47"/>
    <mergeCell ref="B48:D48"/>
    <mergeCell ref="E48:L48"/>
    <mergeCell ref="M48:N48"/>
    <mergeCell ref="B49:D49"/>
    <mergeCell ref="E49:L49"/>
    <mergeCell ref="M49:N49"/>
    <mergeCell ref="B50:D50"/>
    <mergeCell ref="E50:L50"/>
    <mergeCell ref="M50:N50"/>
    <mergeCell ref="B51:D51"/>
    <mergeCell ref="E51:L51"/>
    <mergeCell ref="M51:N5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2026-09-28T04:01:57Z</dcterms:created>
  <dc:creator>openpyxl</dc:creator>
  <dc:description/>
  <dc:language>en-US</dc:language>
  <cp:lastModifiedBy/>
  <dcterms:modified xsi:type="dcterms:W3CDTF">2026-09-28T04:02:10Z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